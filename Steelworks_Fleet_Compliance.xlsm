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steelworkspower-my.sharepoint.com/personal/utkarsh_kashyap_steelworks_in/Documents/Desktop/Utkarsh/Vehicle Report/Vehicle Data/streamlit-fleet-dashboard/"/>
    </mc:Choice>
  </mc:AlternateContent>
  <xr:revisionPtr revIDLastSave="103631" documentId="121_{E23AEE88-4F9E-4991-BA9E-1589DF95D5BB}" xr6:coauthVersionLast="47" xr6:coauthVersionMax="47" xr10:uidLastSave="{DE682B95-F3C0-4DBB-A5D7-520DF8FE12F7}"/>
  <bookViews>
    <workbookView xWindow="-120" yWindow="-120" windowWidth="29040" windowHeight="15720" tabRatio="736" activeTab="1" xr2:uid="{00000000-000D-0000-FFFF-FFFF00000000}"/>
  </bookViews>
  <sheets>
    <sheet name="SWPE" sheetId="13" r:id="rId1"/>
    <sheet name="SWIN" sheetId="16" r:id="rId2"/>
    <sheet name="Dashboard" sheetId="14" r:id="rId3"/>
  </sheets>
  <definedNames>
    <definedName name="_xlnm._FilterDatabase" localSheetId="1" hidden="1">SWIN!$A$1:$AI$15</definedName>
    <definedName name="_xlnm._FilterDatabase" localSheetId="0" hidden="1">SWPE!$A$1:$AG$25</definedName>
    <definedName name="_xleta.COUNTIF" hidden="1" xlm="1">#NAME?</definedName>
    <definedName name="_xleta.POW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6" i="13" l="1"/>
  <c r="V26" i="13"/>
  <c r="U26" i="13"/>
  <c r="T26" i="13"/>
  <c r="V16" i="16"/>
  <c r="AK23" i="13"/>
  <c r="AA14" i="13"/>
  <c r="Q20" i="13"/>
  <c r="AA11" i="16"/>
  <c r="Q18" i="13"/>
  <c r="AJ22" i="13"/>
  <c r="Q16" i="13"/>
  <c r="AK24" i="13"/>
  <c r="AJ23" i="13"/>
  <c r="AJ24" i="13"/>
  <c r="Q21" i="13"/>
  <c r="Q23" i="13"/>
  <c r="Q24" i="13"/>
  <c r="Q15" i="13"/>
  <c r="Q17" i="13"/>
  <c r="AA15" i="16"/>
  <c r="AK25" i="13" l="1"/>
  <c r="AJ25" i="13"/>
  <c r="AK22" i="13"/>
  <c r="AK14" i="16"/>
  <c r="AJ14" i="16"/>
  <c r="AJ8" i="16"/>
  <c r="AK8" i="16"/>
  <c r="AK13" i="16"/>
  <c r="AJ13" i="16"/>
  <c r="AA16" i="16"/>
  <c r="P16" i="16"/>
  <c r="O16" i="16"/>
  <c r="U16" i="16"/>
  <c r="T16" i="16"/>
  <c r="P14" i="13"/>
  <c r="Q14" i="13"/>
  <c r="Q13" i="13"/>
  <c r="V3" i="13"/>
  <c r="AA3" i="13"/>
  <c r="AK12" i="16"/>
  <c r="AJ12" i="16"/>
  <c r="P13" i="16"/>
  <c r="V11" i="16"/>
  <c r="AE2" i="16"/>
  <c r="AA2" i="16"/>
  <c r="AA4" i="16"/>
  <c r="AA5" i="16"/>
  <c r="AA6" i="16"/>
  <c r="AA7" i="16"/>
  <c r="AA8" i="16"/>
  <c r="AA9" i="16"/>
  <c r="AE10" i="16"/>
  <c r="AA10" i="16"/>
  <c r="AA13" i="16"/>
  <c r="AA14" i="16"/>
  <c r="AE4" i="13"/>
  <c r="Q12" i="13"/>
  <c r="AE11" i="13"/>
  <c r="AA11" i="13" l="1"/>
  <c r="AA4" i="13"/>
  <c r="T25" i="13"/>
  <c r="U25" i="13"/>
  <c r="AE18" i="13"/>
  <c r="AE3" i="13"/>
  <c r="AA23" i="13"/>
  <c r="V23" i="13"/>
  <c r="AA22" i="13"/>
  <c r="V22" i="13"/>
  <c r="AA21" i="13"/>
  <c r="V21" i="13"/>
  <c r="AA20" i="13"/>
  <c r="V20" i="13"/>
  <c r="AA19" i="13"/>
  <c r="V19" i="13"/>
  <c r="AA17" i="13"/>
  <c r="V17" i="13"/>
  <c r="V16" i="13"/>
  <c r="AA15" i="13"/>
  <c r="V15" i="13"/>
  <c r="V14" i="13"/>
  <c r="AA13" i="13"/>
  <c r="V13" i="13"/>
  <c r="AA12" i="13"/>
  <c r="V12" i="13"/>
  <c r="AA10" i="13"/>
  <c r="V10" i="13"/>
  <c r="AA9" i="13"/>
  <c r="AA5" i="13"/>
  <c r="V9" i="13"/>
  <c r="V5" i="13"/>
  <c r="V2" i="13"/>
  <c r="AA2" i="13"/>
  <c r="T23" i="13"/>
  <c r="U23" i="13"/>
  <c r="T24" i="13"/>
  <c r="U24" i="13"/>
  <c r="T22" i="13"/>
  <c r="U22" i="13"/>
  <c r="U14" i="13"/>
  <c r="T14" i="13"/>
  <c r="AA3" i="16"/>
  <c r="V3" i="16"/>
  <c r="AA18" i="13"/>
  <c r="V18" i="13"/>
  <c r="AA8" i="13"/>
  <c r="AA7" i="13"/>
  <c r="V11" i="13"/>
  <c r="AA6" i="13"/>
  <c r="Z8" i="13"/>
  <c r="Y8" i="13"/>
  <c r="V8" i="13"/>
  <c r="V7" i="13"/>
  <c r="V6" i="13"/>
  <c r="V4" i="13"/>
  <c r="V15" i="16"/>
  <c r="T14" i="16"/>
  <c r="U14" i="16"/>
  <c r="T15" i="16"/>
  <c r="U15" i="16"/>
  <c r="V14" i="16"/>
  <c r="V13" i="16"/>
  <c r="T13" i="16"/>
  <c r="U13" i="16"/>
  <c r="AA12" i="16"/>
  <c r="V12" i="16"/>
  <c r="T12" i="16"/>
  <c r="U12" i="16"/>
  <c r="Z12" i="16"/>
  <c r="Y12" i="16"/>
  <c r="Z3" i="16"/>
  <c r="V9" i="16"/>
  <c r="V8" i="16"/>
  <c r="V7" i="16"/>
  <c r="V6" i="16"/>
  <c r="V5" i="16"/>
  <c r="V4" i="16"/>
  <c r="Y3" i="16"/>
  <c r="V2" i="16"/>
  <c r="V10" i="16" l="1"/>
  <c r="Q25" i="13"/>
  <c r="Q22" i="13"/>
  <c r="Q19" i="13"/>
  <c r="Q11" i="13"/>
  <c r="Q10" i="13"/>
  <c r="Q9" i="13"/>
  <c r="Q8" i="13"/>
  <c r="Q7" i="13"/>
  <c r="Q6" i="13"/>
  <c r="Q5" i="13"/>
  <c r="Q4" i="13"/>
  <c r="Q3" i="13"/>
  <c r="Q2" i="13"/>
  <c r="O25" i="13" l="1"/>
  <c r="AG25" i="13" s="1"/>
  <c r="Z15" i="16"/>
  <c r="Y15" i="16"/>
  <c r="P25" i="13" l="1"/>
  <c r="AD10" i="16"/>
  <c r="AC10" i="16"/>
  <c r="AD2" i="16"/>
  <c r="AC2" i="16"/>
  <c r="Z11" i="16"/>
  <c r="Y11" i="16"/>
  <c r="T3" i="16"/>
  <c r="U3" i="16"/>
  <c r="T4" i="16"/>
  <c r="U4" i="16"/>
  <c r="T5" i="16"/>
  <c r="U5" i="16"/>
  <c r="T6" i="16"/>
  <c r="U6" i="16"/>
  <c r="T7" i="16"/>
  <c r="U7" i="16"/>
  <c r="T8" i="16"/>
  <c r="U8" i="16"/>
  <c r="T9" i="16"/>
  <c r="U9" i="16"/>
  <c r="T10" i="16"/>
  <c r="U10" i="16"/>
  <c r="T11" i="16"/>
  <c r="U11" i="16"/>
  <c r="U2" i="16"/>
  <c r="T2" i="16"/>
  <c r="P3" i="16"/>
  <c r="P4" i="16"/>
  <c r="P5" i="16"/>
  <c r="P6" i="16"/>
  <c r="P7" i="16"/>
  <c r="P8" i="16"/>
  <c r="P9" i="16"/>
  <c r="P10" i="16"/>
  <c r="P11" i="16"/>
  <c r="P12" i="16"/>
  <c r="P14" i="16"/>
  <c r="P15" i="16"/>
  <c r="O3" i="16"/>
  <c r="O4" i="16"/>
  <c r="O5" i="16"/>
  <c r="O6" i="16"/>
  <c r="O7" i="16"/>
  <c r="O8" i="16"/>
  <c r="O9" i="16"/>
  <c r="O10" i="16"/>
  <c r="O11" i="16"/>
  <c r="O12" i="16"/>
  <c r="AG12" i="16" s="1"/>
  <c r="O13" i="16"/>
  <c r="AG13" i="16" s="1"/>
  <c r="O14" i="16"/>
  <c r="AG14" i="16" s="1"/>
  <c r="O15" i="16"/>
  <c r="AG15" i="16" s="1"/>
  <c r="P2" i="16"/>
  <c r="O2" i="16"/>
  <c r="AG4" i="16" l="1"/>
  <c r="AG2" i="16"/>
  <c r="AG10" i="16"/>
  <c r="AG8" i="16"/>
  <c r="AG9" i="16"/>
  <c r="AG5" i="16"/>
  <c r="AG7" i="16"/>
  <c r="AG6" i="16"/>
  <c r="AG11" i="16"/>
  <c r="AG3" i="16"/>
  <c r="AC18" i="13"/>
  <c r="AC11" i="13"/>
  <c r="AC4" i="13"/>
  <c r="AC3" i="13"/>
  <c r="Y18" i="13"/>
  <c r="Y14" i="13"/>
  <c r="Y15" i="13"/>
  <c r="Y13" i="13"/>
  <c r="Y11" i="13"/>
  <c r="Y10" i="13"/>
  <c r="Y7" i="13"/>
  <c r="Y6" i="13"/>
  <c r="Y3" i="13"/>
  <c r="Y4" i="13"/>
  <c r="Y2" i="13"/>
  <c r="T16" i="13"/>
  <c r="T17" i="13"/>
  <c r="T18" i="13"/>
  <c r="T19" i="13"/>
  <c r="T20" i="13"/>
  <c r="T21" i="13"/>
  <c r="T15" i="13"/>
  <c r="T3" i="13"/>
  <c r="T4" i="13"/>
  <c r="T5" i="13"/>
  <c r="T6" i="13"/>
  <c r="T7" i="13"/>
  <c r="T8" i="13"/>
  <c r="T9" i="13"/>
  <c r="T10" i="13"/>
  <c r="T11" i="13"/>
  <c r="T12" i="13"/>
  <c r="T13" i="13"/>
  <c r="T2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AG22" i="13" s="1"/>
  <c r="O23" i="13"/>
  <c r="O24" i="13"/>
  <c r="AG24" i="13" s="1"/>
  <c r="O2" i="13"/>
  <c r="AD3" i="13"/>
  <c r="AD4" i="13"/>
  <c r="AD11" i="13"/>
  <c r="AD18" i="13"/>
  <c r="Z3" i="13"/>
  <c r="Z4" i="13"/>
  <c r="Z6" i="13"/>
  <c r="Z7" i="13"/>
  <c r="Z10" i="13"/>
  <c r="Z11" i="13"/>
  <c r="Z13" i="13"/>
  <c r="Z14" i="13"/>
  <c r="Z15" i="13"/>
  <c r="Z18" i="13"/>
  <c r="Z2" i="13"/>
  <c r="U15" i="13"/>
  <c r="U16" i="13"/>
  <c r="U17" i="13"/>
  <c r="U18" i="13"/>
  <c r="U19" i="13"/>
  <c r="U20" i="13"/>
  <c r="U21" i="13"/>
  <c r="U3" i="13"/>
  <c r="U4" i="13"/>
  <c r="U5" i="13"/>
  <c r="U6" i="13"/>
  <c r="U7" i="13"/>
  <c r="U8" i="13"/>
  <c r="U9" i="13"/>
  <c r="U10" i="13"/>
  <c r="U11" i="13"/>
  <c r="U12" i="13"/>
  <c r="U13" i="13"/>
  <c r="U2" i="13"/>
  <c r="P3" i="13"/>
  <c r="P4" i="13"/>
  <c r="P5" i="13"/>
  <c r="P6" i="13"/>
  <c r="P7" i="13"/>
  <c r="P8" i="13"/>
  <c r="P9" i="13"/>
  <c r="P10" i="13"/>
  <c r="P11" i="13"/>
  <c r="P12" i="13"/>
  <c r="P13" i="13"/>
  <c r="P15" i="13"/>
  <c r="P16" i="13"/>
  <c r="P17" i="13"/>
  <c r="P18" i="13"/>
  <c r="P19" i="13"/>
  <c r="P20" i="13"/>
  <c r="P21" i="13"/>
  <c r="P22" i="13"/>
  <c r="P23" i="13"/>
  <c r="P24" i="13"/>
  <c r="P2" i="13"/>
  <c r="AG23" i="13" l="1"/>
  <c r="AG14" i="13"/>
  <c r="AG19" i="13"/>
  <c r="AG20" i="13"/>
  <c r="AG16" i="13"/>
  <c r="AG17" i="13"/>
  <c r="AG21" i="13"/>
  <c r="AG15" i="13"/>
  <c r="AG8" i="13"/>
  <c r="AG7" i="13"/>
  <c r="AG6" i="13"/>
  <c r="AG5" i="13"/>
  <c r="AG12" i="13"/>
  <c r="AG4" i="13"/>
  <c r="AG13" i="13"/>
  <c r="AG11" i="13"/>
  <c r="AG3" i="13"/>
  <c r="AG18" i="13"/>
  <c r="AG10" i="13"/>
  <c r="AG9" i="13"/>
  <c r="AG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F12" authorId="0" shapeId="0" xr:uid="{574947F4-40ED-4EF9-BB7D-0C448E83B3E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Including OD as well as TP.
</t>
        </r>
      </text>
    </comment>
  </commentList>
</comments>
</file>

<file path=xl/sharedStrings.xml><?xml version="1.0" encoding="utf-8"?>
<sst xmlns="http://schemas.openxmlformats.org/spreadsheetml/2006/main" count="851" uniqueCount="414">
  <si>
    <t>VEHICLE NO.</t>
  </si>
  <si>
    <t xml:space="preserve">VEHICAL NAME </t>
  </si>
  <si>
    <t>RTO Location</t>
  </si>
  <si>
    <t>Model No.</t>
  </si>
  <si>
    <t>Chassis No.</t>
  </si>
  <si>
    <t>Engine No</t>
  </si>
  <si>
    <t xml:space="preserve">Model Year </t>
  </si>
  <si>
    <t>Registration Certificate</t>
  </si>
  <si>
    <t>RC Valid Upto</t>
  </si>
  <si>
    <t>Insured Value (IDV)</t>
  </si>
  <si>
    <t>Insurance Company</t>
  </si>
  <si>
    <t>Policy No.</t>
  </si>
  <si>
    <t>Insurance Start Date</t>
  </si>
  <si>
    <t>Insurance End Date</t>
  </si>
  <si>
    <t>Insurance Status</t>
  </si>
  <si>
    <t>Insurance Days Left</t>
  </si>
  <si>
    <t>Insurance Document Link</t>
  </si>
  <si>
    <t>Fitness Start Date</t>
  </si>
  <si>
    <t>Fitness Expiry Date</t>
  </si>
  <si>
    <t>Fitness Status</t>
  </si>
  <si>
    <t>Fitness Days Left</t>
  </si>
  <si>
    <t>Fitness Document Link</t>
  </si>
  <si>
    <t>MV Tax Start Date</t>
  </si>
  <si>
    <t>MV Tax Expiry Date</t>
  </si>
  <si>
    <t>MV Tax Status</t>
  </si>
  <si>
    <t>MV Tax Days Left</t>
  </si>
  <si>
    <t>MV Tax Document Link</t>
  </si>
  <si>
    <t>Permit Expiry Date</t>
  </si>
  <si>
    <t>Permit Status</t>
  </si>
  <si>
    <t>Permit Days Left</t>
  </si>
  <si>
    <t>Permit Document Link</t>
  </si>
  <si>
    <t>Insurance Amount</t>
  </si>
  <si>
    <t>Fully Compliant Vehicle</t>
  </si>
  <si>
    <t>TP Start Date</t>
  </si>
  <si>
    <t>TP Expiry Date</t>
  </si>
  <si>
    <t>TP Status</t>
  </si>
  <si>
    <t>TP Days Left</t>
  </si>
  <si>
    <t>TP Document Link</t>
  </si>
  <si>
    <t>REMARKS</t>
  </si>
  <si>
    <t>WB73G4987</t>
  </si>
  <si>
    <t>TATA ACE</t>
  </si>
  <si>
    <t xml:space="preserve">Siliguri </t>
  </si>
  <si>
    <t>MAT559029NZG19075</t>
  </si>
  <si>
    <t>700CCDI02GXXSA4523</t>
  </si>
  <si>
    <t>United India Insurance Co. Ltd.</t>
  </si>
  <si>
    <t>1101003125P112507588</t>
  </si>
  <si>
    <t>-</t>
  </si>
  <si>
    <t>OD &amp; TP ARE TOGETHER</t>
  </si>
  <si>
    <t>HR55AH9974</t>
  </si>
  <si>
    <t>SML Isuzu Bus</t>
  </si>
  <si>
    <t xml:space="preserve">Tidong </t>
  </si>
  <si>
    <t>SML ISUZU</t>
  </si>
  <si>
    <t>MBUWEL4XDS0261533</t>
  </si>
  <si>
    <t>SLT4CS254859</t>
  </si>
  <si>
    <t>1101003125P112508824</t>
  </si>
  <si>
    <t>RJ02GC3403</t>
  </si>
  <si>
    <t>Ashok Leyland Truck</t>
  </si>
  <si>
    <t>CA1815/47 H CC</t>
  </si>
  <si>
    <t>MB1AZGCD5NRBD1274</t>
  </si>
  <si>
    <t>NBHZ432013</t>
  </si>
  <si>
    <t>IFFCO-TOKIO General Insurance Co. Ltd.</t>
  </si>
  <si>
    <t>1-6XAB1ADH P400 Policy # N5557999</t>
  </si>
  <si>
    <t>HR26DV1335</t>
  </si>
  <si>
    <t>Hyundai Creta</t>
  </si>
  <si>
    <t xml:space="preserve">Gurgaon </t>
  </si>
  <si>
    <t>Creta 1.6 VTVT AUTO SX</t>
  </si>
  <si>
    <t>MALC381CMJM512226</t>
  </si>
  <si>
    <t>G4FGJU558305</t>
  </si>
  <si>
    <t>Generali Central Insurance Co. Ltd.</t>
  </si>
  <si>
    <t>132/02/11/1226/MTP/2410116601</t>
  </si>
  <si>
    <t>LTT</t>
  </si>
  <si>
    <t>WB74BN0797</t>
  </si>
  <si>
    <t xml:space="preserve">Maruti Suzuki Grand Vitara </t>
  </si>
  <si>
    <t xml:space="preserve">Vitara </t>
  </si>
  <si>
    <t>MBJTYKL1SNK107808</t>
  </si>
  <si>
    <t>K15CN7039438</t>
  </si>
  <si>
    <t>Liberty General Insurance</t>
  </si>
  <si>
    <t>201120010425790069900000</t>
  </si>
  <si>
    <t>NL02N7972</t>
  </si>
  <si>
    <t>Escort Hydra</t>
  </si>
  <si>
    <t>Alwar</t>
  </si>
  <si>
    <t>HY 14T</t>
  </si>
  <si>
    <t>195F008521</t>
  </si>
  <si>
    <t>AE4286A3AE334685</t>
  </si>
  <si>
    <t>4,43,487.00</t>
  </si>
  <si>
    <t>Chola MS General Insurance Co. Ltd.</t>
  </si>
  <si>
    <t>3380/03089205/000/00</t>
  </si>
  <si>
    <t>RJ02GC2332</t>
  </si>
  <si>
    <t xml:space="preserve">Mahindra Pickup Van </t>
  </si>
  <si>
    <t>BMT PLUS PS 12T</t>
  </si>
  <si>
    <t>MA1ZP2TLKN1A15376</t>
  </si>
  <si>
    <t>TLN1A95148</t>
  </si>
  <si>
    <t>Oriental Insurance Co. Ltd.</t>
  </si>
  <si>
    <t>262300/31/2026/2103</t>
  </si>
  <si>
    <t>RJ02EA2165</t>
  </si>
  <si>
    <t>Crane</t>
  </si>
  <si>
    <t xml:space="preserve">Alwar </t>
  </si>
  <si>
    <t>HYDRA 153P SB</t>
  </si>
  <si>
    <t>ECE01195VN0672820</t>
  </si>
  <si>
    <t>AE4312C3AE3645898</t>
  </si>
  <si>
    <t>1-7C3TVWWH P400 Policy # N6302612</t>
  </si>
  <si>
    <t>NL04D5885</t>
  </si>
  <si>
    <t>Hydra Ace Crane</t>
  </si>
  <si>
    <t>ACE 18XW</t>
  </si>
  <si>
    <t>GVHM432799</t>
  </si>
  <si>
    <t>1-7CJZK8YM P400 Policy # N6301703</t>
  </si>
  <si>
    <t>HR55AC9581</t>
  </si>
  <si>
    <t>Tata LPT 2518 Truck</t>
  </si>
  <si>
    <t>Gurgaon</t>
  </si>
  <si>
    <t>TATA LPT &amp; 2518 CR BS IV</t>
  </si>
  <si>
    <t>MAT448221H2P24945</t>
  </si>
  <si>
    <t>ISBE591804071H63618343</t>
  </si>
  <si>
    <t>Universal Sompo General Insurance Co. Ltd.</t>
  </si>
  <si>
    <t>AVO/2315/20090445</t>
  </si>
  <si>
    <t>HR98D3281</t>
  </si>
  <si>
    <t>Skoda Kodiaq</t>
  </si>
  <si>
    <t>KODIAQ SPORTLINE</t>
  </si>
  <si>
    <t>TMBMEBNS2NA400233</t>
  </si>
  <si>
    <t>DKZ235145</t>
  </si>
  <si>
    <t>25,00,000.00</t>
  </si>
  <si>
    <t>Bajaj Allianz General Insurance Co. Ltd.</t>
  </si>
  <si>
    <t>OG-27-1104-1801-00000281</t>
  </si>
  <si>
    <t>WB74AG4079</t>
  </si>
  <si>
    <t>Maruti Suzuki Swift Dzire</t>
  </si>
  <si>
    <t>Swift Dzire VDI</t>
  </si>
  <si>
    <t>MA3FJEB1S00700026</t>
  </si>
  <si>
    <t>D13A2549921</t>
  </si>
  <si>
    <t>USGI/WEBAG/1289809/00/000</t>
  </si>
  <si>
    <t>NL03A2571</t>
  </si>
  <si>
    <t>JCB 3D Excavator</t>
  </si>
  <si>
    <t>T410261500006</t>
  </si>
  <si>
    <t>15,00,000.00</t>
  </si>
  <si>
    <t>ICICI Lombard General Insurance Company</t>
  </si>
  <si>
    <t>3008/441012898/00/B00</t>
  </si>
  <si>
    <t>NL04D6690</t>
  </si>
  <si>
    <t>Ace Pick-n-Carry Crane</t>
  </si>
  <si>
    <t>ACE FX 150</t>
  </si>
  <si>
    <t>ACEFX150PG0739696</t>
  </si>
  <si>
    <t>ERY817500</t>
  </si>
  <si>
    <t>RJ02RE2119</t>
  </si>
  <si>
    <t xml:space="preserve">Mahindra Tractor </t>
  </si>
  <si>
    <t>MAHINDRA 575</t>
  </si>
  <si>
    <t>MBNAAALXKHJB00396</t>
  </si>
  <si>
    <t>NHA2MBE0538</t>
  </si>
  <si>
    <t>NA</t>
  </si>
  <si>
    <t>HR98F8540</t>
  </si>
  <si>
    <t>Tata Harrier</t>
  </si>
  <si>
    <t>XZA Plus SUV</t>
  </si>
  <si>
    <t>MAT631585NPG68937</t>
  </si>
  <si>
    <t>RJ02PA8005</t>
  </si>
  <si>
    <t>Isuzu S7 CNG Bus</t>
  </si>
  <si>
    <t>S73335 SDX BUS</t>
  </si>
  <si>
    <t>MBUWEL4XAM0294899</t>
  </si>
  <si>
    <t>SLTNG6AM286335</t>
  </si>
  <si>
    <t>RJ02EA1812</t>
  </si>
  <si>
    <t xml:space="preserve">HYDRA ACE 15 Crane </t>
  </si>
  <si>
    <t>18XW</t>
  </si>
  <si>
    <t>ACE018XWEK0846754</t>
  </si>
  <si>
    <t>A65CTAJ0000382</t>
  </si>
  <si>
    <t>N5162338</t>
  </si>
  <si>
    <t>HR98B8878</t>
  </si>
  <si>
    <t>Maruti Suzuki Baleno</t>
  </si>
  <si>
    <t>BALENO ZETA</t>
  </si>
  <si>
    <t>MBHEWB22SMF716937</t>
  </si>
  <si>
    <t>K12MP4223382</t>
  </si>
  <si>
    <t>HR26EX5936</t>
  </si>
  <si>
    <t>JCB Backhoe Loader</t>
  </si>
  <si>
    <t>3DX PLUS-2WD</t>
  </si>
  <si>
    <t>HAR3DXS4J03160205</t>
  </si>
  <si>
    <t>H00350774</t>
  </si>
  <si>
    <t>Go Digit General Insurance Limited</t>
  </si>
  <si>
    <t>HR98T8866</t>
  </si>
  <si>
    <t>Maruti Suzuki Ertiga</t>
  </si>
  <si>
    <t>Gurgoan</t>
  </si>
  <si>
    <t>ERTIGA VXI (O) CNG</t>
  </si>
  <si>
    <t>MA3BNC62SRJ892152</t>
  </si>
  <si>
    <t>K15CN9616187</t>
  </si>
  <si>
    <t>D229309041 / 08102025</t>
  </si>
  <si>
    <t>OD &amp; TP Both - Ertiga Insurance.pdf</t>
  </si>
  <si>
    <t>HR98X1291</t>
  </si>
  <si>
    <t>BMW X7</t>
  </si>
  <si>
    <t>BMW X7 XDRIVE40I LCI M SPORT</t>
  </si>
  <si>
    <t>WBA27EM02SY447104</t>
  </si>
  <si>
    <t>0123Y528</t>
  </si>
  <si>
    <t>HR98X2331</t>
  </si>
  <si>
    <t>WBA27EM00SY447134</t>
  </si>
  <si>
    <t>0162Y528</t>
  </si>
  <si>
    <t>HR98AA8445</t>
  </si>
  <si>
    <t>Toyota Innova Hycross</t>
  </si>
  <si>
    <t>Toyota Innova Hycross Hybrid ZX (7S)</t>
  </si>
  <si>
    <t>MBJABBAA0015427361225</t>
  </si>
  <si>
    <t>M20ANF25513</t>
  </si>
  <si>
    <t>HDFC ERGO General Insurance Co. Ltd.</t>
  </si>
  <si>
    <t>2302208241316500000</t>
  </si>
  <si>
    <t>2026-27 Insurance.pdf</t>
  </si>
  <si>
    <t>Model Year</t>
  </si>
  <si>
    <t>CG04NZ9517</t>
  </si>
  <si>
    <t>Tata Yodha Pickup Truck</t>
  </si>
  <si>
    <t>Raipur</t>
  </si>
  <si>
    <t>TATA YODHA 1700 PICKUP BSVI</t>
  </si>
  <si>
    <t>MAT464662NSP19122</t>
  </si>
  <si>
    <t>VARICOR12NXXJ26863</t>
  </si>
  <si>
    <t>As per Fitness</t>
  </si>
  <si>
    <t>0402013125P114319147</t>
  </si>
  <si>
    <t>CG04PC0965</t>
  </si>
  <si>
    <t xml:space="preserve">Mahindra 575 DI Tractor </t>
  </si>
  <si>
    <t>Mahindra 575 DI SP Plus</t>
  </si>
  <si>
    <t>MBNTFALB3NNF01782</t>
  </si>
  <si>
    <t>NNF2GEJ0099</t>
  </si>
  <si>
    <t>0808013125P117676019</t>
  </si>
  <si>
    <t>CG04PC2208</t>
  </si>
  <si>
    <t>Escorts Hydra Crane</t>
  </si>
  <si>
    <t>ESCORTS/ HYDRA 15 3P SB</t>
  </si>
  <si>
    <t>ECE01195CP0842121</t>
  </si>
  <si>
    <t>AE4312C3AE3716142</t>
  </si>
  <si>
    <t>1-7C2LGTWI P400 Policy # N6320006</t>
  </si>
  <si>
    <t>CG04PC2583</t>
  </si>
  <si>
    <t>HYDRA 15 4P STANDARD</t>
  </si>
  <si>
    <t>ECE01195PP0857821</t>
  </si>
  <si>
    <t>AE4312C3AE3724116</t>
  </si>
  <si>
    <t>1-7BZS66KX P400 Policy # N6315109</t>
  </si>
  <si>
    <t>CG25M7292</t>
  </si>
  <si>
    <t>ESCORTS HYDRA 1565</t>
  </si>
  <si>
    <t>ECE01195KP0880811</t>
  </si>
  <si>
    <t>AE4312C3AE3730956</t>
  </si>
  <si>
    <t>AVO/2316/20106244</t>
  </si>
  <si>
    <t>CG25M7293</t>
  </si>
  <si>
    <t>ECE01195EP0884111</t>
  </si>
  <si>
    <t>AE4312C3AE3731746</t>
  </si>
  <si>
    <t>AVO/2316/20106240</t>
  </si>
  <si>
    <t>CG04PF2091</t>
  </si>
  <si>
    <t>Mahindra Bolero  NEO N8</t>
  </si>
  <si>
    <t>BOLERO NEO N8 MUV</t>
  </si>
  <si>
    <t>MA1NA2XZXP6A35693</t>
  </si>
  <si>
    <t>XZP6A15721</t>
  </si>
  <si>
    <t>NEW</t>
  </si>
  <si>
    <t>8,45,000</t>
  </si>
  <si>
    <t>National Insurance Company Ltd.</t>
  </si>
  <si>
    <t>42150031256860002800</t>
  </si>
  <si>
    <t>TP - CG04PF2091 (Mahindra Bolero NEO N8)</t>
  </si>
  <si>
    <t>At OD renewal, align TP and OD validity to the same Nov–Nov cycle. Check refund/adjustment for the remaining TP validity period (Nov 2026–Jun 2027).</t>
  </si>
  <si>
    <t>CG25M8848</t>
  </si>
  <si>
    <t>Escorts Hydra 1565 4P SB</t>
  </si>
  <si>
    <t xml:space="preserve">Raipur </t>
  </si>
  <si>
    <t>ECE01195CP0953915</t>
  </si>
  <si>
    <t>AE4312C3AE3754738</t>
  </si>
  <si>
    <t>CG04PM7749</t>
  </si>
  <si>
    <t>Mahindra Bolero Pik-Up</t>
  </si>
  <si>
    <t>BOLERO MAXX PUP HD 1.7 LX CBC</t>
  </si>
  <si>
    <t>MA1RA2TTKP1J72878</t>
  </si>
  <si>
    <t>TTP1J47536</t>
  </si>
  <si>
    <t>CG04PS2509</t>
  </si>
  <si>
    <t>Force Traveller T2</t>
  </si>
  <si>
    <t>Force Traveller T2 BSVI 25+D</t>
  </si>
  <si>
    <t>MC1E4FCA4RP019829</t>
  </si>
  <si>
    <t>D71051090</t>
  </si>
  <si>
    <t>0808013126P100070786</t>
  </si>
  <si>
    <t>CG04PV2609</t>
  </si>
  <si>
    <t>TATA Nexon EV</t>
  </si>
  <si>
    <t>Tata Nexon EV</t>
  </si>
  <si>
    <t>MAT635313RLF06522</t>
  </si>
  <si>
    <t>TZ180XS91AB24051348</t>
  </si>
  <si>
    <t>SBI General Insurance</t>
  </si>
  <si>
    <t>POPMCAR00101858563</t>
  </si>
  <si>
    <t>TP - CG04PV2609 (Tata Nexon EV)</t>
  </si>
  <si>
    <t>THIS IS TP FOR NEXON</t>
  </si>
  <si>
    <t>CG04QH5728</t>
  </si>
  <si>
    <t>Toyota Innova Crysta</t>
  </si>
  <si>
    <t>INNOVA CRYSTA 2.4G (GX+, MT)</t>
  </si>
  <si>
    <t>MBJJB8EM701682127-0125</t>
  </si>
  <si>
    <t>2GDA861754</t>
  </si>
  <si>
    <t>TP  - CG04QH5728 (Toyota Innova Crysta)</t>
  </si>
  <si>
    <t>THIS IS TP FOR Innova</t>
  </si>
  <si>
    <t>CG04QF1357</t>
  </si>
  <si>
    <t xml:space="preserve">MG Windsor EV </t>
  </si>
  <si>
    <t>RAIPUR</t>
  </si>
  <si>
    <t>WINDSOR EV EXCLUSIVE</t>
  </si>
  <si>
    <t>MZ72D5CEB8H014261</t>
  </si>
  <si>
    <t>U1RC170266</t>
  </si>
  <si>
    <t>14,00,000.00</t>
  </si>
  <si>
    <t>132/18/11/0227/MOD/1010367517</t>
  </si>
  <si>
    <t>TP - CG04QF1357 (MG Windsor EV)</t>
  </si>
  <si>
    <t>THIS IS TP FOR Windsor</t>
  </si>
  <si>
    <t>CG04JC9951</t>
  </si>
  <si>
    <t>Tata LPS Tractor - Trailer</t>
  </si>
  <si>
    <t>Tata LPS 4018 Tractor Trailer</t>
  </si>
  <si>
    <t>MAT447212B1N29951</t>
  </si>
  <si>
    <t>11L63202547</t>
  </si>
  <si>
    <t>AVO/2315/20034478</t>
  </si>
  <si>
    <t>CG04QR3313</t>
  </si>
  <si>
    <t>Maruti Suzuki EECO (Ambulance)</t>
  </si>
  <si>
    <t>Maruti Suzuki EECO - 5 Star AC</t>
  </si>
  <si>
    <t>MA3JDT08WSGF01567</t>
  </si>
  <si>
    <t>K12NN4470319</t>
  </si>
  <si>
    <t>1-6LTO6V59 P400 Policy # N5053259</t>
  </si>
  <si>
    <t>Filters / Search</t>
  </si>
  <si>
    <t>January</t>
  </si>
  <si>
    <t>Vehicle No</t>
  </si>
  <si>
    <t>Vehicle Name</t>
  </si>
  <si>
    <t>Type</t>
  </si>
  <si>
    <t>Expiry Date</t>
  </si>
  <si>
    <t>Days Left</t>
  </si>
  <si>
    <t>Status</t>
  </si>
  <si>
    <t>February</t>
  </si>
  <si>
    <t>March</t>
  </si>
  <si>
    <t>April</t>
  </si>
  <si>
    <t>Select Entity</t>
  </si>
  <si>
    <t>May</t>
  </si>
  <si>
    <t>June</t>
  </si>
  <si>
    <t>July</t>
  </si>
  <si>
    <t>August</t>
  </si>
  <si>
    <t>September</t>
  </si>
  <si>
    <t>October</t>
  </si>
  <si>
    <t>Document Type</t>
  </si>
  <si>
    <t>November</t>
  </si>
  <si>
    <t>December</t>
  </si>
  <si>
    <t>Year &amp; Month</t>
  </si>
  <si>
    <t>Due in 30 Days</t>
  </si>
  <si>
    <t>254001/31/2027/532</t>
  </si>
  <si>
    <t>Tata AIG Insurance</t>
  </si>
  <si>
    <t>62064874430000</t>
  </si>
  <si>
    <t>62064868200000</t>
  </si>
  <si>
    <t>1101003125P112509090</t>
  </si>
  <si>
    <t>D234371243 / 03112025</t>
  </si>
  <si>
    <t>TP FOR 1291</t>
  </si>
  <si>
    <t>TP FOR 2331</t>
  </si>
  <si>
    <t>HR98X2331 - (TP Till 4.8.25 - 3.8.28).pdf</t>
  </si>
  <si>
    <t>HR98X1291 - (TP Till 4.8.25 - 3.8.28).pdf</t>
  </si>
  <si>
    <t>TP FOR 8445</t>
  </si>
  <si>
    <t>4,25,000.00</t>
  </si>
  <si>
    <t>0407033126P106160805</t>
  </si>
  <si>
    <t>TP FOR 8866</t>
  </si>
  <si>
    <t>Insurance</t>
  </si>
  <si>
    <t>Oriental Insurance Company Limited</t>
  </si>
  <si>
    <t>231100/31/2027/2380</t>
  </si>
  <si>
    <t>SWIN</t>
  </si>
  <si>
    <t>SWPE</t>
  </si>
  <si>
    <t>132/02/11/0927/MTP/0000445135</t>
  </si>
  <si>
    <t>4,23,000.00</t>
  </si>
  <si>
    <t>Future Generali India Insurance Company Limited</t>
  </si>
  <si>
    <t>DATA CHECKED AS ON 18 SEP 2026</t>
  </si>
  <si>
    <t>6,30,000</t>
  </si>
  <si>
    <t>Magma General Insurance Limited</t>
  </si>
  <si>
    <t>P002710026/4010/101568</t>
  </si>
  <si>
    <t>STATUS</t>
  </si>
  <si>
    <t>DATA CHECKED AS ON 21 SEP 2026</t>
  </si>
  <si>
    <t>1-8XW89URS P400 Policy # N8641958</t>
  </si>
  <si>
    <t>UNIVERSAL SOMPO GENERAL INSURANCE COMPANY LIMITED</t>
  </si>
  <si>
    <t>AVO/2367/20071970</t>
  </si>
  <si>
    <t>Enter vehicle number...</t>
  </si>
  <si>
    <t>Selected Vehicle Insurance</t>
  </si>
  <si>
    <t>Amount</t>
  </si>
  <si>
    <t>RJ02EA3433</t>
  </si>
  <si>
    <t>Rajasthan</t>
  </si>
  <si>
    <t>Escorts Hydra 1565</t>
  </si>
  <si>
    <t>ECE01195LR1116011</t>
  </si>
  <si>
    <t>AE4312C3AE3794613</t>
  </si>
  <si>
    <t>Rs. 19,497</t>
  </si>
  <si>
    <t>Fleet Compliance Dashboard</t>
  </si>
  <si>
    <t>https://steelworkspower-my.sharepoint.com/:b:/g/personal/utkarsh_kashyap_steelworks_in/IQC6kX5UUHzdT6s4SsvOZPr8ATaHOIFr1iAlQgRmMuxo8GI?e=xmCqF7</t>
  </si>
  <si>
    <t>https://steelworkspower-my.sharepoint.com/:b:/g/personal/utkarsh_kashyap_steelworks_in/IQAWr1VJRO2lT6nO7bj-ko9cAVMi6E9m8JFi2sbyBH-Nhm4?e=lj96XW</t>
  </si>
  <si>
    <t>https://steelworkspower-my.sharepoint.com/:b:/g/personal/utkarsh_kashyap_steelworks_in/IQC_hXzuWxsRT6tc1d6iBp38AQF7-E-ZMxRAmwqlHMbiTzQ?e=6206RQ</t>
  </si>
  <si>
    <t>https://steelworkspower-my.sharepoint.com/:b:/g/personal/utkarsh_kashyap_steelworks_in/IQAiYNgKDXqwQoFB6yv4djR4AdBnEZqoVEF1U08JHWl930A?e=NwdzOQ</t>
  </si>
  <si>
    <t>https://steelworkspower-my.sharepoint.com/:b:/g/personal/utkarsh_kashyap_steelworks_in/IQAl6L2m_YjXT5vW5L7xjBYWAQnA2Js4cUzT5GTIc2dF9wM?e=UGdFR1</t>
  </si>
  <si>
    <t>https://steelworkspower-my.sharepoint.com/:b:/g/personal/utkarsh_kashyap_steelworks_in/IQBy5y9Q2xm0TKNtsXyzwTHSAd9D0Brw5b1N8BbsKWuVlhc?e=EsHXhP</t>
  </si>
  <si>
    <t>https://steelworkspower-my.sharepoint.com/:b:/g/personal/utkarsh_kashyap_steelworks_in/IQD3HaaB8auQSafiSQC2Vao5AYNFuTMTs1UO2rGEsfteDWc?e=4SlDQo</t>
  </si>
  <si>
    <t>https://steelworkspower-my.sharepoint.com/:b:/g/personal/utkarsh_kashyap_steelworks_in/IQAMpjZs0fVMSbX5TXpUgs3AAb7zkKoAjJwfJk-SRNn3mLk?e=VephUS</t>
  </si>
  <si>
    <t>https://steelworkspower-my.sharepoint.com/:b:/g/personal/utkarsh_kashyap_steelworks_in/IQAiI5dRqbaNTpb_-mX5N8OMAV6f7STaxDXdNWUNXmE9Z74?e=ifaAhl</t>
  </si>
  <si>
    <t>https://steelworkspower-my.sharepoint.com/:b:/g/personal/utkarsh_kashyap_steelworks_in/IQD_2DtEr88qS6A72WItHDHtAYm3z5Ew1tYO2gTBCjezFRA?e=9wnVBz</t>
  </si>
  <si>
    <t>https://steelworkspower-my.sharepoint.com/:b:/g/personal/utkarsh_kashyap_steelworks_in/IQCQAuwPPcqaTpnbwDk-lTSzAWjEDVSmeaU0eMjHzXehJjE?e=wF797q</t>
  </si>
  <si>
    <t>https://steelworkspower-my.sharepoint.com/:b:/g/personal/utkarsh_kashyap_steelworks_in/IQDQVjk6jRyFQrzDEpuw6FU_AZpqPCm88zd9pzrAP7_K7F0?e=EczBkL</t>
  </si>
  <si>
    <t>https://steelworkspower-my.sharepoint.com/:b:/g/personal/utkarsh_kashyap_steelworks_in/IQDJGZ5dRhjBTouDDHBXDwQtAUcqgopDuvPd7-6PzXJ9Wnw?e=fvbNCf</t>
  </si>
  <si>
    <t>https://steelworkspower-my.sharepoint.com/:b:/g/personal/utkarsh_kashyap_steelworks_in/IQCbZd1ZgvO6QpX8XiG39PvcAbzoC8QRkNb1kh7LvYxb2O8?e=xPisjA</t>
  </si>
  <si>
    <t>https://steelworkspower-my.sharepoint.com/:b:/g/personal/utkarsh_kashyap_steelworks_in/IQDo0NQIpPdnQJZRdsJGNNE9AQaLpSmOE0np29Xb0uGkRPQ?e=fZ03wx</t>
  </si>
  <si>
    <t>https://steelworkspower-my.sharepoint.com/:b:/g/personal/utkarsh_kashyap_steelworks_in/IQCoWaxPGzTMTY3eylbVwDtvASjVPkn6pWvlWHom2e3qBqA?e=NIZc5q</t>
  </si>
  <si>
    <t>https://steelworkspower-my.sharepoint.com/:b:/g/personal/utkarsh_kashyap_steelworks_in/IQBKMukghayDQZ-Y6n4kvuZOAdgp22zwtitOZR7BfYa66AI?e=qKTu2d</t>
  </si>
  <si>
    <t>https://steelworkspower-my.sharepoint.com/:b:/g/personal/utkarsh_kashyap_steelworks_in/IQCm9MdX43tqS5aP2xJr2iejAdnn9dD4V0qeGVwHYCLpjJ0?e=Dcg1WL</t>
  </si>
  <si>
    <t>https://steelworkspower-my.sharepoint.com/:b:/g/personal/utkarsh_kashyap_steelworks_in/IQA4gIkhWPLNTrHGHqeZnRPEAdD8C5-TbADwbkMAO3HS5DI?e=OGNlH9</t>
  </si>
  <si>
    <t>https://steelworkspower-my.sharepoint.com/:b:/g/personal/utkarsh_kashyap_steelworks_in/IQB-rvYJh02WQYMdKGrmV_A4AR8y5e1CWNegQQOXjlFqjvE?e=ZL75qv</t>
  </si>
  <si>
    <t>https://steelworkspower-my.sharepoint.com/:b:/g/personal/utkarsh_kashyap_steelworks_in/IQDN_MoiddsiRL3so6WSUDUTAQo8aX5axKj7smTBnhhL0M4?e=ddcFGW</t>
  </si>
  <si>
    <t>https://steelworkspower-my.sharepoint.com/:i:/g/personal/utkarsh_kashyap_steelworks_in/IQBE0Uab8euOSIWkUb3TqdnPATmafNaSsPfSAEzgcfIwVF8?e=3vT0Pu</t>
  </si>
  <si>
    <t>https://steelworkspower-my.sharepoint.com/:b:/g/personal/utkarsh_kashyap_steelworks_in/IQCkRR8U35FFQpYR2iMSLE4AAVLiokYLjVyLd3SAYP4u__0?e=4VIvOK</t>
  </si>
  <si>
    <t>https://steelworkspower-my.sharepoint.com/:b:/g/personal/utkarsh_kashyap_steelworks_in/IQAOm6I7luUpTJDkPIIUrxltAUVp-GKEpUSM6reo-SwI2Lw?e=1csOxl</t>
  </si>
  <si>
    <t>https://steelworkspower-my.sharepoint.com/:b:/g/personal/utkarsh_kashyap_steelworks_in/IQCXaU7zjVnEQ7eWA6wPved5AYaBLjl7PWDgliaExDK7RC4?e=CfGwBb</t>
  </si>
  <si>
    <t>https://steelworkspower-my.sharepoint.com/:b:/g/personal/utkarsh_kashyap_steelworks_in/IQC5bgbhbE-BSKkxnYPBYFlYAXB7dvsZZ28UOwniEfl9_SI?e=mKvyhX</t>
  </si>
  <si>
    <t>https://steelworkspower-my.sharepoint.com/:b:/g/personal/utkarsh_kashyap_steelworks_in/IQBHJxy9oONKQqhtD4w85BGSAXs1Fmcx0a44lScFqpTekbw?e=QKXwdd</t>
  </si>
  <si>
    <t>https://steelworkspower-my.sharepoint.com/:b:/g/personal/utkarsh_kashyap_steelworks_in/IQA3kZ_zp-qcSrRy6gIL2EQ7Af5JLvCmSYOg8yy-aRLtzKY?e=DvRdx7</t>
  </si>
  <si>
    <t>https://steelworkspower-my.sharepoint.com/:b:/g/personal/utkarsh_kashyap_steelworks_in/IQCUKAfLAAGPTbBhhCtdKDq3AdhZLj5GX3ABrDXCUKC94Hw?e=xLfQ1L</t>
  </si>
  <si>
    <t>https://steelworkspower-my.sharepoint.com/:b:/g/personal/utkarsh_kashyap_steelworks_in/IQCFiZyCHbHDTJpWsi35sTRrAVlPK8EuVvGEnMikxWi7c1E?e=UWSi2j</t>
  </si>
  <si>
    <t>https://steelworkspower-my.sharepoint.com/:b:/g/personal/utkarsh_kashyap_steelworks_in/IQDvCiAIpJIDSaAuY1PDxRj_ATJ1p-kY2UtUNU0sp_W6gXw?e=pCoSBH</t>
  </si>
  <si>
    <t>https://steelworkspower-my.sharepoint.com/:b:/g/personal/utkarsh_kashyap_steelworks_in/IQAPA8G-1e1hQ4RZVb3meizSAZKv6uDXkMv1U0IIqRUhePU?e=tce4qE</t>
  </si>
  <si>
    <t>https://steelworkspower-my.sharepoint.com/:b:/g/personal/utkarsh_kashyap_steelworks_in/IQCNVVxvaDWgT6B4cFgEbiWoASh5CznbmpQVgyYkL1fhFyI?e=z2ijVp</t>
  </si>
  <si>
    <t>https://steelworkspower-my.sharepoint.com/:b:/g/personal/utkarsh_kashyap_steelworks_in/IQDUUinuORctQrIkbFvSqmpEAWOWJO6afPmhiUmvzCI8r2Y?e=l2lr8E</t>
  </si>
  <si>
    <t>https://steelworkspower-my.sharepoint.com/:b:/g/personal/utkarsh_kashyap_steelworks_in/IQC93vU-CnP_R6eGbHcyk-DrAQY6rnWx4sv36K0Ud_4Fnyc?e=y9S4QA</t>
  </si>
  <si>
    <t>https://steelworkspower-my.sharepoint.com/:b:/g/personal/utkarsh_kashyap_steelworks_in/IQDt4aI5di9_QoHj8AcPrHBPAVePTFNiSUK-4jUWVYZUO_s?e=F4eHoD</t>
  </si>
  <si>
    <t>https://steelworkspower-my.sharepoint.com/:b:/g/personal/utkarsh_kashyap_steelworks_in/IQBtvTOQZgl7Rosi6X8Ftei8AcnekZ-bYMfeK-bGJ_HnBdE?e=BtbOdJ</t>
  </si>
  <si>
    <t>https://steelworkspower-my.sharepoint.com/:b:/g/personal/utkarsh_kashyap_steelworks_in/IQBcC1GW-xFmTqH6H_iUTfsDAcEaww4KLvhLvcE0rohM9T4?e=cRJeWB</t>
  </si>
  <si>
    <t>https://steelworkspower-my.sharepoint.com/:b:/g/personal/utkarsh_kashyap_steelworks_in/IQDE5k8sVR8rSZbxBTYCSQVlAerkrt1TwdKuThGxc9F26Hs?e=2I2eUT</t>
  </si>
  <si>
    <t>https://steelworkspower-my.sharepoint.com/:b:/g/personal/utkarsh_kashyap_steelworks_in/IQBzT58P8xcVSLHQNkY721yaAVM7Eva2xN6OF03tZLnOyog?e=XGn9rj</t>
  </si>
  <si>
    <t>https://steelworkspower-my.sharepoint.com/:b:/g/personal/utkarsh_kashyap_steelworks_in/IQDCrTxuUu0QTby1qWt0Q5jJARgE4NTxlA9a5j0GLrme7pQ?e=PrNt4s</t>
  </si>
  <si>
    <t>https://steelworkspower-my.sharepoint.com/:b:/g/personal/utkarsh_kashyap_steelworks_in/IQC58N1G0PusTIMwmiMGdRdfAQgkE3QR3aMFlBuuzb78EMw?e=keGW6s</t>
  </si>
  <si>
    <t>https://steelworkspower-my.sharepoint.com/:b:/g/personal/utkarsh_kashyap_steelworks_in/IQAu0OkrN3GASKHq5hRLC-2TAdcQ9IUnLmWKdcZFK5IaoOo?e=ynpSdu</t>
  </si>
  <si>
    <t>https://steelworkspower-my.sharepoint.com/:b:/g/personal/utkarsh_kashyap_steelworks_in/IQD0Vzcb2dS4QpJx_BYBRtFGAVeb_uyRfdmK3PxahkRSdys?e=OvKfRa</t>
  </si>
  <si>
    <t>https://steelworkspower-my.sharepoint.com/:b:/g/personal/utkarsh_kashyap_steelworks_in/IQAWYSdRAE_LRLduBKIUPZ3LAeqOESNP_6JMXIgrlYybcPM?e=dQrQpk</t>
  </si>
  <si>
    <t>https://steelworkspower-my.sharepoint.com/:b:/g/personal/utkarsh_kashyap_steelworks_in/IQDItFypHCpKS7AgiWHIiXUyAa6F9grTxn_8blicYs6yob0?e=cofA3p</t>
  </si>
  <si>
    <t>https://steelworkspower-my.sharepoint.com/:b:/g/personal/utkarsh_kashyap_steelworks_in/IQDZc36higIPQppQeH4-vGYZAS_yYXAgJj815HbAokR11i4?e=0cqx7m</t>
  </si>
  <si>
    <t>https://steelworkspower-my.sharepoint.com/:b:/g/personal/utkarsh_kashyap_steelworks_in/IQChWtu_u_hGQK8QR3_9ObwvAVHZioxCXMZe99lJPvQBQZ4?e=2CoXdm</t>
  </si>
  <si>
    <t>https://steelworkspower-my.sharepoint.com/:b:/g/personal/utkarsh_kashyap_steelworks_in/IQCxcHk7_eHsRqq6g6waAJv-Adl0sqE0W_y28-MZPm6ortc?e=06vG1I</t>
  </si>
  <si>
    <t>https://steelworkspower-my.sharepoint.com/:b:/g/personal/utkarsh_kashyap_steelworks_in/IQAwNGqhhXbyRLslcLZqd8C9AfUD8VDRiyQO2yPICZf90CE?e=2IHb8c</t>
  </si>
  <si>
    <t>https://steelworkspower-my.sharepoint.com/:b:/g/personal/utkarsh_kashyap_steelworks_in/IQBuEL_lK8FrQ6HLPNc_Hv7_Acss9ta7x4vTs_vlfYTVhos?e=c7UxBh</t>
  </si>
  <si>
    <t>https://steelworkspower-my.sharepoint.com/:b:/g/personal/utkarsh_kashyap_steelworks_in/IQCcRECqy_XdQq6SwCpMO7qWAb8RNmMxM3-cqeuHN0nRSNs?e=SiCOfi</t>
  </si>
  <si>
    <t>https://steelworkspower-my.sharepoint.com/:b:/g/personal/utkarsh_kashyap_steelworks_in/IQC4560ZMG4WTo3Gk6kAa3lhAZk7asv2EXu8Ix5svgHB_LQ?e=qUzHvI</t>
  </si>
  <si>
    <t>https://steelworkspower-my.sharepoint.com/:b:/g/personal/utkarsh_kashyap_steelworks_in/IQDzn3eEvLvVTKYvfl4PK8ETAWYhZ06osVu6NCoBQD43NWA?e=siPdbL</t>
  </si>
  <si>
    <t>https://steelworkspower-my.sharepoint.com/:b:/g/personal/utkarsh_kashyap_steelworks_in/IQCMIL9d0akASqdteWPPPnk6AQcKxKKbO-bn4V01sbh0l3g?e=5Sp1S5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</si>
</sst>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FFFF"/>
      <name val="Segoe UI"/>
      <family val="2"/>
    </font>
    <font>
      <b/>
      <sz val="11"/>
      <name val="Calibri"/>
      <family val="2"/>
      <scheme val="minor"/>
    </font>
    <font>
      <b/>
      <sz val="16"/>
      <color rgb="FFB4B4B4"/>
      <name val="Segoe UI"/>
      <family val="2"/>
    </font>
    <font>
      <sz val="11"/>
      <color rgb="FF000000"/>
      <name val="Calibri"/>
      <family val="2"/>
      <scheme val="minor"/>
    </font>
    <font>
      <b/>
      <u/>
      <sz val="12"/>
      <color theme="9" tint="-0.249977111117893"/>
      <name val="Segoe UI"/>
      <family val="2"/>
    </font>
    <font>
      <b/>
      <u/>
      <sz val="14"/>
      <color theme="1"/>
      <name val="Times New Roman"/>
      <family val="1"/>
    </font>
    <font>
      <b/>
      <i/>
      <sz val="10"/>
      <color rgb="FF969696"/>
      <name val="Segoe UI"/>
      <family val="2"/>
    </font>
    <font>
      <b/>
      <sz val="11"/>
      <color rgb="FF990000"/>
      <name val="Calibri"/>
      <family val="2"/>
      <scheme val="minor"/>
    </font>
    <font>
      <u/>
      <sz val="11"/>
      <color theme="9" tint="-0.249977111117893"/>
      <name val="Calibri"/>
      <family val="2"/>
    </font>
    <font>
      <b/>
      <sz val="20"/>
      <color theme="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4"/>
      <color rgb="FF000000"/>
      <name val="Segoe UI"/>
      <family val="2"/>
    </font>
    <font>
      <b/>
      <sz val="26"/>
      <color rgb="FF000000"/>
      <name val="Segoe U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color rgb="FFE26B0A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EE7A2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0" fontId="3" fillId="0" borderId="1" xfId="3" applyBorder="1" applyProtection="1"/>
    <xf numFmtId="164" fontId="2" fillId="2" borderId="3" xfId="1" applyFont="1" applyFill="1" applyBorder="1" applyAlignment="1" applyProtection="1">
      <alignment horizontal="center" vertical="center" wrapText="1"/>
    </xf>
    <xf numFmtId="164" fontId="0" fillId="0" borderId="1" xfId="1" applyFont="1" applyFill="1" applyBorder="1" applyAlignment="1" applyProtection="1">
      <alignment horizontal="right" vertical="center"/>
    </xf>
    <xf numFmtId="0" fontId="3" fillId="0" borderId="8" xfId="3" applyBorder="1" applyProtection="1"/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0" borderId="16" xfId="0" applyBorder="1" applyAlignment="1">
      <alignment horizontal="left" vertical="top"/>
    </xf>
    <xf numFmtId="0" fontId="9" fillId="0" borderId="16" xfId="0" applyFont="1" applyBorder="1" applyAlignment="1">
      <alignment horizontal="center" vertical="center" textRotation="45"/>
    </xf>
    <xf numFmtId="0" fontId="0" fillId="0" borderId="16" xfId="0" applyBorder="1"/>
    <xf numFmtId="0" fontId="5" fillId="0" borderId="16" xfId="0" applyFont="1" applyBorder="1"/>
    <xf numFmtId="0" fontId="8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1" xfId="0" applyBorder="1"/>
    <xf numFmtId="14" fontId="0" fillId="0" borderId="1" xfId="0" applyNumberFormat="1" applyBorder="1"/>
    <xf numFmtId="2" fontId="0" fillId="0" borderId="1" xfId="0" applyNumberFormat="1" applyBorder="1"/>
    <xf numFmtId="0" fontId="0" fillId="0" borderId="1" xfId="0" quotePrefix="1" applyBorder="1"/>
    <xf numFmtId="0" fontId="0" fillId="0" borderId="8" xfId="0" applyBorder="1"/>
    <xf numFmtId="14" fontId="0" fillId="0" borderId="8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3" fillId="0" borderId="1" xfId="3" applyNumberFormat="1" applyFill="1" applyBorder="1" applyAlignment="1" applyProtection="1">
      <alignment vertical="center"/>
    </xf>
    <xf numFmtId="14" fontId="0" fillId="0" borderId="1" xfId="1" applyNumberFormat="1" applyFont="1" applyFill="1" applyBorder="1" applyAlignment="1" applyProtection="1">
      <alignment vertical="center"/>
    </xf>
    <xf numFmtId="0" fontId="0" fillId="0" borderId="1" xfId="0" quotePrefix="1" applyBorder="1" applyAlignment="1">
      <alignment vertical="center"/>
    </xf>
    <xf numFmtId="14" fontId="0" fillId="0" borderId="1" xfId="0" applyNumberFormat="1" applyBorder="1" applyAlignment="1">
      <alignment vertical="center"/>
    </xf>
    <xf numFmtId="14" fontId="3" fillId="0" borderId="1" xfId="3" applyNumberFormat="1" applyFill="1" applyBorder="1" applyAlignment="1" applyProtection="1">
      <alignment vertical="center"/>
    </xf>
    <xf numFmtId="0" fontId="3" fillId="0" borderId="1" xfId="3" applyBorder="1" applyAlignment="1" applyProtection="1">
      <alignment vertical="center"/>
    </xf>
    <xf numFmtId="1" fontId="0" fillId="0" borderId="1" xfId="0" applyNumberFormat="1" applyBorder="1" applyAlignment="1">
      <alignment vertical="center"/>
    </xf>
    <xf numFmtId="14" fontId="3" fillId="0" borderId="1" xfId="3" applyNumberFormat="1" applyBorder="1" applyAlignment="1" applyProtection="1">
      <alignment vertical="center"/>
    </xf>
    <xf numFmtId="164" fontId="3" fillId="0" borderId="1" xfId="3" applyNumberFormat="1" applyFill="1" applyBorder="1" applyAlignment="1" applyProtection="1">
      <alignment vertical="center"/>
    </xf>
    <xf numFmtId="165" fontId="0" fillId="0" borderId="1" xfId="0" applyNumberFormat="1" applyBorder="1" applyAlignment="1">
      <alignment vertical="center"/>
    </xf>
    <xf numFmtId="0" fontId="3" fillId="0" borderId="1" xfId="3" applyFill="1" applyBorder="1" applyProtection="1"/>
    <xf numFmtId="0" fontId="0" fillId="0" borderId="7" xfId="0" applyBorder="1"/>
    <xf numFmtId="0" fontId="3" fillId="0" borderId="8" xfId="3" applyNumberFormat="1" applyFill="1" applyBorder="1" applyAlignment="1" applyProtection="1">
      <alignment vertical="center"/>
    </xf>
    <xf numFmtId="14" fontId="0" fillId="0" borderId="8" xfId="0" applyNumberFormat="1" applyBorder="1" applyAlignment="1">
      <alignment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3" applyAlignment="1" applyProtection="1">
      <alignment vertical="center" wrapText="1"/>
    </xf>
    <xf numFmtId="0" fontId="3" fillId="0" borderId="1" xfId="3" applyBorder="1"/>
    <xf numFmtId="164" fontId="2" fillId="2" borderId="3" xfId="1" applyFont="1" applyFill="1" applyBorder="1" applyAlignment="1" applyProtection="1">
      <alignment horizontal="right" vertical="center" wrapText="1"/>
    </xf>
    <xf numFmtId="0" fontId="0" fillId="0" borderId="0" xfId="0" applyAlignment="1">
      <alignment horizontal="right"/>
    </xf>
    <xf numFmtId="0" fontId="13" fillId="0" borderId="18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9" fillId="0" borderId="10" xfId="0" applyFont="1" applyBorder="1" applyAlignment="1">
      <alignment horizontal="center" vertical="center" textRotation="45"/>
    </xf>
    <xf numFmtId="0" fontId="9" fillId="0" borderId="16" xfId="0" applyFont="1" applyBorder="1" applyAlignment="1">
      <alignment horizontal="left" vertical="top" textRotation="45"/>
    </xf>
    <xf numFmtId="0" fontId="12" fillId="0" borderId="16" xfId="0" applyFont="1" applyBorder="1" applyAlignment="1">
      <alignment horizontal="left" vertical="top"/>
    </xf>
    <xf numFmtId="0" fontId="8" fillId="0" borderId="1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2" fillId="5" borderId="16" xfId="0" applyFont="1" applyFill="1" applyBorder="1" applyAlignment="1">
      <alignment horizontal="left" vertical="top"/>
    </xf>
    <xf numFmtId="0" fontId="9" fillId="5" borderId="10" xfId="0" applyFont="1" applyFill="1" applyBorder="1" applyAlignment="1">
      <alignment horizontal="center" vertical="center" textRotation="45"/>
    </xf>
    <xf numFmtId="0" fontId="0" fillId="5" borderId="16" xfId="0" applyFill="1" applyBorder="1" applyAlignment="1">
      <alignment horizontal="left" vertical="top"/>
    </xf>
    <xf numFmtId="0" fontId="9" fillId="5" borderId="16" xfId="0" applyFont="1" applyFill="1" applyBorder="1" applyAlignment="1">
      <alignment horizontal="left" vertical="top" textRotation="45"/>
    </xf>
    <xf numFmtId="0" fontId="6" fillId="5" borderId="10" xfId="0" applyFont="1" applyFill="1" applyBorder="1"/>
    <xf numFmtId="0" fontId="6" fillId="5" borderId="10" xfId="0" applyFont="1" applyFill="1" applyBorder="1" applyProtection="1">
      <protection locked="0"/>
    </xf>
    <xf numFmtId="0" fontId="0" fillId="5" borderId="10" xfId="0" applyFill="1" applyBorder="1"/>
    <xf numFmtId="0" fontId="0" fillId="5" borderId="10" xfId="0" applyFill="1" applyBorder="1" applyProtection="1">
      <protection locked="0"/>
    </xf>
    <xf numFmtId="0" fontId="0" fillId="0" borderId="8" xfId="0" applyBorder="1" applyAlignment="1">
      <alignment vertical="center"/>
    </xf>
    <xf numFmtId="164" fontId="0" fillId="0" borderId="8" xfId="1" applyFont="1" applyFill="1" applyBorder="1" applyAlignment="1" applyProtection="1">
      <alignment horizontal="right" vertical="center"/>
    </xf>
    <xf numFmtId="14" fontId="3" fillId="0" borderId="8" xfId="3" applyNumberFormat="1" applyFill="1" applyBorder="1" applyAlignment="1" applyProtection="1">
      <alignment vertical="center"/>
    </xf>
    <xf numFmtId="0" fontId="5" fillId="7" borderId="3" xfId="0" applyFont="1" applyFill="1" applyBorder="1" applyAlignment="1">
      <alignment horizontal="center" vertical="center" wrapText="1"/>
    </xf>
    <xf numFmtId="0" fontId="0" fillId="7" borderId="1" xfId="0" applyFill="1" applyBorder="1"/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/>
    <xf numFmtId="0" fontId="0" fillId="7" borderId="8" xfId="0" applyFill="1" applyBorder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4" borderId="12" xfId="0" applyFill="1" applyBorder="1" applyAlignment="1">
      <alignment horizontal="left" vertical="center"/>
    </xf>
    <xf numFmtId="0" fontId="0" fillId="4" borderId="12" xfId="0" applyFill="1" applyBorder="1" applyAlignment="1">
      <alignment horizontal="center" vertical="center"/>
    </xf>
    <xf numFmtId="0" fontId="20" fillId="6" borderId="1" xfId="0" applyFont="1" applyFill="1" applyBorder="1"/>
    <xf numFmtId="0" fontId="19" fillId="6" borderId="1" xfId="0" applyFont="1" applyFill="1" applyBorder="1"/>
    <xf numFmtId="0" fontId="0" fillId="6" borderId="1" xfId="0" applyFill="1" applyBorder="1"/>
    <xf numFmtId="0" fontId="5" fillId="6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20" fillId="6" borderId="8" xfId="0" applyFont="1" applyFill="1" applyBorder="1"/>
    <xf numFmtId="0" fontId="5" fillId="9" borderId="6" xfId="0" applyFont="1" applyFill="1" applyBorder="1"/>
    <xf numFmtId="0" fontId="5" fillId="9" borderId="9" xfId="0" applyFont="1" applyFill="1" applyBorder="1"/>
    <xf numFmtId="0" fontId="24" fillId="2" borderId="2" xfId="0" applyFont="1" applyFill="1" applyBorder="1" applyAlignment="1">
      <alignment horizontal="left" vertical="center" wrapText="1"/>
    </xf>
    <xf numFmtId="0" fontId="24" fillId="2" borderId="3" xfId="0" applyFont="1" applyFill="1" applyBorder="1" applyAlignment="1">
      <alignment horizontal="left" vertical="center" wrapText="1"/>
    </xf>
    <xf numFmtId="164" fontId="24" fillId="2" borderId="3" xfId="1" applyFont="1" applyFill="1" applyBorder="1" applyAlignment="1" applyProtection="1">
      <alignment horizontal="left" vertical="center" wrapText="1"/>
    </xf>
    <xf numFmtId="0" fontId="24" fillId="2" borderId="4" xfId="0" applyFont="1" applyFill="1" applyBorder="1" applyAlignment="1">
      <alignment horizontal="left" vertical="center" wrapText="1"/>
    </xf>
    <xf numFmtId="164" fontId="0" fillId="0" borderId="1" xfId="1" applyFont="1" applyFill="1" applyBorder="1" applyAlignment="1" applyProtection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7" borderId="1" xfId="0" applyNumberFormat="1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14" fontId="0" fillId="7" borderId="8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5" xfId="0" applyBorder="1" applyAlignment="1">
      <alignment horizontal="left" vertical="center"/>
    </xf>
    <xf numFmtId="0" fontId="3" fillId="7" borderId="1" xfId="3" applyFill="1" applyBorder="1" applyAlignment="1" applyProtection="1">
      <alignment horizontal="left" vertical="center"/>
    </xf>
    <xf numFmtId="14" fontId="0" fillId="7" borderId="1" xfId="1" applyNumberFormat="1" applyFont="1" applyFill="1" applyBorder="1" applyAlignment="1" applyProtection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14" fontId="3" fillId="0" borderId="1" xfId="3" applyNumberFormat="1" applyFill="1" applyBorder="1" applyAlignment="1" applyProtection="1">
      <alignment horizontal="left" vertical="center"/>
    </xf>
    <xf numFmtId="14" fontId="3" fillId="0" borderId="1" xfId="3" applyNumberFormat="1" applyFill="1" applyBorder="1" applyAlignment="1">
      <alignment horizontal="left" vertical="center"/>
    </xf>
    <xf numFmtId="2" fontId="0" fillId="0" borderId="1" xfId="0" applyNumberFormat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7" borderId="1" xfId="0" quotePrefix="1" applyFill="1" applyBorder="1" applyAlignment="1">
      <alignment horizontal="left" vertical="center"/>
    </xf>
    <xf numFmtId="0" fontId="3" fillId="0" borderId="1" xfId="3" applyFill="1" applyBorder="1" applyAlignment="1" applyProtection="1">
      <alignment horizontal="left" vertical="center"/>
    </xf>
    <xf numFmtId="0" fontId="0" fillId="0" borderId="1" xfId="1" quotePrefix="1" applyNumberFormat="1" applyFont="1" applyFill="1" applyBorder="1" applyAlignment="1" applyProtection="1">
      <alignment horizontal="left" vertical="center"/>
    </xf>
    <xf numFmtId="0" fontId="3" fillId="0" borderId="1" xfId="3" applyFill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1" fontId="0" fillId="7" borderId="1" xfId="0" applyNumberFormat="1" applyFill="1" applyBorder="1" applyAlignment="1">
      <alignment horizontal="left" vertical="center"/>
    </xf>
    <xf numFmtId="0" fontId="3" fillId="0" borderId="1" xfId="3" applyBorder="1" applyAlignment="1">
      <alignment horizontal="left" vertical="center"/>
    </xf>
    <xf numFmtId="164" fontId="0" fillId="0" borderId="1" xfId="1" quotePrefix="1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left" vertical="center"/>
    </xf>
    <xf numFmtId="0" fontId="3" fillId="7" borderId="8" xfId="3" applyFill="1" applyBorder="1" applyAlignment="1" applyProtection="1">
      <alignment horizontal="left" vertical="center"/>
    </xf>
    <xf numFmtId="14" fontId="0" fillId="7" borderId="8" xfId="1" applyNumberFormat="1" applyFont="1" applyFill="1" applyBorder="1" applyAlignment="1" applyProtection="1">
      <alignment horizontal="left" vertical="center"/>
    </xf>
    <xf numFmtId="14" fontId="0" fillId="0" borderId="8" xfId="0" applyNumberFormat="1" applyBorder="1" applyAlignment="1">
      <alignment horizontal="left" vertical="center"/>
    </xf>
    <xf numFmtId="14" fontId="3" fillId="0" borderId="8" xfId="3" applyNumberFormat="1" applyFill="1" applyBorder="1" applyAlignment="1" applyProtection="1">
      <alignment horizontal="left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left" vertical="center"/>
    </xf>
    <xf numFmtId="0" fontId="3" fillId="0" borderId="8" xfId="3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0" fontId="0" fillId="9" borderId="9" xfId="0" applyFill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0" fillId="0" borderId="0" xfId="1" applyFont="1" applyAlignment="1">
      <alignment horizontal="left" vertical="center"/>
    </xf>
    <xf numFmtId="4" fontId="0" fillId="0" borderId="1" xfId="1" applyNumberFormat="1" applyFont="1" applyFill="1" applyBorder="1" applyAlignment="1" applyProtection="1">
      <alignment horizontal="left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4" fillId="0" borderId="16" xfId="0" applyFont="1" applyBorder="1" applyAlignment="1">
      <alignment horizontal="left" vertical="top"/>
    </xf>
    <xf numFmtId="0" fontId="14" fillId="0" borderId="0" xfId="0" applyFont="1"/>
    <xf numFmtId="0" fontId="14" fillId="0" borderId="17" xfId="0" applyFont="1" applyBorder="1" applyAlignment="1">
      <alignment horizontal="left" vertical="top"/>
    </xf>
    <xf numFmtId="0" fontId="14" fillId="0" borderId="12" xfId="0" applyFont="1" applyBorder="1"/>
    <xf numFmtId="0" fontId="14" fillId="0" borderId="12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center"/>
    </xf>
    <xf numFmtId="0" fontId="14" fillId="0" borderId="10" xfId="0" applyFont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1" fillId="5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left" vertical="center"/>
    </xf>
    <xf numFmtId="0" fontId="15" fillId="4" borderId="14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7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25" fillId="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</cellXfs>
  <cellStyles count="4">
    <cellStyle name="Comma" xfId="1" builtinId="3"/>
    <cellStyle name="Comma 2" xfId="2" xr:uid="{D01D4A1E-BC3B-4BF9-B1AE-0261DF6EB2F6}"/>
    <cellStyle name="Hyperlink" xfId="3" builtinId="8"/>
    <cellStyle name="Normal" xfId="0" builtinId="0"/>
  </cellStyles>
  <dxfs count="75"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00B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Medium9"/>
  <colors>
    <mruColors>
      <color rgb="FFEE7A24"/>
      <color rgb="FF0377B0"/>
      <color rgb="FF376CAD"/>
      <color rgb="FF70AD47"/>
      <color rgb="FF0078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$B$25" fmlaRange="$L$2:$L$15" noThreeD="1" sel="0" val="0"/>
</file>

<file path=xl/ctrlProps/ctrlProp6.xml><?xml version="1.0" encoding="utf-8"?>
<formControlPr xmlns="http://schemas.microsoft.com/office/spreadsheetml/2009/9/main" objectType="Drop" dropStyle="combo" dx="22" fmlaLink="$B$23" fmlaRange="$K$2:$K$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12</xdr:row>
          <xdr:rowOff>123825</xdr:rowOff>
        </xdr:from>
        <xdr:to>
          <xdr:col>1</xdr:col>
          <xdr:colOff>1133475</xdr:colOff>
          <xdr:row>14</xdr:row>
          <xdr:rowOff>76200</xdr:rowOff>
        </xdr:to>
        <xdr:sp macro="" textlink="">
          <xdr:nvSpPr>
            <xdr:cNvPr id="11267" name="btnInsurance" descr="🔎 Vehicle Searc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14</xdr:row>
          <xdr:rowOff>104775</xdr:rowOff>
        </xdr:from>
        <xdr:to>
          <xdr:col>1</xdr:col>
          <xdr:colOff>1133475</xdr:colOff>
          <xdr:row>16</xdr:row>
          <xdr:rowOff>38100</xdr:rowOff>
        </xdr:to>
        <xdr:sp macro="" textlink="">
          <xdr:nvSpPr>
            <xdr:cNvPr id="11268" name="btnFitness" descr="🔎 Vehicle Searc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16</xdr:row>
          <xdr:rowOff>66675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11269" name="btnMVTax" descr="🔎 Vehicle Search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MV Tax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561975</xdr:colOff>
          <xdr:row>18</xdr:row>
          <xdr:rowOff>28575</xdr:rowOff>
        </xdr:from>
        <xdr:to>
          <xdr:col>1</xdr:col>
          <xdr:colOff>1133475</xdr:colOff>
          <xdr:row>19</xdr:row>
          <xdr:rowOff>219075</xdr:rowOff>
        </xdr:to>
        <xdr:sp macro="" textlink="">
          <xdr:nvSpPr>
            <xdr:cNvPr id="11270" name="btnPermit" descr="🔎 Vehicle Search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23</xdr:row>
          <xdr:rowOff>104775</xdr:rowOff>
        </xdr:from>
        <xdr:to>
          <xdr:col>1</xdr:col>
          <xdr:colOff>1171575</xdr:colOff>
          <xdr:row>25</xdr:row>
          <xdr:rowOff>9525</xdr:rowOff>
        </xdr:to>
        <xdr:sp macro="" textlink="">
          <xdr:nvSpPr>
            <xdr:cNvPr id="11280" name="Drop Down 16" descr="🔎 Vehicle Search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2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21</xdr:row>
          <xdr:rowOff>123825</xdr:rowOff>
        </xdr:from>
        <xdr:to>
          <xdr:col>1</xdr:col>
          <xdr:colOff>1171575</xdr:colOff>
          <xdr:row>23</xdr:row>
          <xdr:rowOff>28575</xdr:rowOff>
        </xdr:to>
        <xdr:sp macro="" textlink="">
          <xdr:nvSpPr>
            <xdr:cNvPr id="11282" name="Drop Down 18" descr="🔎 Vehicle Search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2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26</xdr:row>
          <xdr:rowOff>142875</xdr:rowOff>
        </xdr:from>
        <xdr:to>
          <xdr:col>1</xdr:col>
          <xdr:colOff>1371600</xdr:colOff>
          <xdr:row>28</xdr:row>
          <xdr:rowOff>142875</xdr:rowOff>
        </xdr:to>
        <xdr:sp macro="" textlink="">
          <xdr:nvSpPr>
            <xdr:cNvPr id="11284" name="Button 20" descr="🔎 Vehicle Search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2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4008" rIns="54864" bIns="64008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6</xdr:row>
          <xdr:rowOff>142875</xdr:rowOff>
        </xdr:from>
        <xdr:to>
          <xdr:col>1</xdr:col>
          <xdr:colOff>1171575</xdr:colOff>
          <xdr:row>8</xdr:row>
          <xdr:rowOff>85725</xdr:rowOff>
        </xdr:to>
        <xdr:sp macro="" textlink="">
          <xdr:nvSpPr>
            <xdr:cNvPr id="11285" name="btnSWPE" descr="🔎 Vehicle Search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2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609600</xdr:colOff>
          <xdr:row>8</xdr:row>
          <xdr:rowOff>123825</xdr:rowOff>
        </xdr:from>
        <xdr:to>
          <xdr:col>1</xdr:col>
          <xdr:colOff>1171575</xdr:colOff>
          <xdr:row>10</xdr:row>
          <xdr:rowOff>76200</xdr:rowOff>
        </xdr:to>
        <xdr:sp macro="" textlink="">
          <xdr:nvSpPr>
            <xdr:cNvPr id="11286" name="btnSWIN" descr="🔎 Vehicle Search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2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SWIN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</xdr:row>
      <xdr:rowOff>190499</xdr:rowOff>
    </xdr:from>
    <xdr:to>
      <xdr:col>1</xdr:col>
      <xdr:colOff>154781</xdr:colOff>
      <xdr:row>3</xdr:row>
      <xdr:rowOff>226218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666BAA4-3549-E4B2-FFD9-1FB8929BC16D}"/>
            </a:ext>
          </a:extLst>
        </xdr:cNvPr>
        <xdr:cNvSpPr txBox="1"/>
      </xdr:nvSpPr>
      <xdr:spPr>
        <a:xfrm>
          <a:off x="0" y="571499"/>
          <a:ext cx="1547812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rPr>
            <a:t>🔍 </a:t>
          </a:r>
          <a:r>
            <a:rPr lang="en-US" sz="11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Vehicle</a:t>
          </a:r>
          <a:r>
            <a:rPr lang="en-US" sz="11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Search :</a:t>
          </a:r>
          <a:endParaRPr lang="en-US" sz="11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25</xdr:row>
          <xdr:rowOff>47625</xdr:rowOff>
        </xdr:from>
        <xdr:to>
          <xdr:col>1</xdr:col>
          <xdr:colOff>1371600</xdr:colOff>
          <xdr:row>26</xdr:row>
          <xdr:rowOff>76200</xdr:rowOff>
        </xdr:to>
        <xdr:sp macro="" textlink="">
          <xdr:nvSpPr>
            <xdr:cNvPr id="11287" name="btnExpired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2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Expired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eelworkspower-my.sharepoint.com/:b:/g/personal/utkarsh_kashyap_steelworks_in/IQAiYNgKDXqwQoFB6yv4djR4AdBnEZqoVEF1U08JHWl930A?e=NwdzOQ" TargetMode="External"/><Relationship Id="rId13" Type="http://schemas.openxmlformats.org/officeDocument/2006/relationships/hyperlink" Target="https://steelworkspower-my.sharepoint.com/:b:/g/personal/utkarsh_kashyap_steelworks_in/IQAiI5dRqbaNTpb_-mX5N8OMAV6f7STaxDXdNWUNXmE9Z74?e=ifaAhl" TargetMode="External"/><Relationship Id="rId18" Type="http://schemas.openxmlformats.org/officeDocument/2006/relationships/hyperlink" Target="https://steelworkspower-my.sharepoint.com/:b:/g/personal/utkarsh_kashyap_steelworks_in/IQCbZd1ZgvO6QpX8XiG39PvcAbzoC8QRkNb1kh7LvYxb2O8?e=xPisjA" TargetMode="External"/><Relationship Id="rId26" Type="http://schemas.openxmlformats.org/officeDocument/2006/relationships/hyperlink" Target="../../../../../../../../:i:/g/personal/utkarsh_kashyap_steelworks_in/IQBE0Uab8euOSIWkUb3TqdnPATmafNaSsPfSAEzgcfIwVF8?e=3vT0Pu" TargetMode="External"/><Relationship Id="rId3" Type="http://schemas.openxmlformats.org/officeDocument/2006/relationships/hyperlink" Target="https://steelworkspower-my.sharepoint.com/:b:/g/personal/utkarsh_kashyap_steelworks_in/IQCZYffS4kgkTZaNMNUKQ-BwAfHEiJSr22rI8r-d37FaKMU?e=229m7e" TargetMode="External"/><Relationship Id="rId21" Type="http://schemas.openxmlformats.org/officeDocument/2006/relationships/hyperlink" Target="https://steelworkspower-my.sharepoint.com/:b:/g/personal/utkarsh_kashyap_steelworks_in/IQBKMukghayDQZ-Y6n4kvuZOAdgp22zwtitOZR7BfYa66AI?e=qKTu2d" TargetMode="External"/><Relationship Id="rId7" Type="http://schemas.openxmlformats.org/officeDocument/2006/relationships/hyperlink" Target="https://steelworkspower-my.sharepoint.com/:b:/g/personal/utkarsh_kashyap_steelworks_in/IQC_hXzuWxsRT6tc1d6iBp38AQF7-E-ZMxRAmwqlHMbiTzQ?e=6206RQ" TargetMode="External"/><Relationship Id="rId12" Type="http://schemas.openxmlformats.org/officeDocument/2006/relationships/hyperlink" Target="https://steelworkspower-my.sharepoint.com/:b:/g/personal/utkarsh_kashyap_steelworks_in/IQAMpjZs0fVMSbX5TXpUgs3AAb7zkKoAjJwfJk-SRNn3mLk?e=VephUS" TargetMode="External"/><Relationship Id="rId17" Type="http://schemas.openxmlformats.org/officeDocument/2006/relationships/hyperlink" Target="https://steelworkspower-my.sharepoint.com/:b:/g/personal/utkarsh_kashyap_steelworks_in/IQDJGZ5dRhjBTouDDHBXDwQtAUcqgopDuvPd7-6PzXJ9Wnw?e=fvbNCf" TargetMode="External"/><Relationship Id="rId25" Type="http://schemas.openxmlformats.org/officeDocument/2006/relationships/hyperlink" Target="https://steelworkspower-my.sharepoint.com/:b:/g/personal/utkarsh_kashyap_steelworks_in/IQDN_MoiddsiRL3so6WSUDUTAQo8aX5axKj7smTBnhhL0M4?e=ddcFGW" TargetMode="External"/><Relationship Id="rId2" Type="http://schemas.openxmlformats.org/officeDocument/2006/relationships/hyperlink" Target="https://steelworkspower-my.sharepoint.com/:b:/g/personal/utkarsh_kashyap_steelworks_in/IQAUpRhF3yq6QLM9ycM5S2yPAasIB1Q9lHy8RfJ-mtGpTxM?e=RrcVTB" TargetMode="External"/><Relationship Id="rId16" Type="http://schemas.openxmlformats.org/officeDocument/2006/relationships/hyperlink" Target="https://steelworkspower-my.sharepoint.com/:b:/g/personal/utkarsh_kashyap_steelworks_in/IQDQVjk6jRyFQrzDEpuw6FU_AZpqPCm88zd9pzrAP7_K7F0?e=EczBkL" TargetMode="External"/><Relationship Id="rId20" Type="http://schemas.openxmlformats.org/officeDocument/2006/relationships/hyperlink" Target="https://steelworkspower-my.sharepoint.com/:b:/g/personal/utkarsh_kashyap_steelworks_in/IQCoWaxPGzTMTY3eylbVwDtvASjVPkn6pWvlWHom2e3qBqA?e=NIZc5q" TargetMode="External"/><Relationship Id="rId29" Type="http://schemas.openxmlformats.org/officeDocument/2006/relationships/hyperlink" Target="https://steelworkspower-my.sharepoint.com/:b:/g/personal/utkarsh_kashyap_steelworks_in/IQCXaU7zjVnEQ7eWA6wPved5AYaBLjl7PWDgliaExDK7RC4?e=CfGwBb" TargetMode="External"/><Relationship Id="rId1" Type="http://schemas.openxmlformats.org/officeDocument/2006/relationships/hyperlink" Target="https://steelworkspower-my.sharepoint.com/:b:/g/personal/utkarsh_kashyap_steelworks_in/IQAdbiAMVJ2AQpe7wfB13jX7AaVnEscWUvjcHAb6AhJpLN4?e=DAoGps" TargetMode="External"/><Relationship Id="rId6" Type="http://schemas.openxmlformats.org/officeDocument/2006/relationships/hyperlink" Target="https://steelworkspower-my.sharepoint.com/:b:/g/personal/utkarsh_kashyap_steelworks_in/IQAWr1VJRO2lT6nO7bj-ko9cAVMi6E9m8JFi2sbyBH-Nhm4?e=lj96XW" TargetMode="External"/><Relationship Id="rId11" Type="http://schemas.openxmlformats.org/officeDocument/2006/relationships/hyperlink" Target="https://steelworkspower-my.sharepoint.com/:b:/g/personal/utkarsh_kashyap_steelworks_in/IQD3HaaB8auQSafiSQC2Vao5AYNFuTMTs1UO2rGEsfteDWc?e=4SlDQo" TargetMode="External"/><Relationship Id="rId24" Type="http://schemas.openxmlformats.org/officeDocument/2006/relationships/hyperlink" Target="https://steelworkspower-my.sharepoint.com/:b:/g/personal/utkarsh_kashyap_steelworks_in/IQB-rvYJh02WQYMdKGrmV_A4AR8y5e1CWNegQQOXjlFqjvE?e=ZL75qv" TargetMode="External"/><Relationship Id="rId5" Type="http://schemas.openxmlformats.org/officeDocument/2006/relationships/hyperlink" Target="https://steelworkspower-my.sharepoint.com/:b:/g/personal/utkarsh_kashyap_steelworks_in/IQC6kX5UUHzdT6s4SsvOZPr8ATaHOIFr1iAlQgRmMuxo8GI?e=xmCqF7" TargetMode="External"/><Relationship Id="rId15" Type="http://schemas.openxmlformats.org/officeDocument/2006/relationships/hyperlink" Target="https://steelworkspower-my.sharepoint.com/:b:/g/personal/utkarsh_kashyap_steelworks_in/IQCQAuwPPcqaTpnbwDk-lTSzAWjEDVSmeaU0eMjHzXehJjE?e=wF797q" TargetMode="External"/><Relationship Id="rId23" Type="http://schemas.openxmlformats.org/officeDocument/2006/relationships/hyperlink" Target="https://steelworkspower-my.sharepoint.com/:b:/g/personal/utkarsh_kashyap_steelworks_in/IQA4gIkhWPLNTrHGHqeZnRPEAdD8C5-TbADwbkMAO3HS5DI?e=OGNlH9" TargetMode="External"/><Relationship Id="rId28" Type="http://schemas.openxmlformats.org/officeDocument/2006/relationships/hyperlink" Target="https://steelworkspower-my.sharepoint.com/:b:/g/personal/utkarsh_kashyap_steelworks_in/IQAOm6I7luUpTJDkPIIUrxltAUVp-GKEpUSM6reo-SwI2Lw?e=1csOxl" TargetMode="External"/><Relationship Id="rId10" Type="http://schemas.openxmlformats.org/officeDocument/2006/relationships/hyperlink" Target="https://steelworkspower-my.sharepoint.com/:b:/g/personal/utkarsh_kashyap_steelworks_in/IQBy5y9Q2xm0TKNtsXyzwTHSAd9D0Brw5b1N8BbsKWuVlhc?e=EsHXhP" TargetMode="External"/><Relationship Id="rId19" Type="http://schemas.openxmlformats.org/officeDocument/2006/relationships/hyperlink" Target="https://steelworkspower-my.sharepoint.com/:b:/g/personal/utkarsh_kashyap_steelworks_in/IQDo0NQIpPdnQJZRdsJGNNE9AQaLpSmOE0np29Xb0uGkRPQ?e=fZ03wx" TargetMode="External"/><Relationship Id="rId4" Type="http://schemas.openxmlformats.org/officeDocument/2006/relationships/hyperlink" Target="https://steelworkspower-my.sharepoint.com/:b:/g/personal/utkarsh_kashyap_steelworks_in/IQDm9CzBpXEVSbs0iDve6_3mAerIdS7X1FHtyeVbGj_sBLA?e=fJH2gn" TargetMode="External"/><Relationship Id="rId9" Type="http://schemas.openxmlformats.org/officeDocument/2006/relationships/hyperlink" Target="https://steelworkspower-my.sharepoint.com/:b:/g/personal/utkarsh_kashyap_steelworks_in/IQAl6L2m_YjXT5vW5L7xjBYWAQnA2Js4cUzT5GTIc2dF9wM?e=UGdFR1" TargetMode="External"/><Relationship Id="rId14" Type="http://schemas.openxmlformats.org/officeDocument/2006/relationships/hyperlink" Target="https://steelworkspower-my.sharepoint.com/:b:/g/personal/utkarsh_kashyap_steelworks_in/IQD_2DtEr88qS6A72WItHDHtAYm3z5Ew1tYO2gTBCjezFRA?e=9wnVBz" TargetMode="External"/><Relationship Id="rId22" Type="http://schemas.openxmlformats.org/officeDocument/2006/relationships/hyperlink" Target="https://steelworkspower-my.sharepoint.com/:b:/g/personal/utkarsh_kashyap_steelworks_in/IQCm9MdX43tqS5aP2xJr2iejAdnn9dD4V0qeGVwHYCLpjJ0?e=Dcg1WL" TargetMode="External"/><Relationship Id="rId27" Type="http://schemas.openxmlformats.org/officeDocument/2006/relationships/hyperlink" Target="https://steelworkspower-my.sharepoint.com/:b:/g/personal/utkarsh_kashyap_steelworks_in/IQCkRR8U35FFQpYR2iMSLE4AAVLiokYLjVyLd3SAYP4u__0?e=4VIvOK" TargetMode="External"/><Relationship Id="rId3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steelworkspower-my.sharepoint.com/:b:/g/personal/utkarsh_kashyap_steelworks_in/IQDUUinuORctQrIkbFvSqmpEAWOWJO6afPmhiUmvzCI8r2Y?e=l2lr8E" TargetMode="External"/><Relationship Id="rId18" Type="http://schemas.openxmlformats.org/officeDocument/2006/relationships/hyperlink" Target="https://steelworkspower-my.sharepoint.com/:b:/g/personal/utkarsh_kashyap_steelworks_in/IQDE5k8sVR8rSZbxBTYCSQVlAerkrt1TwdKuThGxc9F26Hs?e=2I2eUT" TargetMode="External"/><Relationship Id="rId26" Type="http://schemas.openxmlformats.org/officeDocument/2006/relationships/hyperlink" Target="https://steelworkspower-my.sharepoint.com/:b:/g/personal/utkarsh_kashyap_steelworks_in/IQDZc36higIPQppQeH4-vGYZAS_yYXAgJj815HbAokR11i4?e=0cqx7m" TargetMode="External"/><Relationship Id="rId21" Type="http://schemas.openxmlformats.org/officeDocument/2006/relationships/hyperlink" Target="https://steelworkspower-my.sharepoint.com/:b:/g/personal/utkarsh_kashyap_steelworks_in/IQC58N1G0PusTIMwmiMGdRdfAQgkE3QR3aMFlBuuzb78EMw?e=keGW6s" TargetMode="External"/><Relationship Id="rId34" Type="http://schemas.openxmlformats.org/officeDocument/2006/relationships/hyperlink" Target="https://steelworkspower-my.sharepoint.com/:b:/g/personal/utkarsh_kashyap_steelworks_in/IQCMIL9d0akASqdteWPPPnk6AQcKxKKbO-bn4V01sbh0l3g?e=5Sp1S5" TargetMode="External"/><Relationship Id="rId7" Type="http://schemas.openxmlformats.org/officeDocument/2006/relationships/hyperlink" Target="https://steelworkspower-my.sharepoint.com/:b:/g/personal/utkarsh_kashyap_steelworks_in/IQA3kZ_zp-qcSrRy6gIL2EQ7Af5JLvCmSYOg8yy-aRLtzKY?e=DvRdx7" TargetMode="External"/><Relationship Id="rId12" Type="http://schemas.openxmlformats.org/officeDocument/2006/relationships/hyperlink" Target="https://steelworkspower-my.sharepoint.com/:b:/g/personal/utkarsh_kashyap_steelworks_in/IQCNVVxvaDWgT6B4cFgEbiWoASh5CznbmpQVgyYkL1fhFyI?e=z2ijVp" TargetMode="External"/><Relationship Id="rId17" Type="http://schemas.openxmlformats.org/officeDocument/2006/relationships/hyperlink" Target="https://steelworkspower-my.sharepoint.com/:b:/g/personal/utkarsh_kashyap_steelworks_in/IQBcC1GW-xFmTqH6H_iUTfsDAcEaww4KLvhLvcE0rohM9T4?e=cRJeWB" TargetMode="External"/><Relationship Id="rId25" Type="http://schemas.openxmlformats.org/officeDocument/2006/relationships/hyperlink" Target="https://steelworkspower-my.sharepoint.com/:b:/g/personal/utkarsh_kashyap_steelworks_in/IQDItFypHCpKS7AgiWHIiXUyAa6F9grTxn_8blicYs6yob0?e=cofA3p" TargetMode="External"/><Relationship Id="rId33" Type="http://schemas.openxmlformats.org/officeDocument/2006/relationships/hyperlink" Target="https://steelworkspower-my.sharepoint.com/:b:/g/personal/utkarsh_kashyap_steelworks_in/IQDzn3eEvLvVTKYvfl4PK8ETAWYhZ06osVu6NCoBQD43NWA?e=siPdbL" TargetMode="External"/><Relationship Id="rId2" Type="http://schemas.openxmlformats.org/officeDocument/2006/relationships/hyperlink" Target="https://steelworkspower-my.sharepoint.com/:b:/g/personal/utkarsh_kashyap_steelworks_in/IQBj_KHsku8zT6ii9uon8h7UAdrXK1W9RtUjvntXXz2Zs_M?e=0PfIGk" TargetMode="External"/><Relationship Id="rId16" Type="http://schemas.openxmlformats.org/officeDocument/2006/relationships/hyperlink" Target="https://steelworkspower-my.sharepoint.com/:b:/g/personal/utkarsh_kashyap_steelworks_in/IQBtvTOQZgl7Rosi6X8Ftei8AcnekZ-bYMfeK-bGJ_HnBdE?e=BtbOdJ" TargetMode="External"/><Relationship Id="rId20" Type="http://schemas.openxmlformats.org/officeDocument/2006/relationships/hyperlink" Target="https://steelworkspower-my.sharepoint.com/:b:/g/personal/utkarsh_kashyap_steelworks_in/IQDCrTxuUu0QTby1qWt0Q5jJARgE4NTxlA9a5j0GLrme7pQ?e=PrNt4s" TargetMode="External"/><Relationship Id="rId29" Type="http://schemas.openxmlformats.org/officeDocument/2006/relationships/hyperlink" Target="https://steelworkspower-my.sharepoint.com/:b:/g/personal/utkarsh_kashyap_steelworks_in/IQAwNGqhhXbyRLslcLZqd8C9AfUD8VDRiyQO2yPICZf90CE?e=2IHb8c" TargetMode="External"/><Relationship Id="rId1" Type="http://schemas.openxmlformats.org/officeDocument/2006/relationships/hyperlink" Target="https://steelworkspower-my.sharepoint.com/:b:/g/personal/utkarsh_kashyap_steelworks_in/IQB7N_GJoOIYTKVSRjWdgEQeAfyb7yuSLiS7ocaQi6L7FIc?e=6cnRks" TargetMode="External"/><Relationship Id="rId6" Type="http://schemas.openxmlformats.org/officeDocument/2006/relationships/hyperlink" Target="https://steelworkspower-my.sharepoint.com/:b:/g/personal/utkarsh_kashyap_steelworks_in/IQBHJxy9oONKQqhtD4w85BGSAXs1Fmcx0a44lScFqpTekbw?e=QKXwdd" TargetMode="External"/><Relationship Id="rId11" Type="http://schemas.openxmlformats.org/officeDocument/2006/relationships/hyperlink" Target="https://steelworkspower-my.sharepoint.com/:b:/g/personal/utkarsh_kashyap_steelworks_in/IQAPA8G-1e1hQ4RZVb3meizSAZKv6uDXkMv1U0IIqRUhePU?e=tce4qE" TargetMode="External"/><Relationship Id="rId24" Type="http://schemas.openxmlformats.org/officeDocument/2006/relationships/hyperlink" Target="https://steelworkspower-my.sharepoint.com/:b:/g/personal/utkarsh_kashyap_steelworks_in/IQAWYSdRAE_LRLduBKIUPZ3LAeqOESNP_6JMXIgrlYybcPM?e=dQrQpk" TargetMode="External"/><Relationship Id="rId32" Type="http://schemas.openxmlformats.org/officeDocument/2006/relationships/hyperlink" Target="https://steelworkspower-my.sharepoint.com/:b:/g/personal/utkarsh_kashyap_steelworks_in/IQC4560ZMG4WTo3Gk6kAa3lhAZk7asv2EXu8Ix5svgHB_LQ?e=qUzHvI" TargetMode="External"/><Relationship Id="rId37" Type="http://schemas.openxmlformats.org/officeDocument/2006/relationships/comments" Target="../comments1.xml"/><Relationship Id="rId5" Type="http://schemas.openxmlformats.org/officeDocument/2006/relationships/hyperlink" Target="https://steelworkspower-my.sharepoint.com/:b:/g/personal/utkarsh_kashyap_steelworks_in/IQC5bgbhbE-BSKkxnYPBYFlYAXB7dvsZZ28UOwniEfl9_SI?e=mKvyhX" TargetMode="External"/><Relationship Id="rId15" Type="http://schemas.openxmlformats.org/officeDocument/2006/relationships/hyperlink" Target="https://steelworkspower-my.sharepoint.com/:b:/g/personal/utkarsh_kashyap_steelworks_in/IQDt4aI5di9_QoHj8AcPrHBPAVePTFNiSUK-4jUWVYZUO_s?e=F4eHoD" TargetMode="External"/><Relationship Id="rId23" Type="http://schemas.openxmlformats.org/officeDocument/2006/relationships/hyperlink" Target="https://steelworkspower-my.sharepoint.com/:b:/g/personal/utkarsh_kashyap_steelworks_in/IQD0Vzcb2dS4QpJx_BYBRtFGAVeb_uyRfdmK3PxahkRSdys?e=OvKfRa" TargetMode="External"/><Relationship Id="rId28" Type="http://schemas.openxmlformats.org/officeDocument/2006/relationships/hyperlink" Target="https://steelworkspower-my.sharepoint.com/:b:/g/personal/utkarsh_kashyap_steelworks_in/IQCxcHk7_eHsRqq6g6waAJv-Adl0sqE0W_y28-MZPm6ortc?e=06vG1I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s://steelworkspower-my.sharepoint.com/:b:/g/personal/utkarsh_kashyap_steelworks_in/IQDvCiAIpJIDSaAuY1PDxRj_ATJ1p-kY2UtUNU0sp_W6gXw?e=pCoSBH" TargetMode="External"/><Relationship Id="rId19" Type="http://schemas.openxmlformats.org/officeDocument/2006/relationships/hyperlink" Target="https://steelworkspower-my.sharepoint.com/:b:/g/personal/utkarsh_kashyap_steelworks_in/IQBzT58P8xcVSLHQNkY721yaAVM7Eva2xN6OF03tZLnOyog?e=XGn9rj" TargetMode="External"/><Relationship Id="rId31" Type="http://schemas.openxmlformats.org/officeDocument/2006/relationships/hyperlink" Target="https://steelworkspower-my.sharepoint.com/:b:/g/personal/utkarsh_kashyap_steelworks_in/IQCcRECqy_XdQq6SwCpMO7qWAb8RNmMxM3-cqeuHN0nRSNs?e=SiCOfi" TargetMode="External"/><Relationship Id="rId4" Type="http://schemas.openxmlformats.org/officeDocument/2006/relationships/hyperlink" Target="https://steelworkspower-my.sharepoint.com/:b:/g/personal/utkarsh_kashyap_steelworks_in/IQAKYkqa6SpCSq-9naKniZkXAbX1VFyPPdr7D8MiF1MO3Og?e=fK77Gx" TargetMode="External"/><Relationship Id="rId9" Type="http://schemas.openxmlformats.org/officeDocument/2006/relationships/hyperlink" Target="https://steelworkspower-my.sharepoint.com/:b:/g/personal/utkarsh_kashyap_steelworks_in/IQCFiZyCHbHDTJpWsi35sTRrAVlPK8EuVvGEnMikxWi7c1E?e=UWSi2j" TargetMode="External"/><Relationship Id="rId14" Type="http://schemas.openxmlformats.org/officeDocument/2006/relationships/hyperlink" Target="https://steelworkspower-my.sharepoint.com/:b:/g/personal/utkarsh_kashyap_steelworks_in/IQC93vU-CnP_R6eGbHcyk-DrAQY6rnWx4sv36K0Ud_4Fnyc?e=y9S4QA" TargetMode="External"/><Relationship Id="rId22" Type="http://schemas.openxmlformats.org/officeDocument/2006/relationships/hyperlink" Target="https://steelworkspower-my.sharepoint.com/:b:/g/personal/utkarsh_kashyap_steelworks_in/IQAu0OkrN3GASKHq5hRLC-2TAdcQ9IUnLmWKdcZFK5IaoOo?e=ynpSdu" TargetMode="External"/><Relationship Id="rId27" Type="http://schemas.openxmlformats.org/officeDocument/2006/relationships/hyperlink" Target="https://steelworkspower-my.sharepoint.com/:b:/g/personal/utkarsh_kashyap_steelworks_in/IQChWtu_u_hGQK8QR3_9ObwvAVHZioxCXMZe99lJPvQBQZ4?e=2CoXdm" TargetMode="External"/><Relationship Id="rId30" Type="http://schemas.openxmlformats.org/officeDocument/2006/relationships/hyperlink" Target="https://steelworkspower-my.sharepoint.com/:b:/g/personal/utkarsh_kashyap_steelworks_in/IQBuEL_lK8FrQ6HLPNc_Hv7_Acss9ta7x4vTs_vlfYTVhos?e=c7UxBh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steelworkspower-my.sharepoint.com/:b:/g/personal/utkarsh_kashyap_steelworks_in/IQCUKAfLAAGPTbBhhCtdKDq3AdhZLj5GX3ABrDXCUKC94Hw?e=xLfQ1L" TargetMode="External"/><Relationship Id="rId3" Type="http://schemas.openxmlformats.org/officeDocument/2006/relationships/hyperlink" Target="https://steelworkspower-my.sharepoint.com/:b:/g/personal/utkarsh_kashyap_steelworks_in/IQAHrV8I8XImQq5O4nuYFviFAQe9kLvmFikZA_5IjBjDgQ4?e=eZvpM8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73178-F77B-4412-AC0B-5C6CA658ADBA}">
  <sheetPr codeName="Sheet2">
    <tabColor rgb="FFFFFF00"/>
    <pageSetUpPr fitToPage="1"/>
  </sheetPr>
  <dimension ref="A1:AN3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defaultColWidth="23.140625" defaultRowHeight="15" x14ac:dyDescent="0.25"/>
  <cols>
    <col min="1" max="1" width="13.5703125" style="54" bestFit="1" customWidth="1"/>
    <col min="2" max="2" width="59.28515625" style="54" bestFit="1" customWidth="1"/>
    <col min="3" max="3" width="14.140625" style="54" bestFit="1" customWidth="1"/>
    <col min="4" max="4" width="37.28515625" style="54" bestFit="1" customWidth="1"/>
    <col min="5" max="5" width="25.7109375" style="54" bestFit="1" customWidth="1"/>
    <col min="6" max="6" width="25.5703125" style="54" bestFit="1" customWidth="1"/>
    <col min="7" max="7" width="12.42578125" style="54" bestFit="1" customWidth="1"/>
    <col min="8" max="8" width="47.7109375" style="54" bestFit="1" customWidth="1"/>
    <col min="9" max="9" width="15.140625" style="54" bestFit="1" customWidth="1"/>
    <col min="10" max="10" width="20.85546875" style="135" bestFit="1" customWidth="1"/>
    <col min="11" max="11" width="51.28515625" style="135" bestFit="1" customWidth="1"/>
    <col min="12" max="12" width="37" style="54" bestFit="1" customWidth="1"/>
    <col min="13" max="13" width="21.42578125" style="54" bestFit="1" customWidth="1"/>
    <col min="14" max="14" width="20.140625" style="54" bestFit="1" customWidth="1"/>
    <col min="15" max="15" width="17.42578125" style="54" bestFit="1" customWidth="1"/>
    <col min="16" max="16" width="20.28515625" style="54" bestFit="1" customWidth="1"/>
    <col min="17" max="17" width="55.28515625" style="54" bestFit="1" customWidth="1"/>
    <col min="18" max="18" width="18.85546875" style="54" bestFit="1" customWidth="1"/>
    <col min="19" max="19" width="20" style="54" bestFit="1" customWidth="1"/>
    <col min="20" max="20" width="14.85546875" style="54" bestFit="1" customWidth="1"/>
    <col min="21" max="21" width="17.7109375" style="54" bestFit="1" customWidth="1"/>
    <col min="22" max="22" width="52.7109375" style="54" bestFit="1" customWidth="1"/>
    <col min="23" max="23" width="19.28515625" style="54" bestFit="1" customWidth="1"/>
    <col min="24" max="24" width="20.28515625" style="54" bestFit="1" customWidth="1"/>
    <col min="25" max="25" width="15.140625" style="54" bestFit="1" customWidth="1"/>
    <col min="26" max="26" width="18" style="54" bestFit="1" customWidth="1"/>
    <col min="27" max="27" width="52.28515625" style="54" bestFit="1" customWidth="1"/>
    <col min="28" max="28" width="20" style="54" bestFit="1" customWidth="1"/>
    <col min="29" max="29" width="14.85546875" style="54" bestFit="1" customWidth="1"/>
    <col min="30" max="30" width="17.7109375" style="54" bestFit="1" customWidth="1"/>
    <col min="31" max="31" width="42.85546875" style="54" bestFit="1" customWidth="1"/>
    <col min="32" max="32" width="19.42578125" style="54" bestFit="1" customWidth="1"/>
    <col min="33" max="33" width="24.42578125" style="54" bestFit="1" customWidth="1"/>
    <col min="34" max="34" width="14.28515625" style="54" bestFit="1" customWidth="1"/>
    <col min="35" max="35" width="15.28515625" style="54" bestFit="1" customWidth="1"/>
    <col min="36" max="36" width="10.140625" style="54" bestFit="1" customWidth="1"/>
    <col min="37" max="37" width="13" style="54" bestFit="1" customWidth="1"/>
    <col min="38" max="38" width="38.42578125" style="54" bestFit="1" customWidth="1"/>
    <col min="39" max="39" width="23.7109375" style="54" bestFit="1" customWidth="1"/>
    <col min="40" max="40" width="33.42578125" style="54" bestFit="1" customWidth="1"/>
    <col min="41" max="16384" width="23.140625" style="54"/>
  </cols>
  <sheetData>
    <row r="1" spans="1:40" s="105" customFormat="1" ht="28.5" customHeight="1" x14ac:dyDescent="0.25">
      <c r="A1" s="96" t="s">
        <v>0</v>
      </c>
      <c r="B1" s="97" t="s">
        <v>1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8" t="s">
        <v>8</v>
      </c>
      <c r="J1" s="98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9" t="s">
        <v>38</v>
      </c>
    </row>
    <row r="2" spans="1:40" ht="15.75" customHeight="1" x14ac:dyDescent="0.25">
      <c r="A2" s="106" t="s">
        <v>39</v>
      </c>
      <c r="B2" s="101" t="s">
        <v>40</v>
      </c>
      <c r="C2" s="101" t="s">
        <v>41</v>
      </c>
      <c r="D2" s="101" t="s">
        <v>40</v>
      </c>
      <c r="E2" s="101" t="s">
        <v>42</v>
      </c>
      <c r="F2" s="101" t="s">
        <v>43</v>
      </c>
      <c r="G2" s="101">
        <v>2022</v>
      </c>
      <c r="H2" s="107" t="s">
        <v>359</v>
      </c>
      <c r="I2" s="108">
        <v>50372</v>
      </c>
      <c r="J2" s="136">
        <v>452245</v>
      </c>
      <c r="K2" s="109" t="s">
        <v>44</v>
      </c>
      <c r="L2" s="109" t="s">
        <v>45</v>
      </c>
      <c r="M2" s="110">
        <v>45989</v>
      </c>
      <c r="N2" s="110">
        <v>46353</v>
      </c>
      <c r="O2" s="110" t="str">
        <f t="shared" ref="O2:O25" ca="1" si="0">IF(N2&lt;TODAY(),"EXPIRED",IF(N2&lt;=TODAY()+30,"EXPIRING SOON","ACTIVE"))</f>
        <v>ACTIVE</v>
      </c>
      <c r="P2" s="110" t="str">
        <f t="shared" ref="P2:P25" ca="1" si="1">TEXT(N2-TODAY(),"0")&amp;" days"</f>
        <v>63 days</v>
      </c>
      <c r="Q2" s="111" t="str">
        <f>HYPERLINK("https://steelworkspower-my.sharepoint.com/:b:/g/personal/utkarsh_kashyap_steelworks_in/IQDuZ-gzNLjXRYJmxvGuVL29Afbx8V_pZ0arckIjBOny_0U?e=UHUBj6","Insurance - " &amp; $A2 &amp; " (" &amp; $B2 &amp; ")")</f>
        <v>Insurance - WB73G4987 (TATA ACE)</v>
      </c>
      <c r="R2" s="110">
        <v>46022</v>
      </c>
      <c r="S2" s="110">
        <v>46388</v>
      </c>
      <c r="T2" s="110" t="str">
        <f t="shared" ref="T2:T14" ca="1" si="2">IF(S2&lt;TODAY(),"EXPIRED",IF(S2&lt;=TODAY()+30,"EXPIRING SOON","ACTIVE"))</f>
        <v>ACTIVE</v>
      </c>
      <c r="U2" s="110" t="str">
        <f t="shared" ref="U2:U14" ca="1" si="3">TEXT(S2-TODAY(),"0")&amp;" days"</f>
        <v>98 days</v>
      </c>
      <c r="V2" s="112" t="str">
        <f>+HYPERLINK("https://steelworkspower-my.sharepoint.com/:i:/g/personal/utkarsh_kashyap_steelworks_in/IQCGYluChp6ySKmQZ-lzG0yfAUi5g4Q3Ob5fRZeacCyLzJo?e=zW8eWE","Fitness - " &amp; $A2 &amp; " (" &amp; $B2 &amp; ")")</f>
        <v>Fitness - WB73G4987 (TATA ACE)</v>
      </c>
      <c r="W2" s="110">
        <v>45530</v>
      </c>
      <c r="X2" s="110">
        <v>45894</v>
      </c>
      <c r="Y2" s="110" t="str">
        <f ca="1">IF(X2&lt;TODAY(),"EXPIRED",IF(X2&lt;=TODAY()+30,"EXPIRING SOON","ACTIVE"))</f>
        <v>EXPIRED</v>
      </c>
      <c r="Z2" s="110" t="str">
        <f ca="1">TEXT(X2-TODAY(),"0")&amp;" days"</f>
        <v>-396 days</v>
      </c>
      <c r="AA2" s="112" t="str">
        <f>+HYPERLINK("https://steelworkspower-my.sharepoint.com/:b:/g/personal/utkarsh_kashyap_steelworks_in/IQDboKsdghcUSIBY4rYWNKY2AW13PWwsr0NTFYPEc4_PM90?e=pcrDog","MV Tax - " &amp; $A2 &amp; " (" &amp; $B2 &amp; ")")</f>
        <v>MV Tax - WB73G4987 (TATA ACE)</v>
      </c>
      <c r="AB2" s="110"/>
      <c r="AC2" s="109"/>
      <c r="AD2" s="110"/>
      <c r="AE2" s="109"/>
      <c r="AF2" s="113">
        <v>18002</v>
      </c>
      <c r="AG2" s="109">
        <f ca="1">+IF(AND($O2="Active",$T2="active",$Y2="Active",$AC2="Active"),1,0)</f>
        <v>0</v>
      </c>
      <c r="AH2" s="101" t="s">
        <v>46</v>
      </c>
      <c r="AI2" s="101" t="s">
        <v>46</v>
      </c>
      <c r="AJ2" s="101" t="s">
        <v>46</v>
      </c>
      <c r="AK2" s="101" t="s">
        <v>46</v>
      </c>
      <c r="AL2" s="101" t="s">
        <v>46</v>
      </c>
      <c r="AM2" s="114" t="s">
        <v>47</v>
      </c>
      <c r="AN2" s="115" t="s">
        <v>340</v>
      </c>
    </row>
    <row r="3" spans="1:40" x14ac:dyDescent="0.25">
      <c r="A3" s="106" t="s">
        <v>48</v>
      </c>
      <c r="B3" s="101" t="s">
        <v>49</v>
      </c>
      <c r="C3" s="101" t="s">
        <v>50</v>
      </c>
      <c r="D3" s="101" t="s">
        <v>51</v>
      </c>
      <c r="E3" s="116" t="s">
        <v>52</v>
      </c>
      <c r="F3" s="101" t="s">
        <v>53</v>
      </c>
      <c r="G3" s="101">
        <v>2019</v>
      </c>
      <c r="H3" s="107" t="s">
        <v>360</v>
      </c>
      <c r="I3" s="108">
        <v>44528</v>
      </c>
      <c r="J3" s="136">
        <v>675000</v>
      </c>
      <c r="K3" s="109" t="s">
        <v>44</v>
      </c>
      <c r="L3" s="109" t="s">
        <v>54</v>
      </c>
      <c r="M3" s="110">
        <v>45988</v>
      </c>
      <c r="N3" s="110">
        <v>46352</v>
      </c>
      <c r="O3" s="110" t="str">
        <f t="shared" ca="1" si="0"/>
        <v>ACTIVE</v>
      </c>
      <c r="P3" s="110" t="str">
        <f t="shared" ca="1" si="1"/>
        <v>62 days</v>
      </c>
      <c r="Q3" s="111" t="str">
        <f>HYPERLINK("https://steelworkspower-my.sharepoint.com/:b:/g/personal/utkarsh_kashyap_steelworks_in/IQDKuU_ARdUUR5cBMc_s3n9cAXmRj4YL3Wcszdy4j1pWWhc?e=3h2Le7","Insurance - " &amp; $A3 &amp; " (" &amp; $B3 &amp; ")")</f>
        <v>Insurance - HR55AH9974 (SML Isuzu Bus)</v>
      </c>
      <c r="R3" s="110">
        <v>46191</v>
      </c>
      <c r="S3" s="110">
        <v>46555</v>
      </c>
      <c r="T3" s="110" t="str">
        <f t="shared" ca="1" si="2"/>
        <v>ACTIVE</v>
      </c>
      <c r="U3" s="110" t="str">
        <f t="shared" ca="1" si="3"/>
        <v>265 days</v>
      </c>
      <c r="V3" s="111" t="str">
        <f>HYPERLINK("https://steelworkspower-my.sharepoint.com/:b:/g/personal/utkarsh_kashyap_steelworks_in/IQCihI0ms7hCTrjfC7jnsyImASa7tLPM-cKzWpzMu8hEu_M?e=Kt88Zc","Fitness - " &amp; $A3 &amp; " (" &amp; $B3 &amp; ")")</f>
        <v>Fitness - HR55AH9974 (SML Isuzu Bus)</v>
      </c>
      <c r="W3" s="110">
        <v>46113</v>
      </c>
      <c r="X3" s="110">
        <v>46477</v>
      </c>
      <c r="Y3" s="110" t="str">
        <f ca="1">IF(X3&lt;TODAY(),"EXPIRED",IF(X3&lt;=TODAY()+30,"EXPIRING SOON","ACTIVE"))</f>
        <v>ACTIVE</v>
      </c>
      <c r="Z3" s="110" t="str">
        <f ca="1">TEXT(X3-TODAY(),"0")&amp;" days"</f>
        <v>187 days</v>
      </c>
      <c r="AA3" s="111" t="str">
        <f>+HYPERLINK("https://steelworkspower-my.sharepoint.com/:b:/g/personal/utkarsh_kashyap_steelworks_in/IQASBDGpgBLhSJl_Wan0kgheAXbHSZNPt8hQjv8PbjSuNzY?e=luMWrQ","MV Tax - " &amp; $A3 &amp; " (" &amp; $B3 &amp; ")")</f>
        <v>MV Tax - HR55AH9974 (SML Isuzu Bus)</v>
      </c>
      <c r="AB3" s="110">
        <v>46359</v>
      </c>
      <c r="AC3" s="110" t="str">
        <f ca="1">IF(AB3&lt;TODAY(),"EXPIRED",IF(AB3&lt;=TODAY()+30,"EXPIRING SOON","ACTIVE"))</f>
        <v>ACTIVE</v>
      </c>
      <c r="AD3" s="110" t="str">
        <f ca="1">TEXT(AB3-TODAY(),"0")&amp;" days"</f>
        <v>69 days</v>
      </c>
      <c r="AE3" s="117" t="str">
        <f>+HYPERLINK("https://steelworkspower-my.sharepoint.com/:b:/g/personal/utkarsh_kashyap_steelworks_in/IQBhYA_tD2JBQZjZ5rJekOb4AVZ-tYWQXPug4SEACvn_zss?e=J1UYfM","Permit - " &amp; $A3 &amp; " (" &amp; $B3 &amp; ")")</f>
        <v>Permit - HR55AH9974 (SML Isuzu Bus)</v>
      </c>
      <c r="AF3" s="113">
        <v>42079</v>
      </c>
      <c r="AG3" s="109">
        <f t="shared" ref="AG3:AG25" ca="1" si="4">+IF(AND($O3="Active",$T3="active",$Y3="Active",$AC3="Active"),1,0)</f>
        <v>1</v>
      </c>
      <c r="AH3" s="101" t="s">
        <v>46</v>
      </c>
      <c r="AI3" s="101" t="s">
        <v>46</v>
      </c>
      <c r="AJ3" s="101" t="s">
        <v>46</v>
      </c>
      <c r="AK3" s="101" t="s">
        <v>46</v>
      </c>
      <c r="AL3" s="101" t="s">
        <v>46</v>
      </c>
      <c r="AM3" s="114" t="s">
        <v>47</v>
      </c>
      <c r="AN3" s="115" t="s">
        <v>340</v>
      </c>
    </row>
    <row r="4" spans="1:40" x14ac:dyDescent="0.25">
      <c r="A4" s="106" t="s">
        <v>55</v>
      </c>
      <c r="B4" s="101" t="s">
        <v>56</v>
      </c>
      <c r="C4" s="101" t="s">
        <v>41</v>
      </c>
      <c r="D4" s="101" t="s">
        <v>57</v>
      </c>
      <c r="E4" s="116" t="s">
        <v>58</v>
      </c>
      <c r="F4" s="116" t="s">
        <v>59</v>
      </c>
      <c r="G4" s="101">
        <v>2022</v>
      </c>
      <c r="H4" s="107" t="s">
        <v>361</v>
      </c>
      <c r="I4" s="108">
        <v>50395</v>
      </c>
      <c r="J4" s="136">
        <v>1620000</v>
      </c>
      <c r="K4" s="100" t="s">
        <v>60</v>
      </c>
      <c r="L4" s="100" t="s">
        <v>61</v>
      </c>
      <c r="M4" s="110">
        <v>46004</v>
      </c>
      <c r="N4" s="110">
        <v>46368</v>
      </c>
      <c r="O4" s="110" t="str">
        <f t="shared" ca="1" si="0"/>
        <v>ACTIVE</v>
      </c>
      <c r="P4" s="110" t="str">
        <f t="shared" ca="1" si="1"/>
        <v>78 days</v>
      </c>
      <c r="Q4" s="111" t="str">
        <f>HYPERLINK("https://steelworkspower-my.sharepoint.com/:b:/g/personal/utkarsh_kashyap_steelworks_in/IQDwrk14YYGhTaeAxNce-W4mAc9Hd677vs34wXoT0rAlv9s?e=NqKOTn","Insurance - " &amp; $A4 &amp; " (" &amp; $B4 &amp; ")")</f>
        <v>Insurance - RJ02GC3403 (Ashok Leyland Truck)</v>
      </c>
      <c r="R4" s="110">
        <v>46013</v>
      </c>
      <c r="S4" s="110">
        <v>46377</v>
      </c>
      <c r="T4" s="110" t="str">
        <f t="shared" ca="1" si="2"/>
        <v>ACTIVE</v>
      </c>
      <c r="U4" s="110" t="str">
        <f t="shared" ca="1" si="3"/>
        <v>87 days</v>
      </c>
      <c r="V4" s="111" t="str">
        <f>HYPERLINK("https://steelworkspower-my.sharepoint.com/:i:/g/personal/utkarsh_kashyap_steelworks_in/IQDfLPJoHsxPT5UYCOoA49rkAVb0nQtcRlud9JklJ0m6ygs?e=sLs9dx","Fitness - " &amp; $A4 &amp; " (" &amp; $B4 &amp; ")")</f>
        <v>Fitness - RJ02GC3403 (Ashok Leyland Truck)</v>
      </c>
      <c r="W4" s="110">
        <v>46113</v>
      </c>
      <c r="X4" s="110">
        <v>46477</v>
      </c>
      <c r="Y4" s="110" t="str">
        <f ca="1">IF(X4&lt;TODAY(),"EXPIRED",IF(X4&lt;=TODAY()+30,"EXPIRING SOON","ACTIVE"))</f>
        <v>ACTIVE</v>
      </c>
      <c r="Z4" s="110" t="str">
        <f ca="1">TEXT(X4-TODAY(),"0")&amp;" days"</f>
        <v>187 days</v>
      </c>
      <c r="AA4" s="111" t="str">
        <f>+HYPERLINK("https://steelworkspower-my.sharepoint.com/:b:/g/personal/utkarsh_kashyap_steelworks_in/IQByP1WY7PcATrZkAwDljosFAWtKD0GRu6ylNg6yBd7x8x0?e=j0RnJ4","MV Tax - " &amp; $A4 &amp; " (" &amp; $B4 &amp; ")")</f>
        <v>MV Tax - RJ02GC3403 (Ashok Leyland Truck)</v>
      </c>
      <c r="AB4" s="110">
        <v>46382</v>
      </c>
      <c r="AC4" s="110" t="str">
        <f ca="1">IF(AB4&lt;TODAY(),"EXPIRED",IF(AB4&lt;=TODAY()+30,"EXPIRING SOON","ACTIVE"))</f>
        <v>ACTIVE</v>
      </c>
      <c r="AD4" s="110" t="str">
        <f ca="1">TEXT(AB4-TODAY(),"0")&amp;" days"</f>
        <v>92 days</v>
      </c>
      <c r="AE4" s="117" t="str">
        <f>+HYPERLINK("https://steelworkspower-my.sharepoint.com/:i:/g/personal/utkarsh_kashyap_steelworks_in/IQANA3dS1T9ISpr3HyWgvubuAZkGkW4lni6MC1VeCZfciU8?e=uAmTZh","Permit - " &amp; $A4 &amp; " (" &amp; $B4 &amp; ")")</f>
        <v>Permit - RJ02GC3403 (Ashok Leyland Truck)</v>
      </c>
      <c r="AF4" s="113">
        <v>66323.77</v>
      </c>
      <c r="AG4" s="109">
        <f t="shared" ca="1" si="4"/>
        <v>1</v>
      </c>
      <c r="AH4" s="101" t="s">
        <v>46</v>
      </c>
      <c r="AI4" s="101" t="s">
        <v>46</v>
      </c>
      <c r="AJ4" s="101" t="s">
        <v>46</v>
      </c>
      <c r="AK4" s="101" t="s">
        <v>46</v>
      </c>
      <c r="AL4" s="101" t="s">
        <v>46</v>
      </c>
      <c r="AM4" s="114" t="s">
        <v>47</v>
      </c>
      <c r="AN4" s="115" t="s">
        <v>340</v>
      </c>
    </row>
    <row r="5" spans="1:40" ht="15.75" customHeight="1" x14ac:dyDescent="0.25">
      <c r="A5" s="106" t="s">
        <v>62</v>
      </c>
      <c r="B5" s="101" t="s">
        <v>63</v>
      </c>
      <c r="C5" s="101" t="s">
        <v>64</v>
      </c>
      <c r="D5" s="101" t="s">
        <v>65</v>
      </c>
      <c r="E5" s="101" t="s">
        <v>66</v>
      </c>
      <c r="F5" s="101" t="s">
        <v>67</v>
      </c>
      <c r="G5" s="101">
        <v>2018</v>
      </c>
      <c r="H5" s="107" t="s">
        <v>362</v>
      </c>
      <c r="I5" s="108">
        <v>48979</v>
      </c>
      <c r="J5" s="136">
        <v>580000</v>
      </c>
      <c r="K5" s="109" t="s">
        <v>68</v>
      </c>
      <c r="L5" s="109" t="s">
        <v>69</v>
      </c>
      <c r="M5" s="110">
        <v>46016</v>
      </c>
      <c r="N5" s="110">
        <v>46380</v>
      </c>
      <c r="O5" s="110" t="str">
        <f t="shared" ca="1" si="0"/>
        <v>ACTIVE</v>
      </c>
      <c r="P5" s="110" t="str">
        <f t="shared" ca="1" si="1"/>
        <v>90 days</v>
      </c>
      <c r="Q5" s="111" t="str">
        <f>HYPERLINK("https://steelworkspower-my.sharepoint.com/:b:/g/personal/utkarsh_kashyap_steelworks_in/IQAHM6orc-CMRrhUlHVh-j5JAXoNhEkix9LjmFCbYCj-iYM?e=WW51v9","Insurance - " &amp; $A5 &amp; " (" &amp; $B5 &amp; ")")</f>
        <v>Insurance - HR26DV1335 (Hyundai Creta)</v>
      </c>
      <c r="R5" s="109"/>
      <c r="S5" s="110">
        <v>48979</v>
      </c>
      <c r="T5" s="110" t="str">
        <f t="shared" ca="1" si="2"/>
        <v>ACTIVE</v>
      </c>
      <c r="U5" s="110" t="str">
        <f t="shared" ca="1" si="3"/>
        <v>2689 days</v>
      </c>
      <c r="V5" s="111" t="str">
        <f>HYPERLINK("https://steelworkspower-my.sharepoint.com/:i:/g/personal/utkarsh_kashyap_steelworks_in/IQA7Hj3Ye_2IRo-NUx_ci3qpAZETD68HbA3LBEkbj4GU_ew?e=BUQocE","Fitness - " &amp; $A5 &amp; " (" &amp; $B5 &amp; ")")</f>
        <v>Fitness - HR26DV1335 (Hyundai Creta)</v>
      </c>
      <c r="W5" s="110" t="s">
        <v>70</v>
      </c>
      <c r="X5" s="110" t="s">
        <v>70</v>
      </c>
      <c r="Y5" s="110" t="s">
        <v>70</v>
      </c>
      <c r="Z5" s="110" t="s">
        <v>70</v>
      </c>
      <c r="AA5" s="111" t="str">
        <f>HYPERLINK("https://steelworkspower-my.sharepoint.com/:i:/g/personal/utkarsh_kashyap_steelworks_in/IQA7Hj3Ye_2IRo-NUx_ci3qpAZETD68HbA3LBEkbj4GU_ew?e=BUQocE","MV Tax - " &amp; $A5 &amp; " (" &amp; $B5 &amp; ")")</f>
        <v>MV Tax - HR26DV1335 (Hyundai Creta)</v>
      </c>
      <c r="AB5" s="110"/>
      <c r="AC5" s="109"/>
      <c r="AD5" s="110"/>
      <c r="AE5" s="109"/>
      <c r="AF5" s="113">
        <v>20623</v>
      </c>
      <c r="AG5" s="109">
        <f t="shared" ca="1" si="4"/>
        <v>0</v>
      </c>
      <c r="AH5" s="101" t="s">
        <v>46</v>
      </c>
      <c r="AI5" s="101" t="s">
        <v>46</v>
      </c>
      <c r="AJ5" s="101" t="s">
        <v>46</v>
      </c>
      <c r="AK5" s="101" t="s">
        <v>46</v>
      </c>
      <c r="AL5" s="101" t="s">
        <v>46</v>
      </c>
      <c r="AM5" s="114" t="s">
        <v>47</v>
      </c>
      <c r="AN5" s="115" t="s">
        <v>340</v>
      </c>
    </row>
    <row r="6" spans="1:40" x14ac:dyDescent="0.25">
      <c r="A6" s="106" t="s">
        <v>71</v>
      </c>
      <c r="B6" s="101" t="s">
        <v>72</v>
      </c>
      <c r="C6" s="101" t="s">
        <v>41</v>
      </c>
      <c r="D6" s="101" t="s">
        <v>73</v>
      </c>
      <c r="E6" s="101" t="s">
        <v>74</v>
      </c>
      <c r="F6" s="101" t="s">
        <v>75</v>
      </c>
      <c r="G6" s="101">
        <v>2023</v>
      </c>
      <c r="H6" s="107" t="s">
        <v>363</v>
      </c>
      <c r="I6" s="108">
        <v>50443</v>
      </c>
      <c r="J6" s="136">
        <v>1205000</v>
      </c>
      <c r="K6" s="109" t="s">
        <v>76</v>
      </c>
      <c r="L6" s="118" t="s">
        <v>77</v>
      </c>
      <c r="M6" s="110">
        <v>46053</v>
      </c>
      <c r="N6" s="110">
        <v>46417</v>
      </c>
      <c r="O6" s="110" t="str">
        <f t="shared" ca="1" si="0"/>
        <v>ACTIVE</v>
      </c>
      <c r="P6" s="110" t="str">
        <f t="shared" ca="1" si="1"/>
        <v>127 days</v>
      </c>
      <c r="Q6" s="111" t="str">
        <f>HYPERLINK("https://steelworkspower-my.sharepoint.com/:b:/g/personal/utkarsh_kashyap_steelworks_in/IQCxxKCnQ5QYQpl6DqrqRtB0AWU5ruN9bVy1bbOx_n_JARw?e=vj6Qa3","Insurance - " &amp; $A6 &amp; " (" &amp; $B6 &amp; ")")</f>
        <v>Insurance - WB74BN0797 (Maruti Suzuki Grand Vitara )</v>
      </c>
      <c r="R6" s="110"/>
      <c r="S6" s="110">
        <v>50443</v>
      </c>
      <c r="T6" s="110" t="str">
        <f t="shared" ca="1" si="2"/>
        <v>ACTIVE</v>
      </c>
      <c r="U6" s="110" t="str">
        <f t="shared" ca="1" si="3"/>
        <v>4153 days</v>
      </c>
      <c r="V6" s="111" t="str">
        <f>HYPERLINK("https://steelworkspower-my.sharepoint.com/:i:/g/personal/utkarsh_kashyap_steelworks_in/IQCN0R8l0pzjRqnz1s3zgSvrAUstb8KnQpouOxa1Upbmx2c?e=Pdei1v","Fitness - " &amp; $A6 &amp; " (" &amp; $B6 &amp; ")")</f>
        <v>Fitness - WB74BN0797 (Maruti Suzuki Grand Vitara )</v>
      </c>
      <c r="W6" s="109"/>
      <c r="X6" s="110">
        <v>46783</v>
      </c>
      <c r="Y6" s="110" t="str">
        <f ca="1">IF(X6&lt;TODAY(),"EXPIRED",IF(X6&lt;=TODAY()+30,"EXPIRING SOON","ACTIVE"))</f>
        <v>ACTIVE</v>
      </c>
      <c r="Z6" s="110" t="str">
        <f ca="1">TEXT(X6-TODAY(),"0")&amp;" days"</f>
        <v>493 days</v>
      </c>
      <c r="AA6" s="111" t="str">
        <f>+HYPERLINK("https://steelworkspower-my.sharepoint.com/:i:/g/personal/utkarsh_kashyap_steelworks_in/IQBZr0YwsB3cT7pNtNpxGY3wAYu2OFSQVRIukN08S3rFiAw?e=yZ1NcM","MV Tax - "&amp;$A6&amp;" ("&amp;$B6&amp;")")</f>
        <v>MV Tax - WB74BN0797 (Maruti Suzuki Grand Vitara )</v>
      </c>
      <c r="AB6" s="110"/>
      <c r="AC6" s="109"/>
      <c r="AD6" s="110"/>
      <c r="AE6" s="109"/>
      <c r="AF6" s="113">
        <v>20648</v>
      </c>
      <c r="AG6" s="109">
        <f t="shared" ca="1" si="4"/>
        <v>0</v>
      </c>
      <c r="AH6" s="101" t="s">
        <v>46</v>
      </c>
      <c r="AI6" s="101" t="s">
        <v>46</v>
      </c>
      <c r="AJ6" s="101" t="s">
        <v>46</v>
      </c>
      <c r="AK6" s="101" t="s">
        <v>46</v>
      </c>
      <c r="AL6" s="101" t="s">
        <v>46</v>
      </c>
      <c r="AM6" s="114" t="s">
        <v>47</v>
      </c>
      <c r="AN6" s="115" t="s">
        <v>340</v>
      </c>
    </row>
    <row r="7" spans="1:40" ht="15.75" customHeight="1" x14ac:dyDescent="0.25">
      <c r="A7" s="106" t="s">
        <v>78</v>
      </c>
      <c r="B7" s="101" t="s">
        <v>79</v>
      </c>
      <c r="C7" s="101" t="s">
        <v>80</v>
      </c>
      <c r="D7" s="101" t="s">
        <v>81</v>
      </c>
      <c r="E7" s="101" t="s">
        <v>82</v>
      </c>
      <c r="F7" s="116" t="s">
        <v>83</v>
      </c>
      <c r="G7" s="101">
        <v>2016</v>
      </c>
      <c r="H7" s="107" t="s">
        <v>364</v>
      </c>
      <c r="I7" s="108">
        <v>43830</v>
      </c>
      <c r="J7" s="136" t="s">
        <v>84</v>
      </c>
      <c r="K7" s="109" t="s">
        <v>85</v>
      </c>
      <c r="L7" s="109" t="s">
        <v>86</v>
      </c>
      <c r="M7" s="110">
        <v>46068</v>
      </c>
      <c r="N7" s="110">
        <v>46432</v>
      </c>
      <c r="O7" s="110" t="str">
        <f t="shared" ca="1" si="0"/>
        <v>ACTIVE</v>
      </c>
      <c r="P7" s="110" t="str">
        <f t="shared" ca="1" si="1"/>
        <v>142 days</v>
      </c>
      <c r="Q7" s="111" t="str">
        <f>HYPERLINK("https://steelworkspower-my.sharepoint.com/:b:/g/personal/utkarsh_kashyap_steelworks_in/IQA_TNREdyZQQ7keotiT2BfFAeFIo19TAEVjcCeEQj6usko?e=EAjjRx","Insurance - " &amp; $A7 &amp; " (" &amp; $B7 &amp; ")")</f>
        <v>Insurance - NL02N7972 (Escort Hydra)</v>
      </c>
      <c r="R7" s="110">
        <v>44874</v>
      </c>
      <c r="S7" s="110">
        <v>46701</v>
      </c>
      <c r="T7" s="110" t="str">
        <f t="shared" ca="1" si="2"/>
        <v>ACTIVE</v>
      </c>
      <c r="U7" s="110" t="str">
        <f t="shared" ca="1" si="3"/>
        <v>411 days</v>
      </c>
      <c r="V7" s="111" t="str">
        <f>+HYPERLINK("https://steelworkspower-my.sharepoint.com/:i:/g/personal/utkarsh_kashyap_steelworks_in/IQBoVq7ZPG1rS45YT7Pmmv7sAX1QxC0odBLqscGaRp9YzIQ?e=YmhbuQ","Fitness - " &amp; $A7 &amp; " (" &amp; $B7 &amp; ")")</f>
        <v>Fitness - NL02N7972 (Escort Hydra)</v>
      </c>
      <c r="W7" s="110">
        <v>46088</v>
      </c>
      <c r="X7" s="110">
        <v>47913</v>
      </c>
      <c r="Y7" s="110" t="str">
        <f ca="1">IF(X7&lt;TODAY(),"EXPIRED",IF(X7&lt;=TODAY()+30,"EXPIRING SOON","ACTIVE"))</f>
        <v>ACTIVE</v>
      </c>
      <c r="Z7" s="110" t="str">
        <f ca="1">TEXT(X7-TODAY(),"0")&amp;" days"</f>
        <v>1623 days</v>
      </c>
      <c r="AA7" s="111" t="str">
        <f>+HYPERLINK("https://steelworkspower-my.sharepoint.com/:b:/g/personal/utkarsh_kashyap_steelworks_in/IQAZ-Vy6wxbhS4rCQ8mH2WmVAeU3DH9ozArb6IxsBX7JCM0?e=IE5kl4","MV Tax - "&amp;$A7&amp;" ("&amp;$B7&amp;")")</f>
        <v>MV Tax - NL02N7972 (Escort Hydra)</v>
      </c>
      <c r="AB7" s="110"/>
      <c r="AC7" s="109"/>
      <c r="AD7" s="110"/>
      <c r="AE7" s="109"/>
      <c r="AF7" s="113">
        <v>9780</v>
      </c>
      <c r="AG7" s="109">
        <f t="shared" ca="1" si="4"/>
        <v>0</v>
      </c>
      <c r="AH7" s="101" t="s">
        <v>46</v>
      </c>
      <c r="AI7" s="101" t="s">
        <v>46</v>
      </c>
      <c r="AJ7" s="101" t="s">
        <v>46</v>
      </c>
      <c r="AK7" s="101" t="s">
        <v>46</v>
      </c>
      <c r="AL7" s="101" t="s">
        <v>46</v>
      </c>
      <c r="AM7" s="114" t="s">
        <v>47</v>
      </c>
      <c r="AN7" s="115" t="s">
        <v>340</v>
      </c>
    </row>
    <row r="8" spans="1:40" x14ac:dyDescent="0.25">
      <c r="A8" s="106" t="s">
        <v>87</v>
      </c>
      <c r="B8" s="101" t="s">
        <v>88</v>
      </c>
      <c r="C8" s="101" t="s">
        <v>80</v>
      </c>
      <c r="D8" s="101" t="s">
        <v>89</v>
      </c>
      <c r="E8" s="101" t="s">
        <v>90</v>
      </c>
      <c r="F8" s="116" t="s">
        <v>91</v>
      </c>
      <c r="G8" s="101">
        <v>2022</v>
      </c>
      <c r="H8" s="107" t="s">
        <v>365</v>
      </c>
      <c r="I8" s="108"/>
      <c r="J8" s="136" t="s">
        <v>329</v>
      </c>
      <c r="K8" s="109" t="s">
        <v>92</v>
      </c>
      <c r="L8" s="109" t="s">
        <v>93</v>
      </c>
      <c r="M8" s="110">
        <v>46070</v>
      </c>
      <c r="N8" s="110">
        <v>46434</v>
      </c>
      <c r="O8" s="110" t="str">
        <f t="shared" ca="1" si="0"/>
        <v>ACTIVE</v>
      </c>
      <c r="P8" s="110" t="str">
        <f t="shared" ca="1" si="1"/>
        <v>144 days</v>
      </c>
      <c r="Q8" s="111" t="str">
        <f>HYPERLINK("https://steelworkspower-my.sharepoint.com/:b:/g/personal/utkarsh_kashyap_steelworks_in/IQA-KehysVaSRozV5zeAmu8CAT6n16HyG5IHJM2LoEhEV-o?e=y9jjHG","Insurance - " &amp; $A8 &amp; " (" &amp; $B8 &amp; ")")</f>
        <v>Insurance - RJ02GC2332 (Mahindra Pickup Van )</v>
      </c>
      <c r="R8" s="110">
        <v>46066</v>
      </c>
      <c r="S8" s="110">
        <v>46805</v>
      </c>
      <c r="T8" s="110" t="str">
        <f t="shared" ca="1" si="2"/>
        <v>ACTIVE</v>
      </c>
      <c r="U8" s="110" t="str">
        <f t="shared" ca="1" si="3"/>
        <v>515 days</v>
      </c>
      <c r="V8" s="111" t="str">
        <f>+HYPERLINK("https://steelworkspower-my.sharepoint.com/:b:/g/personal/utkarsh_kashyap_steelworks_in/IQA7SHyTUBcDRrDVko1rOiGcAU9wiEWYlw1tOQaiOaHpbGU?e=lz77Wn","Fitness - " &amp; $A8 &amp; " (" &amp; $B8 &amp; ")")</f>
        <v>Fitness - RJ02GC2332 (Mahindra Pickup Van )</v>
      </c>
      <c r="W8" s="110"/>
      <c r="X8" s="110">
        <v>44609</v>
      </c>
      <c r="Y8" s="110" t="str">
        <f ca="1">IF(X8&lt;TODAY(),"EXPIRED",IF(X8&lt;=TODAY()+30,"EXPIRING SOON","ACTIVE"))</f>
        <v>EXPIRED</v>
      </c>
      <c r="Z8" s="110" t="str">
        <f ca="1">TEXT(X8-TODAY(),"0")&amp;" days"</f>
        <v>-1681 days</v>
      </c>
      <c r="AA8" s="111" t="str">
        <f>+HYPERLINK("https://steelworkspower-my.sharepoint.com/:i:/g/personal/utkarsh_kashyap_steelworks_in/IQAIWd1wxVsHSJi9_hzuk0OXAc-yTCGU9RzcFxZsd1JKrqo?e=T4Ihwn","MV Tax - "&amp;$A8&amp;" ("&amp;$B8&amp;")")</f>
        <v>MV Tax - RJ02GC2332 (Mahindra Pickup Van )</v>
      </c>
      <c r="AB8" s="110"/>
      <c r="AC8" s="109"/>
      <c r="AD8" s="110"/>
      <c r="AE8" s="109"/>
      <c r="AF8" s="113">
        <v>20254</v>
      </c>
      <c r="AG8" s="109">
        <f t="shared" ca="1" si="4"/>
        <v>0</v>
      </c>
      <c r="AH8" s="101" t="s">
        <v>46</v>
      </c>
      <c r="AI8" s="101" t="s">
        <v>46</v>
      </c>
      <c r="AJ8" s="101" t="s">
        <v>46</v>
      </c>
      <c r="AK8" s="101" t="s">
        <v>46</v>
      </c>
      <c r="AL8" s="101" t="s">
        <v>46</v>
      </c>
      <c r="AM8" s="114" t="s">
        <v>47</v>
      </c>
      <c r="AN8" s="115" t="s">
        <v>340</v>
      </c>
    </row>
    <row r="9" spans="1:40" x14ac:dyDescent="0.25">
      <c r="A9" s="106" t="s">
        <v>94</v>
      </c>
      <c r="B9" s="101" t="s">
        <v>95</v>
      </c>
      <c r="C9" s="101" t="s">
        <v>96</v>
      </c>
      <c r="D9" s="101" t="s">
        <v>97</v>
      </c>
      <c r="E9" s="101" t="s">
        <v>98</v>
      </c>
      <c r="F9" s="101" t="s">
        <v>99</v>
      </c>
      <c r="G9" s="101">
        <v>2022</v>
      </c>
      <c r="H9" s="107" t="s">
        <v>366</v>
      </c>
      <c r="I9" s="108">
        <v>50120</v>
      </c>
      <c r="J9" s="136">
        <v>1080000</v>
      </c>
      <c r="K9" s="109" t="s">
        <v>60</v>
      </c>
      <c r="L9" s="109" t="s">
        <v>100</v>
      </c>
      <c r="M9" s="110">
        <v>46085</v>
      </c>
      <c r="N9" s="110">
        <v>46449</v>
      </c>
      <c r="O9" s="110" t="str">
        <f t="shared" ca="1" si="0"/>
        <v>ACTIVE</v>
      </c>
      <c r="P9" s="110" t="str">
        <f t="shared" ca="1" si="1"/>
        <v>159 days</v>
      </c>
      <c r="Q9" s="111" t="str">
        <f>HYPERLINK("https://steelworkspower-my.sharepoint.com/:b:/g/personal/utkarsh_kashyap_steelworks_in/IQCDSh0gz2V9SpoyWOF4AdWNATU1LDSOk04u3_1wjs1ENgg?e=TaA7qZ","Insurance - " &amp; $A9 &amp; " (" &amp; $B9 &amp; ")")</f>
        <v>Insurance - RJ02EA2165 (Crane)</v>
      </c>
      <c r="R9" s="109"/>
      <c r="S9" s="110">
        <v>50120</v>
      </c>
      <c r="T9" s="110" t="str">
        <f t="shared" ca="1" si="2"/>
        <v>ACTIVE</v>
      </c>
      <c r="U9" s="110" t="str">
        <f t="shared" ca="1" si="3"/>
        <v>3830 days</v>
      </c>
      <c r="V9" s="111" t="str">
        <f>+HYPERLINK("https://steelworkspower-my.sharepoint.com/:i:/g/personal/utkarsh_kashyap_steelworks_in/IQD2_0b30UQSR7fMr8lxmgx7AWeD0uL2-jV_4zsXFD_7yR0?e=rgRjxt","Fitness - " &amp; $A9 &amp; " (" &amp; $B9 &amp; ")")</f>
        <v>Fitness - RJ02EA2165 (Crane)</v>
      </c>
      <c r="W9" s="110" t="s">
        <v>70</v>
      </c>
      <c r="X9" s="110" t="s">
        <v>70</v>
      </c>
      <c r="Y9" s="110" t="s">
        <v>70</v>
      </c>
      <c r="Z9" s="110" t="s">
        <v>70</v>
      </c>
      <c r="AA9" s="111" t="str">
        <f>+HYPERLINK("https://steelworkspower-my.sharepoint.com/:i:/g/personal/utkarsh_kashyap_steelworks_in/IQD2_0b30UQSR7fMr8lxmgx7AWeD0uL2-jV_4zsXFD_7yR0?e=rgRjxt","MV Tax - " &amp; $A9 &amp; " (" &amp; $B9 &amp; ")")</f>
        <v>MV Tax - RJ02EA2165 (Crane)</v>
      </c>
      <c r="AB9" s="110"/>
      <c r="AC9" s="109"/>
      <c r="AD9" s="110"/>
      <c r="AE9" s="109"/>
      <c r="AF9" s="113">
        <v>12284.98</v>
      </c>
      <c r="AG9" s="109">
        <f t="shared" ca="1" si="4"/>
        <v>0</v>
      </c>
      <c r="AH9" s="101" t="s">
        <v>46</v>
      </c>
      <c r="AI9" s="101" t="s">
        <v>46</v>
      </c>
      <c r="AJ9" s="101" t="s">
        <v>46</v>
      </c>
      <c r="AK9" s="101" t="s">
        <v>46</v>
      </c>
      <c r="AL9" s="101" t="s">
        <v>46</v>
      </c>
      <c r="AM9" s="114" t="s">
        <v>47</v>
      </c>
      <c r="AN9" s="115" t="s">
        <v>340</v>
      </c>
    </row>
    <row r="10" spans="1:40" ht="14.25" customHeight="1" x14ac:dyDescent="0.25">
      <c r="A10" s="106" t="s">
        <v>101</v>
      </c>
      <c r="B10" s="101" t="s">
        <v>102</v>
      </c>
      <c r="C10" s="101" t="s">
        <v>50</v>
      </c>
      <c r="D10" s="101" t="s">
        <v>103</v>
      </c>
      <c r="E10" s="101">
        <v>6170131605</v>
      </c>
      <c r="F10" s="101" t="s">
        <v>104</v>
      </c>
      <c r="G10" s="101">
        <v>2017</v>
      </c>
      <c r="H10" s="107" t="s">
        <v>367</v>
      </c>
      <c r="I10" s="108">
        <v>43830</v>
      </c>
      <c r="J10" s="136">
        <v>900000</v>
      </c>
      <c r="K10" s="109" t="s">
        <v>60</v>
      </c>
      <c r="L10" s="109" t="s">
        <v>105</v>
      </c>
      <c r="M10" s="110">
        <v>46092</v>
      </c>
      <c r="N10" s="110">
        <v>46456</v>
      </c>
      <c r="O10" s="110" t="str">
        <f t="shared" ca="1" si="0"/>
        <v>ACTIVE</v>
      </c>
      <c r="P10" s="110" t="str">
        <f t="shared" ca="1" si="1"/>
        <v>166 days</v>
      </c>
      <c r="Q10" s="111" t="str">
        <f>HYPERLINK("https://steelworkspower-my.sharepoint.com/:b:/g/personal/utkarsh_kashyap_steelworks_in/IQCk0e2EU85aSJAdamPvW-MJAZwHHrB8I1CpCShMDH00Af4?e=jQsTRA","Insurance - " &amp; $A10 &amp; " (" &amp; $B10 &amp; ")")</f>
        <v>Insurance - NL04D5885 (Hydra Ace Crane)</v>
      </c>
      <c r="R10" s="110">
        <v>44870</v>
      </c>
      <c r="S10" s="110">
        <v>46697</v>
      </c>
      <c r="T10" s="110" t="str">
        <f t="shared" ca="1" si="2"/>
        <v>ACTIVE</v>
      </c>
      <c r="U10" s="110" t="str">
        <f t="shared" ca="1" si="3"/>
        <v>407 days</v>
      </c>
      <c r="V10" s="111" t="str">
        <f>+HYPERLINK("https://steelworkspower-my.sharepoint.com/:i:/g/personal/utkarsh_kashyap_steelworks_in/IQD6SLY0PxbNRqTavY1zb-OdAYkTxWTc_xbJoJHF5H1UsU8?e=4VX3FN","Fitness - " &amp; $A10 &amp; " (" &amp; $B10 &amp; ")")</f>
        <v>Fitness - NL04D5885 (Hydra Ace Crane)</v>
      </c>
      <c r="W10" s="110">
        <v>42738</v>
      </c>
      <c r="X10" s="110">
        <v>46389</v>
      </c>
      <c r="Y10" s="110" t="str">
        <f ca="1">IF(X10&lt;TODAY(),"EXPIRED",IF(X10&lt;=TODAY()+30,"EXPIRING SOON","ACTIVE"))</f>
        <v>ACTIVE</v>
      </c>
      <c r="Z10" s="110" t="str">
        <f ca="1">TEXT(X10-TODAY(),"0")&amp;" days"</f>
        <v>99 days</v>
      </c>
      <c r="AA10" s="111" t="str">
        <f>+HYPERLINK("https://steelworkspower-my.sharepoint.com/:i:/g/personal/utkarsh_kashyap_steelworks_in/IQD6SLY0PxbNRqTavY1zb-OdAYkTxWTc_xbJoJHF5H1UsU8?e=4VX3FN","MV Tax - " &amp; $A10 &amp; " (" &amp; $B10 &amp; ")")</f>
        <v>MV Tax - NL04D5885 (Hydra Ace Crane)</v>
      </c>
      <c r="AB10" s="110"/>
      <c r="AC10" s="109"/>
      <c r="AD10" s="110"/>
      <c r="AE10" s="109"/>
      <c r="AF10" s="113">
        <v>9790.4599999999991</v>
      </c>
      <c r="AG10" s="109">
        <f t="shared" ca="1" si="4"/>
        <v>0</v>
      </c>
      <c r="AH10" s="101" t="s">
        <v>46</v>
      </c>
      <c r="AI10" s="101" t="s">
        <v>46</v>
      </c>
      <c r="AJ10" s="101" t="s">
        <v>46</v>
      </c>
      <c r="AK10" s="101" t="s">
        <v>46</v>
      </c>
      <c r="AL10" s="101" t="s">
        <v>46</v>
      </c>
      <c r="AM10" s="114" t="s">
        <v>47</v>
      </c>
      <c r="AN10" s="115" t="s">
        <v>340</v>
      </c>
    </row>
    <row r="11" spans="1:40" ht="14.65" customHeight="1" x14ac:dyDescent="0.25">
      <c r="A11" s="106" t="s">
        <v>106</v>
      </c>
      <c r="B11" s="101" t="s">
        <v>107</v>
      </c>
      <c r="C11" s="101" t="s">
        <v>108</v>
      </c>
      <c r="D11" s="101" t="s">
        <v>109</v>
      </c>
      <c r="E11" s="101" t="s">
        <v>110</v>
      </c>
      <c r="F11" s="116" t="s">
        <v>111</v>
      </c>
      <c r="G11" s="101">
        <v>2018</v>
      </c>
      <c r="H11" s="107" t="s">
        <v>368</v>
      </c>
      <c r="I11" s="108">
        <v>43922</v>
      </c>
      <c r="J11" s="136">
        <v>700000</v>
      </c>
      <c r="K11" s="109" t="s">
        <v>112</v>
      </c>
      <c r="L11" s="109" t="s">
        <v>113</v>
      </c>
      <c r="M11" s="110">
        <v>46094</v>
      </c>
      <c r="N11" s="110">
        <v>46458</v>
      </c>
      <c r="O11" s="110" t="str">
        <f t="shared" ca="1" si="0"/>
        <v>ACTIVE</v>
      </c>
      <c r="P11" s="110" t="str">
        <f t="shared" ca="1" si="1"/>
        <v>168 days</v>
      </c>
      <c r="Q11" s="111" t="str">
        <f>HYPERLINK("https://steelworkspower-my.sharepoint.com/:b:/g/personal/utkarsh_kashyap_steelworks_in/IQDn9pX8rkZSTbYg60x5m_d8AQS2qVcrUeqrXFzyYTE3DDs?e=FKZh8m","Insurance - " &amp; $A11 &amp; " (" &amp; $B11 &amp; ")")</f>
        <v>Insurance - HR55AC9581 (Tata LPT 2518 Truck)</v>
      </c>
      <c r="R11" s="110"/>
      <c r="S11" s="110">
        <v>46468</v>
      </c>
      <c r="T11" s="110" t="str">
        <f t="shared" ca="1" si="2"/>
        <v>ACTIVE</v>
      </c>
      <c r="U11" s="110" t="str">
        <f t="shared" ca="1" si="3"/>
        <v>178 days</v>
      </c>
      <c r="V11" s="111" t="str">
        <f>+HYPERLINK("https://steelworkspower-my.sharepoint.com/:b:/g/personal/utkarsh_kashyap_steelworks_in/IQCAQa5K1hXhQbLpaeKhTh6IAU3kS8pcp1SWw1CdgxOEpsM?e=tO2CPC","Fitness - " &amp; $A11 &amp; " (" &amp; $B11 &amp; ")")</f>
        <v>Fitness - HR55AC9581 (Tata LPT 2518 Truck)</v>
      </c>
      <c r="W11" s="110">
        <v>46113</v>
      </c>
      <c r="X11" s="110">
        <v>46477</v>
      </c>
      <c r="Y11" s="110" t="str">
        <f ca="1">IF(X11&lt;TODAY(),"EXPIRED",IF(X11&lt;=TODAY()+30,"EXPIRING SOON","ACTIVE"))</f>
        <v>ACTIVE</v>
      </c>
      <c r="Z11" s="110" t="str">
        <f ca="1">TEXT(X11-TODAY(),"0")&amp;" days"</f>
        <v>187 days</v>
      </c>
      <c r="AA11" s="111" t="str">
        <f>+HYPERLINK("https://steelworkspower-my.sharepoint.com/:b:/g/personal/utkarsh_kashyap_steelworks_in/IQAJlYiVcK6CT5dvUV1l63KGASX_hc2xZG3ebvYbxDMUN4g?e=EPtgrF","MV Tax - "&amp;$A11&amp;" ("&amp;$B11&amp;")")</f>
        <v>MV Tax - HR55AC9581 (Tata LPT 2518 Truck)</v>
      </c>
      <c r="AB11" s="110">
        <v>46492</v>
      </c>
      <c r="AC11" s="110" t="str">
        <f ca="1">IF(AB11&lt;TODAY(),"EXPIRED",IF(AB11&lt;=TODAY()+30,"EXPIRING SOON","ACTIVE"))</f>
        <v>ACTIVE</v>
      </c>
      <c r="AD11" s="110" t="str">
        <f ca="1">TEXT(AB11-TODAY(),"0")&amp;" days"</f>
        <v>202 days</v>
      </c>
      <c r="AE11" s="119" t="str">
        <f>+HYPERLINK("https://steelworkspower-my.sharepoint.com/:b:/g/personal/utkarsh_kashyap_steelworks_in/IQBrune3Zo7sTqpUhdOEH-LcAbU4T-NvwexUHZMQziJ292A?e=o4FC2p","Permit - " &amp; $A11 &amp; " (" &amp; $B11 &amp; ")")</f>
        <v>Permit - HR55AC9581 (Tata LPT 2518 Truck)</v>
      </c>
      <c r="AF11" s="113">
        <v>47305</v>
      </c>
      <c r="AG11" s="109">
        <f t="shared" ca="1" si="4"/>
        <v>1</v>
      </c>
      <c r="AH11" s="101" t="s">
        <v>46</v>
      </c>
      <c r="AI11" s="101" t="s">
        <v>46</v>
      </c>
      <c r="AJ11" s="101" t="s">
        <v>46</v>
      </c>
      <c r="AK11" s="101" t="s">
        <v>46</v>
      </c>
      <c r="AL11" s="101" t="s">
        <v>46</v>
      </c>
      <c r="AM11" s="114" t="s">
        <v>47</v>
      </c>
      <c r="AN11" s="115" t="s">
        <v>340</v>
      </c>
    </row>
    <row r="12" spans="1:40" ht="15.75" customHeight="1" x14ac:dyDescent="0.25">
      <c r="A12" s="106" t="s">
        <v>114</v>
      </c>
      <c r="B12" s="101" t="s">
        <v>115</v>
      </c>
      <c r="C12" s="101" t="s">
        <v>64</v>
      </c>
      <c r="D12" s="101" t="s">
        <v>116</v>
      </c>
      <c r="E12" s="101" t="s">
        <v>117</v>
      </c>
      <c r="F12" s="101" t="s">
        <v>118</v>
      </c>
      <c r="G12" s="101">
        <v>2022</v>
      </c>
      <c r="H12" s="107" t="s">
        <v>369</v>
      </c>
      <c r="I12" s="108">
        <v>50158</v>
      </c>
      <c r="J12" s="136" t="s">
        <v>119</v>
      </c>
      <c r="K12" s="109" t="s">
        <v>120</v>
      </c>
      <c r="L12" s="120" t="s">
        <v>121</v>
      </c>
      <c r="M12" s="110">
        <v>46132</v>
      </c>
      <c r="N12" s="110">
        <v>46496</v>
      </c>
      <c r="O12" s="110" t="str">
        <f t="shared" ca="1" si="0"/>
        <v>ACTIVE</v>
      </c>
      <c r="P12" s="110" t="str">
        <f t="shared" ca="1" si="1"/>
        <v>206 days</v>
      </c>
      <c r="Q12" s="111" t="str">
        <f>HYPERLINK("https://steelworkspower-my.sharepoint.com/:b:/g/personal/utkarsh_kashyap_steelworks_in/IQD3xvfBuKS1QIA8cPALzff0AecmHMD3fsEaULduRY33yDg?e=tj6JuE","Insurance - " &amp; $A12 &amp; " (" &amp; $B12 &amp; ")")</f>
        <v>Insurance - HR98D3281 (Skoda Kodiaq)</v>
      </c>
      <c r="R12" s="109"/>
      <c r="S12" s="110">
        <v>50158</v>
      </c>
      <c r="T12" s="110" t="str">
        <f t="shared" ca="1" si="2"/>
        <v>ACTIVE</v>
      </c>
      <c r="U12" s="110" t="str">
        <f t="shared" ca="1" si="3"/>
        <v>3868 days</v>
      </c>
      <c r="V12" s="111" t="str">
        <f>+HYPERLINK("https://steelworkspower-my.sharepoint.com/:i:/g/personal/utkarsh_kashyap_steelworks_in/IQBUhhR0YwtDRIIbNYfqAnK1AXDEUg4g7lZkGUpihyF2ZTI?e=aBfyEU","Fitness - " &amp; $A12 &amp; " (" &amp; $B12 &amp; ")")</f>
        <v>Fitness - HR98D3281 (Skoda Kodiaq)</v>
      </c>
      <c r="W12" s="110" t="s">
        <v>70</v>
      </c>
      <c r="X12" s="110" t="s">
        <v>70</v>
      </c>
      <c r="Y12" s="110" t="s">
        <v>70</v>
      </c>
      <c r="Z12" s="110" t="s">
        <v>70</v>
      </c>
      <c r="AA12" s="111" t="str">
        <f>+HYPERLINK("https://steelworkspower-my.sharepoint.com/:i:/g/personal/utkarsh_kashyap_steelworks_in/IQBUhhR0YwtDRIIbNYfqAnK1AXDEUg4g7lZkGUpihyF2ZTI?e=aBfyEU","MV Tax - "&amp;$A12&amp;" ("&amp;$B12&amp;")")</f>
        <v>MV Tax - HR98D3281 (Skoda Kodiaq)</v>
      </c>
      <c r="AB12" s="110"/>
      <c r="AC12" s="109"/>
      <c r="AD12" s="110"/>
      <c r="AE12" s="109"/>
      <c r="AF12" s="113">
        <v>60912</v>
      </c>
      <c r="AG12" s="109">
        <f t="shared" ca="1" si="4"/>
        <v>0</v>
      </c>
      <c r="AH12" s="101" t="s">
        <v>46</v>
      </c>
      <c r="AI12" s="101" t="s">
        <v>46</v>
      </c>
      <c r="AJ12" s="101" t="s">
        <v>46</v>
      </c>
      <c r="AK12" s="101" t="s">
        <v>46</v>
      </c>
      <c r="AL12" s="101" t="s">
        <v>46</v>
      </c>
      <c r="AM12" s="114" t="s">
        <v>47</v>
      </c>
      <c r="AN12" s="115" t="s">
        <v>340</v>
      </c>
    </row>
    <row r="13" spans="1:40" ht="15.6" customHeight="1" x14ac:dyDescent="0.25">
      <c r="A13" s="106" t="s">
        <v>122</v>
      </c>
      <c r="B13" s="101" t="s">
        <v>123</v>
      </c>
      <c r="C13" s="101" t="s">
        <v>41</v>
      </c>
      <c r="D13" s="101" t="s">
        <v>124</v>
      </c>
      <c r="E13" s="101" t="s">
        <v>125</v>
      </c>
      <c r="F13" s="101" t="s">
        <v>126</v>
      </c>
      <c r="G13" s="101">
        <v>2015</v>
      </c>
      <c r="H13" s="107" t="s">
        <v>370</v>
      </c>
      <c r="I13" s="108">
        <v>47574</v>
      </c>
      <c r="J13" s="136">
        <v>146117</v>
      </c>
      <c r="K13" s="109" t="s">
        <v>112</v>
      </c>
      <c r="L13" s="109" t="s">
        <v>127</v>
      </c>
      <c r="M13" s="110">
        <v>46176</v>
      </c>
      <c r="N13" s="110">
        <v>46540</v>
      </c>
      <c r="O13" s="110" t="str">
        <f t="shared" ca="1" si="0"/>
        <v>ACTIVE</v>
      </c>
      <c r="P13" s="110" t="str">
        <f t="shared" ca="1" si="1"/>
        <v>250 days</v>
      </c>
      <c r="Q13" s="111" t="str">
        <f>HYPERLINK("https://steelworkspower-my.sharepoint.com/:b:/g/personal/utkarsh_kashyap_steelworks_in/IQBgdC4GxGe5R4hmiPdP_WhfAWFV5vHbBaWmapLQ4P-_cic?e=yi1AeW","Insurance - " &amp; $A13 &amp; " (" &amp; $B13 &amp; ")")</f>
        <v>Insurance - WB74AG4079 (Maruti Suzuki Swift Dzire)</v>
      </c>
      <c r="R13" s="109"/>
      <c r="S13" s="110">
        <v>47574</v>
      </c>
      <c r="T13" s="110" t="str">
        <f t="shared" ca="1" si="2"/>
        <v>ACTIVE</v>
      </c>
      <c r="U13" s="110" t="str">
        <f t="shared" ca="1" si="3"/>
        <v>1284 days</v>
      </c>
      <c r="V13" s="111" t="str">
        <f>+HYPERLINK("https://steelworkspower-my.sharepoint.com/:i:/g/personal/utkarsh_kashyap_steelworks_in/IQCAxFrCw6ErR7fGXmAbgYZ_AZizH0b6fb22-GSOVenJI_o?e=npZuaZ","Fitness - " &amp; $A13 &amp; " (" &amp; $B13 &amp; ")")</f>
        <v>Fitness - WB74AG4079 (Maruti Suzuki Swift Dzire)</v>
      </c>
      <c r="W13" s="109"/>
      <c r="X13" s="110">
        <v>47578</v>
      </c>
      <c r="Y13" s="110" t="str">
        <f ca="1">IF(X13&lt;TODAY(),"EXPIRED",IF(X13&lt;=TODAY()+30,"EXPIRING SOON","ACTIVE"))</f>
        <v>ACTIVE</v>
      </c>
      <c r="Z13" s="110" t="str">
        <f ca="1">TEXT(X13-TODAY(),"0")&amp;" days"</f>
        <v>1288 days</v>
      </c>
      <c r="AA13" s="111" t="str">
        <f>+HYPERLINK("https://steelworkspower-my.sharepoint.com/:i:/g/personal/utkarsh_kashyap_steelworks_in/IQCAxFrCw6ErR7fGXmAbgYZ_AZizH0b6fb22-GSOVenJI_o?e=npZuaZ","MV Tax - "&amp;$A13&amp;" ("&amp;$B13&amp;")")</f>
        <v>MV Tax - WB74AG4079 (Maruti Suzuki Swift Dzire)</v>
      </c>
      <c r="AB13" s="110"/>
      <c r="AC13" s="109"/>
      <c r="AD13" s="110"/>
      <c r="AE13" s="109"/>
      <c r="AF13" s="113">
        <v>4858</v>
      </c>
      <c r="AG13" s="109">
        <f t="shared" ca="1" si="4"/>
        <v>0</v>
      </c>
      <c r="AH13" s="101" t="s">
        <v>46</v>
      </c>
      <c r="AI13" s="101" t="s">
        <v>46</v>
      </c>
      <c r="AJ13" s="101" t="s">
        <v>46</v>
      </c>
      <c r="AK13" s="101" t="s">
        <v>46</v>
      </c>
      <c r="AL13" s="101" t="s">
        <v>46</v>
      </c>
      <c r="AM13" s="114" t="s">
        <v>47</v>
      </c>
      <c r="AN13" s="115" t="s">
        <v>340</v>
      </c>
    </row>
    <row r="14" spans="1:40" ht="15.75" customHeight="1" x14ac:dyDescent="0.25">
      <c r="A14" s="106" t="s">
        <v>128</v>
      </c>
      <c r="B14" s="101" t="s">
        <v>129</v>
      </c>
      <c r="C14" s="101" t="s">
        <v>96</v>
      </c>
      <c r="D14" s="101" t="s">
        <v>129</v>
      </c>
      <c r="E14" s="101">
        <v>2087530</v>
      </c>
      <c r="F14" s="101" t="s">
        <v>130</v>
      </c>
      <c r="G14" s="101">
        <v>2015</v>
      </c>
      <c r="H14" s="107" t="s">
        <v>371</v>
      </c>
      <c r="I14" s="108"/>
      <c r="J14" s="136" t="s">
        <v>131</v>
      </c>
      <c r="K14" s="109" t="s">
        <v>132</v>
      </c>
      <c r="L14" s="109" t="s">
        <v>133</v>
      </c>
      <c r="M14" s="110">
        <v>46162</v>
      </c>
      <c r="N14" s="110">
        <v>46526</v>
      </c>
      <c r="O14" s="110" t="str">
        <f t="shared" ca="1" si="0"/>
        <v>ACTIVE</v>
      </c>
      <c r="P14" s="110" t="str">
        <f t="shared" ca="1" si="1"/>
        <v>236 days</v>
      </c>
      <c r="Q14" s="111" t="str">
        <f>HYPERLINK("https://steelworkspower-my.sharepoint.com/:b:/g/personal/utkarsh_kashyap_steelworks_in/IQD20IF5lNEQR7LuBXzdS1jFAc7bbFLUdk71s6KK3ViibLI?e=0aU2Dj","Insurance - " &amp; $A14 &amp; " (" &amp; $B14 &amp; ")")</f>
        <v>Insurance - NL03A2571 (JCB 3D Excavator)</v>
      </c>
      <c r="R14" s="110"/>
      <c r="S14" s="110">
        <v>43275</v>
      </c>
      <c r="T14" s="110" t="str">
        <f t="shared" ca="1" si="2"/>
        <v>EXPIRED</v>
      </c>
      <c r="U14" s="110" t="str">
        <f t="shared" ca="1" si="3"/>
        <v>-3015 days</v>
      </c>
      <c r="V14" s="111" t="str">
        <f>+HYPERLINK("https://steelworkspower-my.sharepoint.com/:i:/g/personal/utkarsh_kashyap_steelworks_in/IQDPqiPiKuM0S4ejfRZSp6vGAbH53ZzH-I7MmHRrSi6nOYA?e=VOSjWB","Fitness - " &amp; $A14 &amp; " (" &amp; $B14 &amp; ")")</f>
        <v>Fitness - NL03A2571 (JCB 3D Excavator)</v>
      </c>
      <c r="W14" s="110"/>
      <c r="X14" s="110">
        <v>42916</v>
      </c>
      <c r="Y14" s="110" t="str">
        <f ca="1">IF(X14&lt;TODAY(),"EXPIRED",IF(X14&lt;=TODAY()+30,"EXPIRING SOON","ACTIVE"))</f>
        <v>EXPIRED</v>
      </c>
      <c r="Z14" s="110" t="str">
        <f ca="1">TEXT(X14-TODAY(),"0")&amp;" days"</f>
        <v>-3374 days</v>
      </c>
      <c r="AA14" s="111" t="str">
        <f>+HYPERLINK("https://steelworkspower-my.sharepoint.com/:i:/g/personal/utkarsh_kashyap_steelworks_in/IQDPqiPiKuM0S4ejfRZSp6vGAbH53ZzH-I7MmHRrSi6nOYA?e=VOSjWB","MV Tax - "&amp;$A14&amp;" ("&amp;$B14&amp;")")</f>
        <v>MV Tax - NL03A2571 (JCB 3D Excavator)</v>
      </c>
      <c r="AB14" s="110"/>
      <c r="AC14" s="109"/>
      <c r="AD14" s="110"/>
      <c r="AE14" s="109"/>
      <c r="AF14" s="113">
        <v>27159</v>
      </c>
      <c r="AG14" s="109">
        <f t="shared" ca="1" si="4"/>
        <v>0</v>
      </c>
      <c r="AH14" s="101" t="s">
        <v>46</v>
      </c>
      <c r="AI14" s="101" t="s">
        <v>46</v>
      </c>
      <c r="AJ14" s="101" t="s">
        <v>46</v>
      </c>
      <c r="AK14" s="101" t="s">
        <v>46</v>
      </c>
      <c r="AL14" s="101" t="s">
        <v>46</v>
      </c>
      <c r="AM14" s="114" t="s">
        <v>47</v>
      </c>
      <c r="AN14" s="115" t="s">
        <v>340</v>
      </c>
    </row>
    <row r="15" spans="1:40" ht="15" customHeight="1" x14ac:dyDescent="0.25">
      <c r="A15" s="106" t="s">
        <v>134</v>
      </c>
      <c r="B15" s="101" t="s">
        <v>135</v>
      </c>
      <c r="C15" s="101" t="s">
        <v>96</v>
      </c>
      <c r="D15" s="101" t="s">
        <v>136</v>
      </c>
      <c r="E15" s="116" t="s">
        <v>137</v>
      </c>
      <c r="F15" s="101" t="s">
        <v>138</v>
      </c>
      <c r="G15" s="101">
        <v>2018</v>
      </c>
      <c r="H15" s="107" t="s">
        <v>372</v>
      </c>
      <c r="I15" s="108">
        <v>46843</v>
      </c>
      <c r="J15" s="136" t="s">
        <v>341</v>
      </c>
      <c r="K15" s="109" t="s">
        <v>333</v>
      </c>
      <c r="L15" s="109" t="s">
        <v>318</v>
      </c>
      <c r="M15" s="110">
        <v>46220</v>
      </c>
      <c r="N15" s="110">
        <v>46584</v>
      </c>
      <c r="O15" s="110" t="str">
        <f t="shared" ca="1" si="0"/>
        <v>ACTIVE</v>
      </c>
      <c r="P15" s="110" t="str">
        <f t="shared" ca="1" si="1"/>
        <v>294 days</v>
      </c>
      <c r="Q15" s="111" t="str">
        <f>HYPERLINK("https://steelworkspower-my.sharepoint.com/:b:/g/personal/utkarsh_kashyap_steelworks_in/IQA9yopIIr1wRIYxye5gZ8uBAfnkfHxwToeVtzc6EuEFN0k?e=NCJux1","Insurance - " &amp; $A15 &amp; " (" &amp; $B15 &amp; ")")</f>
        <v>Insurance - NL04D6690 (Ace Pick-n-Carry Crane)</v>
      </c>
      <c r="R15" s="110">
        <v>43772</v>
      </c>
      <c r="S15" s="110">
        <v>46693</v>
      </c>
      <c r="T15" s="110" t="str">
        <f t="shared" ref="T15:T21" ca="1" si="5">IF(S15&lt;TODAY(),"EXPIRED",IF(S15&lt;=TODAY()+30,"EXPIRING SOON","ACTIVE"))</f>
        <v>ACTIVE</v>
      </c>
      <c r="U15" s="110" t="str">
        <f t="shared" ref="U15:U21" ca="1" si="6">TEXT(S15-TODAY(),"0")&amp;" days"</f>
        <v>403 days</v>
      </c>
      <c r="V15" s="111" t="str">
        <f>+HYPERLINK("https://steelworkspower-my.sharepoint.com/:i:/g/personal/utkarsh_kashyap_steelworks_in/IQCSPq86zlmdTaVA-mmoJHWiAR4kY8AKCNFWVIi2n_F1tyg?e=XT71fQ","Fitness - " &amp; $A15 &amp; " (" &amp; $B15 &amp; ")")</f>
        <v>Fitness - NL04D6690 (Ace Pick-n-Carry Crane)</v>
      </c>
      <c r="W15" s="110">
        <v>43294</v>
      </c>
      <c r="X15" s="110">
        <v>46946</v>
      </c>
      <c r="Y15" s="110" t="str">
        <f ca="1">IF(X15&lt;TODAY(),"EXPIRED",IF(X15&lt;=TODAY()+30,"EXPIRING SOON","ACTIVE"))</f>
        <v>ACTIVE</v>
      </c>
      <c r="Z15" s="110" t="str">
        <f ca="1">TEXT(X15-TODAY(),"0")&amp;" days"</f>
        <v>656 days</v>
      </c>
      <c r="AA15" s="111" t="str">
        <f>+HYPERLINK("https://steelworkspower-my.sharepoint.com/:i:/g/personal/utkarsh_kashyap_steelworks_in/IQCSPq86zlmdTaVA-mmoJHWiAR4kY8AKCNFWVIi2n_F1tyg?e=XT71fQ","MV Tax - "&amp;$A15&amp;" ("&amp;$B15&amp;")")</f>
        <v>MV Tax - NL04D6690 (Ace Pick-n-Carry Crane)</v>
      </c>
      <c r="AB15" s="110"/>
      <c r="AC15" s="109"/>
      <c r="AD15" s="110"/>
      <c r="AE15" s="109"/>
      <c r="AF15" s="113">
        <v>9382</v>
      </c>
      <c r="AG15" s="109">
        <f t="shared" ca="1" si="4"/>
        <v>0</v>
      </c>
      <c r="AH15" s="101" t="s">
        <v>46</v>
      </c>
      <c r="AI15" s="101" t="s">
        <v>46</v>
      </c>
      <c r="AJ15" s="101" t="s">
        <v>46</v>
      </c>
      <c r="AK15" s="101" t="s">
        <v>46</v>
      </c>
      <c r="AL15" s="101" t="s">
        <v>46</v>
      </c>
      <c r="AM15" s="114" t="s">
        <v>47</v>
      </c>
      <c r="AN15" s="115" t="s">
        <v>340</v>
      </c>
    </row>
    <row r="16" spans="1:40" ht="15" customHeight="1" x14ac:dyDescent="0.25">
      <c r="A16" s="106" t="s">
        <v>139</v>
      </c>
      <c r="B16" s="101" t="s">
        <v>140</v>
      </c>
      <c r="C16" s="101" t="s">
        <v>96</v>
      </c>
      <c r="D16" s="101" t="s">
        <v>141</v>
      </c>
      <c r="E16" s="101" t="s">
        <v>142</v>
      </c>
      <c r="F16" s="101" t="s">
        <v>143</v>
      </c>
      <c r="G16" s="101">
        <v>2018</v>
      </c>
      <c r="H16" s="107" t="s">
        <v>373</v>
      </c>
      <c r="I16" s="108">
        <v>48720</v>
      </c>
      <c r="J16" s="136">
        <v>167000</v>
      </c>
      <c r="K16" s="109" t="s">
        <v>44</v>
      </c>
      <c r="L16" s="109" t="s">
        <v>330</v>
      </c>
      <c r="M16" s="110">
        <v>46228</v>
      </c>
      <c r="N16" s="110">
        <v>46592</v>
      </c>
      <c r="O16" s="110" t="str">
        <f t="shared" ca="1" si="0"/>
        <v>ACTIVE</v>
      </c>
      <c r="P16" s="110" t="str">
        <f t="shared" ca="1" si="1"/>
        <v>302 days</v>
      </c>
      <c r="Q16" s="111" t="str">
        <f>HYPERLINK("https://steelworkspower-my.sharepoint.com/:b:/g/personal/utkarsh_kashyap_steelworks_in/IQAT9Iu9G95NSJoPCqfjVHCxARB077OqVppt3hHkJalYkWY?e=cnqqad","Insurance - " &amp; $A16 &amp; " (" &amp; $B16 &amp; ")")</f>
        <v>Insurance - RJ02RE2119 (Mahindra Tractor )</v>
      </c>
      <c r="R16" s="110"/>
      <c r="S16" s="110">
        <v>48720</v>
      </c>
      <c r="T16" s="110" t="str">
        <f t="shared" ca="1" si="5"/>
        <v>ACTIVE</v>
      </c>
      <c r="U16" s="110" t="str">
        <f t="shared" ca="1" si="6"/>
        <v>2430 days</v>
      </c>
      <c r="V16" s="111" t="str">
        <f>+HYPERLINK("https://steelworkspower-my.sharepoint.com/:i:/g/personal/utkarsh_kashyap_steelworks_in/IQA5Om8pyMDyR74VGTiqFMSbAVRyBfmXJVsW75-NJskS4eY?e=saedFY","Fitness - " &amp; $A16 &amp; " (" &amp; $B16 &amp; ")")</f>
        <v>Fitness - RJ02RE2119 (Mahindra Tractor )</v>
      </c>
      <c r="W16" s="110" t="s">
        <v>144</v>
      </c>
      <c r="X16" s="110" t="s">
        <v>144</v>
      </c>
      <c r="Y16" s="110" t="s">
        <v>144</v>
      </c>
      <c r="Z16" s="110" t="s">
        <v>144</v>
      </c>
      <c r="AA16" s="111"/>
      <c r="AB16" s="110"/>
      <c r="AC16" s="109"/>
      <c r="AD16" s="110"/>
      <c r="AE16" s="109"/>
      <c r="AF16" s="113">
        <v>17999</v>
      </c>
      <c r="AG16" s="109">
        <f t="shared" ca="1" si="4"/>
        <v>0</v>
      </c>
      <c r="AH16" s="101" t="s">
        <v>46</v>
      </c>
      <c r="AI16" s="101" t="s">
        <v>46</v>
      </c>
      <c r="AJ16" s="101" t="s">
        <v>46</v>
      </c>
      <c r="AK16" s="101" t="s">
        <v>46</v>
      </c>
      <c r="AL16" s="101" t="s">
        <v>46</v>
      </c>
      <c r="AM16" s="114" t="s">
        <v>47</v>
      </c>
      <c r="AN16" s="115" t="s">
        <v>340</v>
      </c>
    </row>
    <row r="17" spans="1:40" ht="14.25" customHeight="1" x14ac:dyDescent="0.25">
      <c r="A17" s="106" t="s">
        <v>145</v>
      </c>
      <c r="B17" s="101" t="s">
        <v>146</v>
      </c>
      <c r="C17" s="101" t="s">
        <v>64</v>
      </c>
      <c r="D17" s="101" t="s">
        <v>147</v>
      </c>
      <c r="E17" s="101" t="s">
        <v>148</v>
      </c>
      <c r="F17" s="121">
        <v>463438414195768</v>
      </c>
      <c r="G17" s="101">
        <v>2022</v>
      </c>
      <c r="H17" s="107" t="s">
        <v>374</v>
      </c>
      <c r="I17" s="108">
        <v>50268</v>
      </c>
      <c r="J17" s="136">
        <v>1475000</v>
      </c>
      <c r="K17" s="109" t="s">
        <v>342</v>
      </c>
      <c r="L17" s="109" t="s">
        <v>343</v>
      </c>
      <c r="M17" s="110">
        <v>46238</v>
      </c>
      <c r="N17" s="110">
        <v>46602</v>
      </c>
      <c r="O17" s="110" t="str">
        <f t="shared" ca="1" si="0"/>
        <v>ACTIVE</v>
      </c>
      <c r="P17" s="110" t="str">
        <f t="shared" ca="1" si="1"/>
        <v>312 days</v>
      </c>
      <c r="Q17" s="111" t="str">
        <f>HYPERLINK("https://steelworkspower-my.sharepoint.com/:b:/g/personal/utkarsh_kashyap_steelworks_in/IQC9aIw1KuvTS6BDqfAssyWCAT-OKdqI0UnlYJW3wqLD71Y?e=SmnvHj","Insurance - " &amp; $A17 &amp; " (" &amp; $B17 &amp; ")")</f>
        <v>Insurance - HR98F8540 (Tata Harrier)</v>
      </c>
      <c r="R17" s="109"/>
      <c r="S17" s="110">
        <v>50268</v>
      </c>
      <c r="T17" s="110" t="str">
        <f t="shared" ca="1" si="5"/>
        <v>ACTIVE</v>
      </c>
      <c r="U17" s="110" t="str">
        <f t="shared" ca="1" si="6"/>
        <v>3978 days</v>
      </c>
      <c r="V17" s="111" t="str">
        <f>+HYPERLINK("https://steelworkspower-my.sharepoint.com/:i:/g/personal/utkarsh_kashyap_steelworks_in/IQAkX8bbXD3VSKCnt4dWLCg1Ab7J7RGTxF-cNULUpDj7U70?e=IuY8ts","Fitness - " &amp; $A17 &amp; " (" &amp; $B17 &amp; ")")</f>
        <v>Fitness - HR98F8540 (Tata Harrier)</v>
      </c>
      <c r="W17" s="110" t="s">
        <v>70</v>
      </c>
      <c r="X17" s="110" t="s">
        <v>70</v>
      </c>
      <c r="Y17" s="110" t="s">
        <v>70</v>
      </c>
      <c r="Z17" s="110" t="s">
        <v>70</v>
      </c>
      <c r="AA17" s="111" t="str">
        <f>+HYPERLINK("https://steelworkspower-my.sharepoint.com/:i:/g/personal/utkarsh_kashyap_steelworks_in/IQAkX8bbXD3VSKCnt4dWLCg1Ab7J7RGTxF-cNULUpDj7U70?e=IuY8ts","MV Tax - "&amp;$A17&amp;" ("&amp;$B17&amp;")")</f>
        <v>MV Tax - HR98F8540 (Tata Harrier)</v>
      </c>
      <c r="AB17" s="110"/>
      <c r="AC17" s="109"/>
      <c r="AD17" s="110"/>
      <c r="AE17" s="109"/>
      <c r="AF17" s="113">
        <v>43272</v>
      </c>
      <c r="AG17" s="109">
        <f t="shared" ca="1" si="4"/>
        <v>0</v>
      </c>
      <c r="AH17" s="101" t="s">
        <v>46</v>
      </c>
      <c r="AI17" s="101" t="s">
        <v>46</v>
      </c>
      <c r="AJ17" s="101" t="s">
        <v>46</v>
      </c>
      <c r="AK17" s="101" t="s">
        <v>46</v>
      </c>
      <c r="AL17" s="101" t="s">
        <v>46</v>
      </c>
      <c r="AM17" s="114" t="s">
        <v>47</v>
      </c>
      <c r="AN17" s="115" t="s">
        <v>340</v>
      </c>
    </row>
    <row r="18" spans="1:40" ht="15.75" customHeight="1" x14ac:dyDescent="0.25">
      <c r="A18" s="106" t="s">
        <v>149</v>
      </c>
      <c r="B18" s="101" t="s">
        <v>150</v>
      </c>
      <c r="C18" s="101" t="s">
        <v>96</v>
      </c>
      <c r="D18" s="101" t="s">
        <v>151</v>
      </c>
      <c r="E18" s="116" t="s">
        <v>152</v>
      </c>
      <c r="F18" s="101" t="s">
        <v>153</v>
      </c>
      <c r="G18" s="101">
        <v>2023</v>
      </c>
      <c r="H18" s="107" t="s">
        <v>375</v>
      </c>
      <c r="I18" s="108"/>
      <c r="J18" s="136">
        <v>1474200</v>
      </c>
      <c r="K18" s="109" t="s">
        <v>333</v>
      </c>
      <c r="L18" s="109" t="s">
        <v>334</v>
      </c>
      <c r="M18" s="110">
        <v>46248</v>
      </c>
      <c r="N18" s="110">
        <v>46612</v>
      </c>
      <c r="O18" s="110" t="str">
        <f t="shared" ca="1" si="0"/>
        <v>ACTIVE</v>
      </c>
      <c r="P18" s="110" t="str">
        <f t="shared" ca="1" si="1"/>
        <v>322 days</v>
      </c>
      <c r="Q18" s="111" t="str">
        <f>HYPERLINK("https://steelworkspower-my.sharepoint.com/:b:/g/personal/utkarsh_kashyap_steelworks_in/IQBqxt9v9U5FS4Rsi3e3zAC5ASinN1dpJ-2KfzbYcXWcbbI?e=5MBtRS","Insurance - " &amp; $A18 &amp; " (" &amp; $B18 &amp; ")")</f>
        <v>Insurance - RJ02PA8005 (Isuzu S7 CNG Bus)</v>
      </c>
      <c r="R18" s="109"/>
      <c r="S18" s="110">
        <v>46670</v>
      </c>
      <c r="T18" s="110" t="str">
        <f t="shared" ca="1" si="5"/>
        <v>ACTIVE</v>
      </c>
      <c r="U18" s="110" t="str">
        <f t="shared" ca="1" si="6"/>
        <v>380 days</v>
      </c>
      <c r="V18" s="111" t="str">
        <f>+HYPERLINK("https://steelworkspower-my.sharepoint.com/:b:/g/personal/utkarsh_kashyap_steelworks_in/IQCmid8iJ7EBRqoytkotRO-aAXt4bWgq4FKIvzNewBiorhs?e=mBTw5B","Fitness - " &amp; $A18 &amp; " (" &amp; $B18 &amp; ")")</f>
        <v>Fitness - RJ02PA8005 (Isuzu S7 CNG Bus)</v>
      </c>
      <c r="W18" s="109"/>
      <c r="X18" s="110">
        <v>50688</v>
      </c>
      <c r="Y18" s="110" t="str">
        <f ca="1">IF(X18&lt;TODAY(),"EXPIRED",IF(X18&lt;=TODAY()+30,"EXPIRING SOON","ACTIVE"))</f>
        <v>ACTIVE</v>
      </c>
      <c r="Z18" s="110" t="str">
        <f ca="1">TEXT(X18-TODAY(),"0")&amp;" days"</f>
        <v>4398 days</v>
      </c>
      <c r="AA18" s="111" t="str">
        <f>+HYPERLINK("https://steelworkspower-my.sharepoint.com/:i:/g/personal/utkarsh_kashyap_steelworks_in/IQBbm-2VsO8cQbm6_5EwV8bnAcb_IhU9I-cpXEmKXEoWRMk?e=SVRWnI","MV Tax - "&amp;$A18&amp;" ("&amp;$B18&amp;")")</f>
        <v>MV Tax - RJ02PA8005 (Isuzu S7 CNG Bus)</v>
      </c>
      <c r="AB18" s="110">
        <v>47119</v>
      </c>
      <c r="AC18" s="110" t="str">
        <f ca="1">IF(AB18&lt;TODAY(),"EXPIRED",IF(AB18&lt;=TODAY()+30,"EXPIRING SOON","ACTIVE"))</f>
        <v>ACTIVE</v>
      </c>
      <c r="AD18" s="110" t="str">
        <f ca="1">TEXT(AB18-TODAY(),"0")&amp;" days"</f>
        <v>829 days</v>
      </c>
      <c r="AE18" s="119" t="str">
        <f>+HYPERLINK("https://steelworkspower-my.sharepoint.com/:i:/g/personal/utkarsh_kashyap_steelworks_in/IQDgl0oKA_dGR6PgU-6qaAYIAZqxXqMmSy5XikObq0I3fVw?e=qf6JPJ","Permit - " &amp; $A18 &amp; " (" &amp; $B18 &amp; ")")</f>
        <v>Permit - RJ02PA8005 (Isuzu S7 CNG Bus)</v>
      </c>
      <c r="AF18" s="113">
        <v>41298</v>
      </c>
      <c r="AG18" s="109">
        <f t="shared" ca="1" si="4"/>
        <v>1</v>
      </c>
      <c r="AH18" s="101" t="s">
        <v>46</v>
      </c>
      <c r="AI18" s="101" t="s">
        <v>46</v>
      </c>
      <c r="AJ18" s="101" t="s">
        <v>46</v>
      </c>
      <c r="AK18" s="101" t="s">
        <v>46</v>
      </c>
      <c r="AL18" s="101" t="s">
        <v>46</v>
      </c>
      <c r="AM18" s="114" t="s">
        <v>47</v>
      </c>
      <c r="AN18" s="115" t="s">
        <v>340</v>
      </c>
    </row>
    <row r="19" spans="1:40" x14ac:dyDescent="0.25">
      <c r="A19" s="106" t="s">
        <v>154</v>
      </c>
      <c r="B19" s="101" t="s">
        <v>155</v>
      </c>
      <c r="C19" s="101" t="s">
        <v>96</v>
      </c>
      <c r="D19" s="101" t="s">
        <v>156</v>
      </c>
      <c r="E19" s="116" t="s">
        <v>157</v>
      </c>
      <c r="F19" s="101" t="s">
        <v>158</v>
      </c>
      <c r="G19" s="101">
        <v>2020</v>
      </c>
      <c r="H19" s="107" t="s">
        <v>376</v>
      </c>
      <c r="I19" s="108">
        <v>49568</v>
      </c>
      <c r="J19" s="136">
        <v>967956</v>
      </c>
      <c r="K19" s="109" t="s">
        <v>60</v>
      </c>
      <c r="L19" s="109" t="s">
        <v>159</v>
      </c>
      <c r="M19" s="110">
        <v>45983</v>
      </c>
      <c r="N19" s="110">
        <v>46347</v>
      </c>
      <c r="O19" s="110" t="str">
        <f t="shared" ca="1" si="0"/>
        <v>ACTIVE</v>
      </c>
      <c r="P19" s="110" t="str">
        <f t="shared" ca="1" si="1"/>
        <v>57 days</v>
      </c>
      <c r="Q19" s="111" t="str">
        <f>HYPERLINK("https://steelworkspower-my.sharepoint.com/:b:/g/personal/utkarsh_kashyap_steelworks_in/IQBVThUj6jDDTb94oaTNoFRYAcv5p_84b8LtuTMIIv1XLw0?e=wEqoXV","Insurance - " &amp; $A19 &amp; " (" &amp; $B19 &amp; ")")</f>
        <v>Insurance - RJ02EA1812 (HYDRA ACE 15 Crane )</v>
      </c>
      <c r="R19" s="109"/>
      <c r="S19" s="110">
        <v>49568</v>
      </c>
      <c r="T19" s="110" t="str">
        <f t="shared" ca="1" si="5"/>
        <v>ACTIVE</v>
      </c>
      <c r="U19" s="110" t="str">
        <f t="shared" ca="1" si="6"/>
        <v>3278 days</v>
      </c>
      <c r="V19" s="111" t="str">
        <f>+HYPERLINK("https://steelworkspower-my.sharepoint.com/:i:/g/personal/utkarsh_kashyap_steelworks_in/IQCcmffb-4rmS6e5hMoKpz-5AXwRhqEV5rnVMIeNgju05xE?e=1pzFGq","Fitness - " &amp; $A19 &amp; " (" &amp; $B19 &amp; ")")</f>
        <v>Fitness - RJ02EA1812 (HYDRA ACE 15 Crane )</v>
      </c>
      <c r="W19" s="110" t="s">
        <v>70</v>
      </c>
      <c r="X19" s="110" t="s">
        <v>70</v>
      </c>
      <c r="Y19" s="110" t="s">
        <v>70</v>
      </c>
      <c r="Z19" s="110" t="s">
        <v>70</v>
      </c>
      <c r="AA19" s="111" t="str">
        <f>+HYPERLINK("https://steelworkspower-my.sharepoint.com/:i:/g/personal/utkarsh_kashyap_steelworks_in/IQCcmffb-4rmS6e5hMoKpz-5AXwRhqEV5rnVMIeNgju05xE?e=1pzFGq","MV Tax - "&amp;$A19&amp;" ("&amp;$B19&amp;")")</f>
        <v>MV Tax - RJ02EA1812 (HYDRA ACE 15 Crane )</v>
      </c>
      <c r="AB19" s="110"/>
      <c r="AC19" s="109"/>
      <c r="AD19" s="110"/>
      <c r="AE19" s="109"/>
      <c r="AF19" s="113">
        <v>10091.36</v>
      </c>
      <c r="AG19" s="109">
        <f t="shared" ca="1" si="4"/>
        <v>0</v>
      </c>
      <c r="AH19" s="101" t="s">
        <v>46</v>
      </c>
      <c r="AI19" s="101" t="s">
        <v>46</v>
      </c>
      <c r="AJ19" s="101" t="s">
        <v>46</v>
      </c>
      <c r="AK19" s="101" t="s">
        <v>46</v>
      </c>
      <c r="AL19" s="101" t="s">
        <v>46</v>
      </c>
      <c r="AM19" s="114" t="s">
        <v>47</v>
      </c>
      <c r="AN19" s="115" t="s">
        <v>340</v>
      </c>
    </row>
    <row r="20" spans="1:40" x14ac:dyDescent="0.25">
      <c r="A20" s="106" t="s">
        <v>160</v>
      </c>
      <c r="B20" s="101" t="s">
        <v>161</v>
      </c>
      <c r="C20" s="101" t="s">
        <v>64</v>
      </c>
      <c r="D20" s="101" t="s">
        <v>162</v>
      </c>
      <c r="E20" s="101" t="s">
        <v>163</v>
      </c>
      <c r="F20" s="101" t="s">
        <v>164</v>
      </c>
      <c r="G20" s="101">
        <v>2021</v>
      </c>
      <c r="H20" s="107" t="s">
        <v>377</v>
      </c>
      <c r="I20" s="108">
        <v>49937</v>
      </c>
      <c r="J20" s="136" t="s">
        <v>338</v>
      </c>
      <c r="K20" s="109" t="s">
        <v>339</v>
      </c>
      <c r="L20" s="109" t="s">
        <v>337</v>
      </c>
      <c r="M20" s="110">
        <v>46274</v>
      </c>
      <c r="N20" s="110">
        <v>46638</v>
      </c>
      <c r="O20" s="110" t="str">
        <f t="shared" ca="1" si="0"/>
        <v>ACTIVE</v>
      </c>
      <c r="P20" s="110" t="str">
        <f t="shared" ca="1" si="1"/>
        <v>348 days</v>
      </c>
      <c r="Q20" s="111" t="str">
        <f>HYPERLINK("https://steelworkspower-my.sharepoint.com/:b:/g/personal/utkarsh_kashyap_steelworks_in/IQDUXdSQ-0gcRYQNILsG0VPOAf48K_zQq-MTek6_fngb_8k?e=HaVZXg","Insurance - " &amp; $A20 &amp; " (" &amp; $B20 &amp; ")")</f>
        <v>Insurance - HR98B8878 (Maruti Suzuki Baleno)</v>
      </c>
      <c r="R20" s="109"/>
      <c r="S20" s="110">
        <v>49937</v>
      </c>
      <c r="T20" s="110" t="str">
        <f t="shared" ca="1" si="5"/>
        <v>ACTIVE</v>
      </c>
      <c r="U20" s="110" t="str">
        <f t="shared" ca="1" si="6"/>
        <v>3647 days</v>
      </c>
      <c r="V20" s="111" t="str">
        <f>+HYPERLINK("https://steelworkspower-my.sharepoint.com/:i:/g/personal/utkarsh_kashyap_steelworks_in/IQAiQsYt-WphSZLX5a8g1Oq-AQmDcQjHXHVq_1tYgHqZcEI?e=1ERJZX","Fitness - " &amp; $A20 &amp; " (" &amp; $B20 &amp; ")")</f>
        <v>Fitness - HR98B8878 (Maruti Suzuki Baleno)</v>
      </c>
      <c r="W20" s="110" t="s">
        <v>70</v>
      </c>
      <c r="X20" s="110" t="s">
        <v>70</v>
      </c>
      <c r="Y20" s="110" t="s">
        <v>70</v>
      </c>
      <c r="Z20" s="110" t="s">
        <v>70</v>
      </c>
      <c r="AA20" s="111" t="str">
        <f>+HYPERLINK("https://steelworkspower-my.sharepoint.com/:i:/g/personal/utkarsh_kashyap_steelworks_in/IQAiQsYt-WphSZLX5a8g1Oq-AQmDcQjHXHVq_1tYgHqZcEI?e=1ERJZX","MV Tax - "&amp;$A20&amp;" ("&amp;$B20&amp;")")</f>
        <v>MV Tax - HR98B8878 (Maruti Suzuki Baleno)</v>
      </c>
      <c r="AB20" s="110"/>
      <c r="AC20" s="109"/>
      <c r="AD20" s="110"/>
      <c r="AE20" s="109"/>
      <c r="AF20" s="113">
        <v>10018</v>
      </c>
      <c r="AG20" s="109">
        <f t="shared" ca="1" si="4"/>
        <v>0</v>
      </c>
      <c r="AH20" s="101" t="s">
        <v>46</v>
      </c>
      <c r="AI20" s="101" t="s">
        <v>46</v>
      </c>
      <c r="AJ20" s="101" t="s">
        <v>46</v>
      </c>
      <c r="AK20" s="101" t="s">
        <v>46</v>
      </c>
      <c r="AL20" s="101" t="s">
        <v>46</v>
      </c>
      <c r="AM20" s="114" t="s">
        <v>47</v>
      </c>
      <c r="AN20" s="115" t="s">
        <v>340</v>
      </c>
    </row>
    <row r="21" spans="1:40" ht="15.75" customHeight="1" x14ac:dyDescent="0.25">
      <c r="A21" s="106" t="s">
        <v>165</v>
      </c>
      <c r="B21" s="101" t="s">
        <v>166</v>
      </c>
      <c r="C21" s="101" t="s">
        <v>108</v>
      </c>
      <c r="D21" s="101" t="s">
        <v>167</v>
      </c>
      <c r="E21" s="101" t="s">
        <v>168</v>
      </c>
      <c r="F21" s="101" t="s">
        <v>169</v>
      </c>
      <c r="G21" s="101">
        <v>2022</v>
      </c>
      <c r="H21" s="107" t="s">
        <v>378</v>
      </c>
      <c r="I21" s="108">
        <v>50082</v>
      </c>
      <c r="J21" s="136">
        <v>2160000</v>
      </c>
      <c r="K21" s="109" t="s">
        <v>170</v>
      </c>
      <c r="L21" s="109" t="s">
        <v>323</v>
      </c>
      <c r="M21" s="110">
        <v>45958</v>
      </c>
      <c r="N21" s="110">
        <v>46322</v>
      </c>
      <c r="O21" s="110" t="str">
        <f t="shared" ca="1" si="0"/>
        <v>ACTIVE</v>
      </c>
      <c r="P21" s="110" t="str">
        <f t="shared" ca="1" si="1"/>
        <v>32 days</v>
      </c>
      <c r="Q21" s="111" t="str">
        <f>HYPERLINK("https://steelworkspower-my.sharepoint.com/:b:/g/personal/utkarsh_kashyap_steelworks_in/IQDvlIsUJRtkT5-l2_-qJVbcAdjTaERcub57IiJMBalGUes?e=lKR3UN","Insurance - " &amp; $A21 &amp; " (" &amp; $B21 &amp; ")")</f>
        <v>Insurance - HR26EX5936 (JCB Backhoe Loader)</v>
      </c>
      <c r="R21" s="109"/>
      <c r="S21" s="110">
        <v>50082</v>
      </c>
      <c r="T21" s="110" t="str">
        <f t="shared" ca="1" si="5"/>
        <v>ACTIVE</v>
      </c>
      <c r="U21" s="110" t="str">
        <f t="shared" ca="1" si="6"/>
        <v>3792 days</v>
      </c>
      <c r="V21" s="111" t="str">
        <f>+HYPERLINK("https://steelworkspower-my.sharepoint.com/:i:/g/personal/utkarsh_kashyap_steelworks_in/IQD3aud_BCtNSZ4ZjKpnAycFASPLkAM2mY0HPF36e0FZ_Iw?e=2YoFWK","Fitness - " &amp; $A21 &amp; " (" &amp; $B21 &amp; ")")</f>
        <v>Fitness - HR26EX5936 (JCB Backhoe Loader)</v>
      </c>
      <c r="W21" s="110" t="s">
        <v>70</v>
      </c>
      <c r="X21" s="110" t="s">
        <v>70</v>
      </c>
      <c r="Y21" s="110" t="s">
        <v>70</v>
      </c>
      <c r="Z21" s="110" t="s">
        <v>70</v>
      </c>
      <c r="AA21" s="111" t="str">
        <f>+HYPERLINK("https://steelworkspower-my.sharepoint.com/:i:/g/personal/utkarsh_kashyap_steelworks_in/IQD3aud_BCtNSZ4ZjKpnAycFASPLkAM2mY0HPF36e0FZ_Iw?e=2YoFWK","MV Tax - "&amp;$A21&amp;" ("&amp;$B21&amp;")")</f>
        <v>MV Tax - HR26EX5936 (JCB Backhoe Loader)</v>
      </c>
      <c r="AB21" s="110"/>
      <c r="AC21" s="109"/>
      <c r="AD21" s="110"/>
      <c r="AE21" s="109"/>
      <c r="AF21" s="113">
        <v>13336.43</v>
      </c>
      <c r="AG21" s="109">
        <f t="shared" ca="1" si="4"/>
        <v>0</v>
      </c>
      <c r="AH21" s="101" t="s">
        <v>46</v>
      </c>
      <c r="AI21" s="101" t="s">
        <v>46</v>
      </c>
      <c r="AJ21" s="101" t="s">
        <v>46</v>
      </c>
      <c r="AK21" s="101" t="s">
        <v>46</v>
      </c>
      <c r="AL21" s="101" t="s">
        <v>46</v>
      </c>
      <c r="AM21" s="114" t="s">
        <v>47</v>
      </c>
      <c r="AN21" s="115" t="s">
        <v>340</v>
      </c>
    </row>
    <row r="22" spans="1:40" x14ac:dyDescent="0.25">
      <c r="A22" s="106" t="s">
        <v>171</v>
      </c>
      <c r="B22" s="101" t="s">
        <v>172</v>
      </c>
      <c r="C22" s="101" t="s">
        <v>173</v>
      </c>
      <c r="D22" s="101" t="s">
        <v>174</v>
      </c>
      <c r="E22" s="101" t="s">
        <v>175</v>
      </c>
      <c r="F22" s="101" t="s">
        <v>176</v>
      </c>
      <c r="G22" s="101">
        <v>2024</v>
      </c>
      <c r="H22" s="107" t="s">
        <v>379</v>
      </c>
      <c r="I22" s="108">
        <v>51067</v>
      </c>
      <c r="J22" s="136">
        <v>930906</v>
      </c>
      <c r="K22" s="109" t="s">
        <v>170</v>
      </c>
      <c r="L22" s="109" t="s">
        <v>177</v>
      </c>
      <c r="M22" s="110">
        <v>45946</v>
      </c>
      <c r="N22" s="110">
        <v>46310</v>
      </c>
      <c r="O22" s="110" t="str">
        <f t="shared" ca="1" si="0"/>
        <v>EXPIRING SOON</v>
      </c>
      <c r="P22" s="110" t="str">
        <f t="shared" ca="1" si="1"/>
        <v>20 days</v>
      </c>
      <c r="Q22" s="111" t="str">
        <f>HYPERLINK("https://steelworkspower-my.sharepoint.com/:b:/g/personal/utkarsh_kashyap_steelworks_in/IQAdbiAMVJ2AQpe7wfB13jX7AaVnEscWUvjcHAb6AhJpLN4?e=Szu4uo","Insurance - " &amp; $A22 &amp; " (" &amp; $B22 &amp; ")")</f>
        <v>Insurance - HR98T8866 (Maruti Suzuki Ertiga)</v>
      </c>
      <c r="R22" s="109"/>
      <c r="S22" s="110">
        <v>51067</v>
      </c>
      <c r="T22" s="110" t="str">
        <f t="shared" ref="T22" ca="1" si="7">IF(S22&lt;TODAY(),"EXPIRED",IF(S22&lt;=TODAY()+30,"EXPIRING SOON","ACTIVE"))</f>
        <v>ACTIVE</v>
      </c>
      <c r="U22" s="110" t="str">
        <f t="shared" ref="U22" ca="1" si="8">TEXT(S22-TODAY(),"0")&amp;" days"</f>
        <v>4777 days</v>
      </c>
      <c r="V22" s="111" t="str">
        <f>+HYPERLINK("https://steelworkspower-my.sharepoint.com/:i:/g/personal/utkarsh_kashyap_steelworks_in/IQAKT8UZkltoQKtJAGea8tTMAYQk7hxTEcwJ-Uo2F-zeC1s?e=MyCZi4","Fitness - " &amp; $A22 &amp; " (" &amp; $B22 &amp; ")")</f>
        <v>Fitness - HR98T8866 (Maruti Suzuki Ertiga)</v>
      </c>
      <c r="W22" s="110" t="s">
        <v>70</v>
      </c>
      <c r="X22" s="110" t="s">
        <v>70</v>
      </c>
      <c r="Y22" s="110" t="s">
        <v>70</v>
      </c>
      <c r="Z22" s="110" t="s">
        <v>70</v>
      </c>
      <c r="AA22" s="111" t="str">
        <f>+HYPERLINK("https://steelworkspower-my.sharepoint.com/:i:/g/personal/utkarsh_kashyap_steelworks_in/IQAKT8UZkltoQKtJAGea8tTMAYQk7hxTEcwJ-Uo2F-zeC1s?e=MyCZi4","MV Tax - "&amp;$A22&amp;" ("&amp;$B22&amp;")")</f>
        <v>MV Tax - HR98T8866 (Maruti Suzuki Ertiga)</v>
      </c>
      <c r="AB22" s="110"/>
      <c r="AC22" s="109"/>
      <c r="AD22" s="110"/>
      <c r="AE22" s="109"/>
      <c r="AF22" s="113">
        <v>14824.62</v>
      </c>
      <c r="AG22" s="109">
        <f t="shared" ca="1" si="4"/>
        <v>0</v>
      </c>
      <c r="AH22" s="110">
        <v>45581</v>
      </c>
      <c r="AI22" s="110">
        <v>46675</v>
      </c>
      <c r="AJ22" s="110" t="str">
        <f ca="1">IF(AI22&lt;TODAY(),"EXPIRED",IF(AI22&lt;=TODAY()+30,"EXPIRING SOON","ACTIVE"))</f>
        <v>ACTIVE</v>
      </c>
      <c r="AK22" s="110" t="str">
        <f ca="1">TEXT(AI22-TODAY(),"0")&amp;" days"</f>
        <v>385 days</v>
      </c>
      <c r="AL22" s="122" t="s">
        <v>178</v>
      </c>
      <c r="AM22" s="114" t="s">
        <v>331</v>
      </c>
      <c r="AN22" s="115" t="s">
        <v>340</v>
      </c>
    </row>
    <row r="23" spans="1:40" x14ac:dyDescent="0.25">
      <c r="A23" s="106" t="s">
        <v>179</v>
      </c>
      <c r="B23" s="101" t="s">
        <v>180</v>
      </c>
      <c r="C23" s="101" t="s">
        <v>108</v>
      </c>
      <c r="D23" s="101" t="s">
        <v>181</v>
      </c>
      <c r="E23" s="101" t="s">
        <v>182</v>
      </c>
      <c r="F23" s="101" t="s">
        <v>183</v>
      </c>
      <c r="G23" s="101">
        <v>2025</v>
      </c>
      <c r="H23" s="107" t="s">
        <v>380</v>
      </c>
      <c r="I23" s="108">
        <v>51361</v>
      </c>
      <c r="J23" s="136">
        <v>11850000</v>
      </c>
      <c r="K23" s="100" t="s">
        <v>319</v>
      </c>
      <c r="L23" s="118" t="s">
        <v>320</v>
      </c>
      <c r="M23" s="110">
        <v>46238</v>
      </c>
      <c r="N23" s="110">
        <v>46602</v>
      </c>
      <c r="O23" s="110" t="str">
        <f t="shared" ca="1" si="0"/>
        <v>ACTIVE</v>
      </c>
      <c r="P23" s="110" t="str">
        <f t="shared" ca="1" si="1"/>
        <v>312 days</v>
      </c>
      <c r="Q23" s="111" t="str">
        <f>HYPERLINK("https://steelworkspower-my.sharepoint.com/:b:/g/personal/utkarsh_kashyap_steelworks_in/IQAXP-YNZvxiSqlszvzjMptLAZ1b_R06nF5VeQ6tWBQhyLI?e=CsZHzh","Insurance - " &amp; $A23 &amp; " (" &amp; $B23 &amp; ")")</f>
        <v>Insurance - HR98X1291 (BMW X7)</v>
      </c>
      <c r="R23" s="109"/>
      <c r="S23" s="110">
        <v>51361</v>
      </c>
      <c r="T23" s="110" t="str">
        <f t="shared" ref="T23:T24" ca="1" si="9">IF(S23&lt;TODAY(),"EXPIRED",IF(S23&lt;=TODAY()+30,"EXPIRING SOON","ACTIVE"))</f>
        <v>ACTIVE</v>
      </c>
      <c r="U23" s="110" t="str">
        <f t="shared" ref="U23:U24" ca="1" si="10">TEXT(S23-TODAY(),"0")&amp;" days"</f>
        <v>5071 days</v>
      </c>
      <c r="V23" s="111" t="str">
        <f>+HYPERLINK("https://steelworkspower-my.sharepoint.com/:i:/g/personal/utkarsh_kashyap_steelworks_in/IQAcDx-C3XV0SaNso6n1_Iu6AbEgq3THjxc_0PGELA5Lzpg?e=E069PG","Fitness - " &amp; $A23 &amp; " (" &amp; $B23 &amp; ")")</f>
        <v>Fitness - HR98X1291 (BMW X7)</v>
      </c>
      <c r="W23" s="110" t="s">
        <v>70</v>
      </c>
      <c r="X23" s="110" t="s">
        <v>70</v>
      </c>
      <c r="Y23" s="110" t="s">
        <v>70</v>
      </c>
      <c r="Z23" s="110" t="s">
        <v>70</v>
      </c>
      <c r="AA23" s="111" t="str">
        <f>+HYPERLINK("https://steelworkspower-my.sharepoint.com/:i:/g/personal/utkarsh_kashyap_steelworks_in/IQAcDx-C3XV0SaNso6n1_Iu6AbEgq3THjxc_0PGELA5Lzpg?e=E069PG","MV Tax - "&amp;$A23&amp;" ("&amp;$B23&amp;")")</f>
        <v>MV Tax - HR98X1291 (BMW X7)</v>
      </c>
      <c r="AB23" s="110"/>
      <c r="AC23" s="109"/>
      <c r="AD23" s="110"/>
      <c r="AE23" s="109"/>
      <c r="AF23" s="113">
        <v>237563</v>
      </c>
      <c r="AG23" s="109">
        <f t="shared" ca="1" si="4"/>
        <v>0</v>
      </c>
      <c r="AH23" s="102">
        <v>45873</v>
      </c>
      <c r="AI23" s="102">
        <v>46968</v>
      </c>
      <c r="AJ23" s="110" t="str">
        <f t="shared" ref="AJ23:AJ24" ca="1" si="11">IF(AI23&lt;TODAY(),"EXPIRED",IF(AI23&lt;=TODAY()+30,"EXPIRING SOON","ACTIVE"))</f>
        <v>ACTIVE</v>
      </c>
      <c r="AK23" s="110" t="str">
        <f ca="1">TEXT(AI23-TODAY(),"0")&amp;" days"</f>
        <v>678 days</v>
      </c>
      <c r="AL23" s="122" t="s">
        <v>327</v>
      </c>
      <c r="AM23" s="114" t="s">
        <v>324</v>
      </c>
      <c r="AN23" s="115" t="s">
        <v>340</v>
      </c>
    </row>
    <row r="24" spans="1:40" x14ac:dyDescent="0.25">
      <c r="A24" s="106" t="s">
        <v>184</v>
      </c>
      <c r="B24" s="101" t="s">
        <v>180</v>
      </c>
      <c r="C24" s="101" t="s">
        <v>108</v>
      </c>
      <c r="D24" s="101" t="s">
        <v>181</v>
      </c>
      <c r="E24" s="101" t="s">
        <v>185</v>
      </c>
      <c r="F24" s="101" t="s">
        <v>186</v>
      </c>
      <c r="G24" s="101">
        <v>2025</v>
      </c>
      <c r="H24" s="107" t="s">
        <v>381</v>
      </c>
      <c r="I24" s="108">
        <v>51361</v>
      </c>
      <c r="J24" s="136">
        <v>11850000</v>
      </c>
      <c r="K24" s="100" t="s">
        <v>319</v>
      </c>
      <c r="L24" s="123" t="s">
        <v>321</v>
      </c>
      <c r="M24" s="110">
        <v>46238</v>
      </c>
      <c r="N24" s="110">
        <v>46602</v>
      </c>
      <c r="O24" s="110" t="str">
        <f t="shared" ca="1" si="0"/>
        <v>ACTIVE</v>
      </c>
      <c r="P24" s="110" t="str">
        <f t="shared" ca="1" si="1"/>
        <v>312 days</v>
      </c>
      <c r="Q24" s="111" t="str">
        <f>HYPERLINK("https://steelworkspower-my.sharepoint.com/:b:/g/personal/utkarsh_kashyap_steelworks_in/IQDW4Si7S43vR7CcdtHx7uo9ASkFc7E_RMA7wJhBSPWlNCs?e=ytdE7q","Insurance - " &amp; $A24 &amp; " (" &amp; $B24 &amp; ")")</f>
        <v>Insurance - HR98X2331 (BMW X7)</v>
      </c>
      <c r="R24" s="109"/>
      <c r="S24" s="110">
        <v>51361</v>
      </c>
      <c r="T24" s="110" t="str">
        <f t="shared" ca="1" si="9"/>
        <v>ACTIVE</v>
      </c>
      <c r="U24" s="110" t="str">
        <f t="shared" ca="1" si="10"/>
        <v>5071 days</v>
      </c>
      <c r="V24" s="109"/>
      <c r="W24" s="110" t="s">
        <v>70</v>
      </c>
      <c r="X24" s="110" t="s">
        <v>70</v>
      </c>
      <c r="Y24" s="110" t="s">
        <v>70</v>
      </c>
      <c r="Z24" s="110" t="s">
        <v>70</v>
      </c>
      <c r="AA24" s="109"/>
      <c r="AB24" s="110"/>
      <c r="AC24" s="109"/>
      <c r="AD24" s="110"/>
      <c r="AE24" s="109"/>
      <c r="AF24" s="113">
        <v>118800</v>
      </c>
      <c r="AG24" s="109">
        <f t="shared" ca="1" si="4"/>
        <v>0</v>
      </c>
      <c r="AH24" s="102">
        <v>45873</v>
      </c>
      <c r="AI24" s="102">
        <v>46968</v>
      </c>
      <c r="AJ24" s="110" t="str">
        <f t="shared" ca="1" si="11"/>
        <v>ACTIVE</v>
      </c>
      <c r="AK24" s="110" t="str">
        <f t="shared" ref="AK24" ca="1" si="12">TEXT(AI24-TODAY(),"0")&amp;" days"</f>
        <v>678 days</v>
      </c>
      <c r="AL24" s="122" t="s">
        <v>326</v>
      </c>
      <c r="AM24" s="114" t="s">
        <v>325</v>
      </c>
      <c r="AN24" s="115" t="s">
        <v>340</v>
      </c>
    </row>
    <row r="25" spans="1:40" x14ac:dyDescent="0.25">
      <c r="A25" s="106" t="s">
        <v>187</v>
      </c>
      <c r="B25" s="101" t="s">
        <v>188</v>
      </c>
      <c r="C25" s="101" t="s">
        <v>108</v>
      </c>
      <c r="D25" s="101" t="s">
        <v>189</v>
      </c>
      <c r="E25" s="101" t="s">
        <v>190</v>
      </c>
      <c r="F25" s="101" t="s">
        <v>191</v>
      </c>
      <c r="G25" s="101">
        <v>2025</v>
      </c>
      <c r="H25" s="107" t="s">
        <v>382</v>
      </c>
      <c r="I25" s="108">
        <v>51547</v>
      </c>
      <c r="J25" s="136">
        <v>2973500</v>
      </c>
      <c r="K25" s="100" t="s">
        <v>192</v>
      </c>
      <c r="L25" s="120" t="s">
        <v>193</v>
      </c>
      <c r="M25" s="110">
        <v>46067</v>
      </c>
      <c r="N25" s="110">
        <v>46431</v>
      </c>
      <c r="O25" s="110" t="str">
        <f t="shared" ca="1" si="0"/>
        <v>ACTIVE</v>
      </c>
      <c r="P25" s="110" t="str">
        <f t="shared" ca="1" si="1"/>
        <v>141 days</v>
      </c>
      <c r="Q25" s="111" t="str">
        <f>HYPERLINK("https://steelworkspower-my.sharepoint.com/:b:/g/personal/utkarsh_kashyap_steelworks_in/IQAUpRhF3yq6QLM9ycM5S2yPAasIB1Q9lHy8RfJ-mtGpTxM?e=Rf1oNB","Insurance - " &amp; $A25 &amp; " (" &amp; $B25 &amp; ")")</f>
        <v>Insurance - HR98AA8445 (Toyota Innova Hycross)</v>
      </c>
      <c r="R25" s="109"/>
      <c r="S25" s="110">
        <v>51547</v>
      </c>
      <c r="T25" s="110" t="str">
        <f t="shared" ref="T25:T26" ca="1" si="13">IF(S25&lt;TODAY(),"EXPIRED",IF(S25&lt;=TODAY()+30,"EXPIRING SOON","ACTIVE"))</f>
        <v>ACTIVE</v>
      </c>
      <c r="U25" s="110" t="str">
        <f t="shared" ref="U25:U26" ca="1" si="14">TEXT(S25-TODAY(),"0")&amp;" days"</f>
        <v>5257 days</v>
      </c>
      <c r="V25" s="109"/>
      <c r="W25" s="110" t="s">
        <v>70</v>
      </c>
      <c r="X25" s="110" t="s">
        <v>70</v>
      </c>
      <c r="Y25" s="110" t="s">
        <v>70</v>
      </c>
      <c r="Z25" s="110" t="s">
        <v>70</v>
      </c>
      <c r="AA25" s="109"/>
      <c r="AB25" s="109"/>
      <c r="AC25" s="109"/>
      <c r="AD25" s="109"/>
      <c r="AE25" s="109"/>
      <c r="AF25" s="113">
        <v>109910</v>
      </c>
      <c r="AG25" s="109">
        <f t="shared" ca="1" si="4"/>
        <v>0</v>
      </c>
      <c r="AH25" s="102">
        <v>46067</v>
      </c>
      <c r="AI25" s="102">
        <v>47162</v>
      </c>
      <c r="AJ25" s="110" t="str">
        <f ca="1">IF(AI25&lt;TODAY(),"EXPIRED",IF(AI25&lt;=TODAY()+30,"EXPIRING SOON","ACTIVE"))</f>
        <v>ACTIVE</v>
      </c>
      <c r="AK25" s="110" t="str">
        <f ca="1">TEXT(AI25-TODAY(),"0")&amp;" days"</f>
        <v>872 days</v>
      </c>
      <c r="AL25" s="122" t="s">
        <v>194</v>
      </c>
      <c r="AM25" s="114" t="s">
        <v>328</v>
      </c>
      <c r="AN25" s="115" t="s">
        <v>340</v>
      </c>
    </row>
    <row r="26" spans="1:40" ht="15.75" thickBot="1" x14ac:dyDescent="0.3">
      <c r="A26" s="124" t="s">
        <v>352</v>
      </c>
      <c r="B26" s="103" t="s">
        <v>211</v>
      </c>
      <c r="C26" s="103" t="s">
        <v>353</v>
      </c>
      <c r="D26" s="103" t="s">
        <v>354</v>
      </c>
      <c r="E26" s="103" t="s">
        <v>355</v>
      </c>
      <c r="F26" s="103" t="s">
        <v>356</v>
      </c>
      <c r="G26" s="103">
        <v>2024</v>
      </c>
      <c r="H26" s="125" t="s">
        <v>383</v>
      </c>
      <c r="I26" s="126">
        <v>50916</v>
      </c>
      <c r="J26" s="136" t="s">
        <v>46</v>
      </c>
      <c r="K26" s="100" t="s">
        <v>46</v>
      </c>
      <c r="L26" s="120" t="s">
        <v>46</v>
      </c>
      <c r="M26" s="110" t="s">
        <v>46</v>
      </c>
      <c r="N26" s="110" t="s">
        <v>46</v>
      </c>
      <c r="O26" s="110" t="s">
        <v>46</v>
      </c>
      <c r="P26" s="110" t="s">
        <v>46</v>
      </c>
      <c r="Q26" s="128"/>
      <c r="R26" s="129"/>
      <c r="S26" s="110">
        <v>50916</v>
      </c>
      <c r="T26" s="110" t="str">
        <f t="shared" ca="1" si="13"/>
        <v>ACTIVE</v>
      </c>
      <c r="U26" s="110" t="str">
        <f t="shared" ca="1" si="14"/>
        <v>4626 days</v>
      </c>
      <c r="V26" s="111" t="str">
        <f>+HYPERLINK("https://steelworkspower-my.sharepoint.com/:i:/g/personal/utkarsh_kashyap_steelworks_in/IQB4PnUBEMCxQ41CyteAuM_KARE2TjVlB8J1olbsqKPqLBY?e=r0Ea4N","Fitness - " &amp; $A26 &amp; " (" &amp; $B26 &amp; ")")</f>
        <v>Fitness - RJ02EA3433 (Escorts Hydra Crane)</v>
      </c>
      <c r="W26" s="127" t="s">
        <v>70</v>
      </c>
      <c r="X26" s="127" t="s">
        <v>70</v>
      </c>
      <c r="Y26" s="110" t="s">
        <v>70</v>
      </c>
      <c r="Z26" s="127" t="s">
        <v>70</v>
      </c>
      <c r="AA26" s="111" t="str">
        <f>+HYPERLINK("https://steelworkspower-my.sharepoint.com/:i:/g/personal/utkarsh_kashyap_steelworks_in/IQB4PnUBEMCxQ41CyteAuM_KARE2TjVlB8J1olbsqKPqLBY?e=r0Ea4N","MV Tax - " &amp; $A26 &amp; " (" &amp; $B26 &amp; ")")</f>
        <v>MV Tax - RJ02EA3433 (Escorts Hydra Crane)</v>
      </c>
      <c r="AB26" s="129"/>
      <c r="AC26" s="129"/>
      <c r="AD26" s="129"/>
      <c r="AE26" s="129"/>
      <c r="AF26" s="130"/>
      <c r="AG26" s="129"/>
      <c r="AH26" s="104"/>
      <c r="AI26" s="104"/>
      <c r="AJ26" s="127"/>
      <c r="AK26" s="127"/>
      <c r="AL26" s="131"/>
      <c r="AM26" s="132"/>
      <c r="AN26" s="133"/>
    </row>
    <row r="27" spans="1:40" x14ac:dyDescent="0.25">
      <c r="D27" s="134"/>
    </row>
    <row r="28" spans="1:40" x14ac:dyDescent="0.25">
      <c r="D28" s="134"/>
    </row>
    <row r="29" spans="1:40" x14ac:dyDescent="0.25">
      <c r="D29" s="134"/>
    </row>
    <row r="34" spans="12:12" x14ac:dyDescent="0.25">
      <c r="L34" s="135"/>
    </row>
  </sheetData>
  <sheetProtection algorithmName="SHA-512" hashValue="SxhgjW68q0RZGth5qOOdIo5InRyeoq7Yw1xNuwmYuQBAXNsv49irmdUzhZzyb7pCwNylycC4HOElL0haJqn7Pg==" saltValue="dU43zVvHpiqImYIOZb8dsQ==" spinCount="100000" sheet="1" objects="1" scenarios="1"/>
  <protectedRanges>
    <protectedRange algorithmName="SHA-512" hashValue="XB+6qvIP6sw1hk8D8Vl1ZhqlP+8bXhd3UDJt4J7J157vTqbHUH1N4/XrBwj1euRMjr0+C0jkQK1asFAcKHsCvg==" saltValue="D0vjYgwXzgS5ApwDbInzLw==" spinCount="100000" sqref="H2:H26" name="Range1"/>
  </protectedRanges>
  <conditionalFormatting sqref="O2:O26">
    <cfRule type="containsText" dxfId="74" priority="59" operator="containsText" text="expired">
      <formula>NOT(ISERROR(SEARCH("expired",O2)))</formula>
    </cfRule>
    <cfRule type="containsText" dxfId="73" priority="64" operator="containsText" text="Expiring Soon">
      <formula>NOT(ISERROR(SEARCH("Expiring Soon",O2)))</formula>
    </cfRule>
    <cfRule type="containsText" dxfId="72" priority="65" operator="containsText" text="Active">
      <formula>NOT(ISERROR(SEARCH("Active",O2)))</formula>
    </cfRule>
  </conditionalFormatting>
  <conditionalFormatting sqref="T2:T14">
    <cfRule type="containsText" dxfId="71" priority="44" operator="containsText" text="expired">
      <formula>NOT(ISERROR(SEARCH("expired",T2)))</formula>
    </cfRule>
    <cfRule type="containsText" dxfId="70" priority="45" operator="containsText" text="Expiring Soon">
      <formula>NOT(ISERROR(SEARCH("Expiring Soon",T2)))</formula>
    </cfRule>
    <cfRule type="containsText" dxfId="69" priority="46" operator="containsText" text="Active">
      <formula>NOT(ISERROR(SEARCH("Active",T2)))</formula>
    </cfRule>
  </conditionalFormatting>
  <conditionalFormatting sqref="T15:T26">
    <cfRule type="containsText" dxfId="68" priority="41" operator="containsText" text="expired">
      <formula>NOT(ISERROR(SEARCH("expired",T15)))</formula>
    </cfRule>
    <cfRule type="containsText" dxfId="67" priority="42" operator="containsText" text="Expiring Soon">
      <formula>NOT(ISERROR(SEARCH("Expiring Soon",T15)))</formula>
    </cfRule>
    <cfRule type="containsText" dxfId="66" priority="43" operator="containsText" text="Active">
      <formula>NOT(ISERROR(SEARCH("Active",T15)))</formula>
    </cfRule>
  </conditionalFormatting>
  <conditionalFormatting sqref="Y2:Y4">
    <cfRule type="containsText" dxfId="65" priority="38" operator="containsText" text="expired">
      <formula>NOT(ISERROR(SEARCH("expired",Y2)))</formula>
    </cfRule>
    <cfRule type="containsText" dxfId="64" priority="39" operator="containsText" text="Expiring Soon">
      <formula>NOT(ISERROR(SEARCH("Expiring Soon",Y2)))</formula>
    </cfRule>
    <cfRule type="containsText" dxfId="63" priority="40" operator="containsText" text="Active">
      <formula>NOT(ISERROR(SEARCH("Active",Y2)))</formula>
    </cfRule>
  </conditionalFormatting>
  <conditionalFormatting sqref="Y6:Y8">
    <cfRule type="containsText" dxfId="62" priority="35" operator="containsText" text="expired">
      <formula>NOT(ISERROR(SEARCH("expired",Y6)))</formula>
    </cfRule>
    <cfRule type="containsText" dxfId="61" priority="36" operator="containsText" text="Expiring Soon">
      <formula>NOT(ISERROR(SEARCH("Expiring Soon",Y6)))</formula>
    </cfRule>
    <cfRule type="containsText" dxfId="60" priority="37" operator="containsText" text="Active">
      <formula>NOT(ISERROR(SEARCH("Active",Y6)))</formula>
    </cfRule>
  </conditionalFormatting>
  <conditionalFormatting sqref="Y10:Y11">
    <cfRule type="containsText" dxfId="59" priority="32" operator="containsText" text="expired">
      <formula>NOT(ISERROR(SEARCH("expired",Y10)))</formula>
    </cfRule>
    <cfRule type="containsText" dxfId="58" priority="33" operator="containsText" text="Expiring Soon">
      <formula>NOT(ISERROR(SEARCH("Expiring Soon",Y10)))</formula>
    </cfRule>
    <cfRule type="containsText" dxfId="57" priority="34" operator="containsText" text="Active">
      <formula>NOT(ISERROR(SEARCH("Active",Y10)))</formula>
    </cfRule>
  </conditionalFormatting>
  <conditionalFormatting sqref="Y13:Y15">
    <cfRule type="containsText" dxfId="56" priority="29" operator="containsText" text="expired">
      <formula>NOT(ISERROR(SEARCH("expired",Y13)))</formula>
    </cfRule>
    <cfRule type="containsText" dxfId="55" priority="30" operator="containsText" text="Expiring Soon">
      <formula>NOT(ISERROR(SEARCH("Expiring Soon",Y13)))</formula>
    </cfRule>
    <cfRule type="containsText" dxfId="54" priority="31" operator="containsText" text="Active">
      <formula>NOT(ISERROR(SEARCH("Active",Y13)))</formula>
    </cfRule>
  </conditionalFormatting>
  <conditionalFormatting sqref="Y18">
    <cfRule type="containsText" dxfId="53" priority="26" operator="containsText" text="expired">
      <formula>NOT(ISERROR(SEARCH("expired",Y18)))</formula>
    </cfRule>
    <cfRule type="containsText" dxfId="52" priority="27" operator="containsText" text="Expiring Soon">
      <formula>NOT(ISERROR(SEARCH("Expiring Soon",Y18)))</formula>
    </cfRule>
    <cfRule type="containsText" dxfId="51" priority="28" operator="containsText" text="Active">
      <formula>NOT(ISERROR(SEARCH("Active",Y18)))</formula>
    </cfRule>
  </conditionalFormatting>
  <conditionalFormatting sqref="AC3:AC4">
    <cfRule type="containsText" dxfId="50" priority="23" operator="containsText" text="expired">
      <formula>NOT(ISERROR(SEARCH("expired",AC3)))</formula>
    </cfRule>
    <cfRule type="containsText" dxfId="49" priority="24" operator="containsText" text="Expiring Soon">
      <formula>NOT(ISERROR(SEARCH("Expiring Soon",AC3)))</formula>
    </cfRule>
    <cfRule type="containsText" dxfId="48" priority="25" operator="containsText" text="Active">
      <formula>NOT(ISERROR(SEARCH("Active",AC3)))</formula>
    </cfRule>
  </conditionalFormatting>
  <conditionalFormatting sqref="AC11">
    <cfRule type="containsText" dxfId="47" priority="20" operator="containsText" text="expired">
      <formula>NOT(ISERROR(SEARCH("expired",AC11)))</formula>
    </cfRule>
    <cfRule type="containsText" dxfId="46" priority="21" operator="containsText" text="Expiring Soon">
      <formula>NOT(ISERROR(SEARCH("Expiring Soon",AC11)))</formula>
    </cfRule>
    <cfRule type="containsText" dxfId="45" priority="22" operator="containsText" text="Active">
      <formula>NOT(ISERROR(SEARCH("Active",AC11)))</formula>
    </cfRule>
  </conditionalFormatting>
  <conditionalFormatting sqref="AC18">
    <cfRule type="containsText" dxfId="44" priority="17" operator="containsText" text="expired">
      <formula>NOT(ISERROR(SEARCH("expired",AC18)))</formula>
    </cfRule>
    <cfRule type="containsText" dxfId="43" priority="18" operator="containsText" text="Expiring Soon">
      <formula>NOT(ISERROR(SEARCH("Expiring Soon",AC18)))</formula>
    </cfRule>
    <cfRule type="containsText" dxfId="42" priority="19" operator="containsText" text="Active">
      <formula>NOT(ISERROR(SEARCH("Active",AC18)))</formula>
    </cfRule>
  </conditionalFormatting>
  <conditionalFormatting sqref="Z16 Y2:Y26">
    <cfRule type="cellIs" dxfId="41" priority="16" operator="equal">
      <formula>"LTT"</formula>
    </cfRule>
  </conditionalFormatting>
  <conditionalFormatting sqref="AJ22:AJ24">
    <cfRule type="containsText" dxfId="40" priority="4" operator="containsText" text="expired">
      <formula>NOT(ISERROR(SEARCH("expired",AJ22)))</formula>
    </cfRule>
    <cfRule type="containsText" dxfId="39" priority="5" operator="containsText" text="Expiring Soon">
      <formula>NOT(ISERROR(SEARCH("Expiring Soon",AJ22)))</formula>
    </cfRule>
    <cfRule type="containsText" dxfId="38" priority="6" operator="containsText" text="Active">
      <formula>NOT(ISERROR(SEARCH("Active",AJ22)))</formula>
    </cfRule>
  </conditionalFormatting>
  <conditionalFormatting sqref="AJ25:AJ26">
    <cfRule type="containsText" dxfId="37" priority="1" operator="containsText" text="expired">
      <formula>NOT(ISERROR(SEARCH("expired",AJ25)))</formula>
    </cfRule>
    <cfRule type="containsText" dxfId="36" priority="2" operator="containsText" text="Expiring Soon">
      <formula>NOT(ISERROR(SEARCH("Expiring Soon",AJ25)))</formula>
    </cfRule>
    <cfRule type="containsText" dxfId="35" priority="3" operator="containsText" text="Active">
      <formula>NOT(ISERROR(SEARCH("Active",AJ25)))</formula>
    </cfRule>
  </conditionalFormatting>
  <hyperlinks>
    <hyperlink ref="AL22" r:id="rId1" display="https://steelworkspower-my.sharepoint.com/:b:/g/personal/utkarsh_kashyap_steelworks_in/IQAdbiAMVJ2AQpe7wfB13jX7AaVnEscWUvjcHAb6AhJpLN4?e=DAoGps" xr:uid="{A37ADFFE-3D04-4BAB-AB74-9CDC152D7DBA}"/>
    <hyperlink ref="AL25" r:id="rId2" display="https://steelworkspower-my.sharepoint.com/:b:/g/personal/utkarsh_kashyap_steelworks_in/IQAUpRhF3yq6QLM9ycM5S2yPAasIB1Q9lHy8RfJ-mtGpTxM?e=RrcVTB" xr:uid="{EE799CF6-4A47-44F9-B582-A0DBE2A56CAD}"/>
    <hyperlink ref="AL23" r:id="rId3" display="https://steelworkspower-my.sharepoint.com/:b:/g/personal/utkarsh_kashyap_steelworks_in/IQCZYffS4kgkTZaNMNUKQ-BwAfHEiJSr22rI8r-d37FaKMU?e=229m7e" xr:uid="{1F350FE5-6A13-4A88-9D77-A53F82B4A782}"/>
    <hyperlink ref="AL24" r:id="rId4" display="https://steelworkspower-my.sharepoint.com/:b:/g/personal/utkarsh_kashyap_steelworks_in/IQDm9CzBpXEVSbs0iDve6_3mAerIdS7X1FHtyeVbGj_sBLA?e=fJH2gn" xr:uid="{E30B07A3-B02D-455E-86D9-1B1F329185E9}"/>
    <hyperlink ref="H2" r:id="rId5" xr:uid="{ED962A94-FD90-46A0-8A0F-9786F461A48C}"/>
    <hyperlink ref="H3" r:id="rId6" xr:uid="{8E8AC9A7-A0A5-4EF1-818E-AC46C9DDEFAF}"/>
    <hyperlink ref="H4" r:id="rId7" xr:uid="{40E8053A-9135-43E6-851A-6DFC57FC79AF}"/>
    <hyperlink ref="H5" r:id="rId8" xr:uid="{16A62939-94B4-4AEF-AFC6-B7B275128DC1}"/>
    <hyperlink ref="H6" r:id="rId9" xr:uid="{F04EFDF1-4CF9-4404-AD00-834565BF0D32}"/>
    <hyperlink ref="H7" r:id="rId10" xr:uid="{FD16B42D-491A-4B36-807C-5F9BD284E033}"/>
    <hyperlink ref="H8" r:id="rId11" xr:uid="{671BD594-4A94-45CD-B28F-A1AAD63C4DEE}"/>
    <hyperlink ref="H9" r:id="rId12" xr:uid="{9AF47B73-A965-4463-979F-00A5DEF5483B}"/>
    <hyperlink ref="H10" r:id="rId13" xr:uid="{4D58DA44-3EF8-49FB-AC05-2C32550036DB}"/>
    <hyperlink ref="H11" r:id="rId14" xr:uid="{F064ED12-01B9-4D9C-AFBC-0073592E5B1B}"/>
    <hyperlink ref="H12" r:id="rId15" xr:uid="{DE80DF2E-9DE9-47FB-9666-7EA17E8EAD52}"/>
    <hyperlink ref="H13" r:id="rId16" xr:uid="{5F2EEDCA-1D97-4454-99DB-8AFF2AD688B4}"/>
    <hyperlink ref="H14" r:id="rId17" xr:uid="{EB59FFB2-3CB0-4F33-BF73-28AAF91FCEB4}"/>
    <hyperlink ref="H15" r:id="rId18" xr:uid="{8CF0C605-4A57-4288-86CE-3F339652097A}"/>
    <hyperlink ref="H16" r:id="rId19" xr:uid="{A2D7EB76-E009-401B-9A81-A693CD512E8B}"/>
    <hyperlink ref="H17" r:id="rId20" xr:uid="{4CE1CB79-58CC-4F7D-926B-8411D268902E}"/>
    <hyperlink ref="H18" r:id="rId21" xr:uid="{1E3595AB-9A1C-469F-8684-0388825E94B5}"/>
    <hyperlink ref="H19" r:id="rId22" xr:uid="{10C5066E-8F63-448A-A8F8-6C67062A3F78}"/>
    <hyperlink ref="H20" r:id="rId23" xr:uid="{43D2C1BD-CD39-4F1D-A3DA-7926981CC965}"/>
    <hyperlink ref="H21" r:id="rId24" xr:uid="{B6E5816F-EC70-48B8-822D-ADA35E2494CC}"/>
    <hyperlink ref="H22" r:id="rId25" xr:uid="{23C18AD1-DA4B-4C67-9558-BE3B0E9A6DA7}"/>
    <hyperlink ref="H23" r:id="rId26" xr:uid="{EFABE892-2881-49DF-AC9C-B0240C44AD73}"/>
    <hyperlink ref="H24" r:id="rId27" xr:uid="{3C74B3A7-B0AA-4E46-8D2C-D1D803530AD8}"/>
    <hyperlink ref="H25" r:id="rId28" xr:uid="{54256CA0-6DB7-4953-B7F9-649C023EF7BA}"/>
    <hyperlink ref="H26" r:id="rId29" xr:uid="{5DC5C20C-50CE-4F08-B157-5363DF6069B6}"/>
  </hyperlinks>
  <pageMargins left="0.70866141732283472" right="0.70866141732283472" top="0.74803149606299213" bottom="0.74803149606299213" header="0.31496062992125984" footer="0.31496062992125984"/>
  <pageSetup paperSize="9" scale="29" orientation="landscape" r:id="rId3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92441-3C00-480E-A14A-CA5E9A916A70}">
  <sheetPr codeName="Sheet5">
    <tabColor theme="9" tint="-0.249977111117893"/>
  </sheetPr>
  <dimension ref="A1:AN28"/>
  <sheetViews>
    <sheetView tabSelected="1" zoomScale="80" zoomScaleNormal="80" workbookViewId="0">
      <pane xSplit="1" topLeftCell="L1" activePane="topRight" state="frozen"/>
      <selection pane="topRight" activeCell="S15" sqref="S15"/>
    </sheetView>
  </sheetViews>
  <sheetFormatPr defaultColWidth="35.7109375" defaultRowHeight="15" x14ac:dyDescent="0.25"/>
  <cols>
    <col min="1" max="1" width="13" bestFit="1" customWidth="1"/>
    <col min="2" max="2" width="33.42578125" bestFit="1" customWidth="1"/>
    <col min="3" max="3" width="12.85546875" bestFit="1" customWidth="1"/>
    <col min="4" max="4" width="32.28515625" bestFit="1" customWidth="1"/>
    <col min="5" max="5" width="26" bestFit="1" customWidth="1"/>
    <col min="6" max="6" width="22.28515625" bestFit="1" customWidth="1"/>
    <col min="7" max="7" width="6.85546875" bestFit="1" customWidth="1"/>
    <col min="8" max="8" width="51.7109375" bestFit="1" customWidth="1"/>
    <col min="9" max="9" width="15.140625" bestFit="1" customWidth="1"/>
    <col min="10" max="10" width="19.28515625" style="52" bestFit="1" customWidth="1"/>
    <col min="11" max="11" width="44.85546875" bestFit="1" customWidth="1"/>
    <col min="12" max="12" width="35.140625" bestFit="1" customWidth="1"/>
    <col min="13" max="13" width="19.5703125" bestFit="1" customWidth="1"/>
    <col min="14" max="14" width="18.42578125" bestFit="1" customWidth="1"/>
    <col min="15" max="15" width="15.85546875" bestFit="1" customWidth="1"/>
    <col min="16" max="16" width="18.85546875" bestFit="1" customWidth="1"/>
    <col min="17" max="17" width="59.42578125" bestFit="1" customWidth="1"/>
    <col min="18" max="18" width="17.28515625" bestFit="1" customWidth="1"/>
    <col min="19" max="19" width="18.7109375" bestFit="1" customWidth="1"/>
    <col min="20" max="20" width="13.5703125" bestFit="1" customWidth="1"/>
    <col min="21" max="21" width="16.5703125" bestFit="1" customWidth="1"/>
    <col min="22" max="22" width="56.7109375" bestFit="1" customWidth="1"/>
    <col min="23" max="23" width="17.85546875" style="2" bestFit="1" customWidth="1"/>
    <col min="24" max="24" width="19.28515625" style="2" bestFit="1" customWidth="1"/>
    <col min="25" max="25" width="16" bestFit="1" customWidth="1"/>
    <col min="26" max="26" width="17.140625" bestFit="1" customWidth="1"/>
    <col min="27" max="27" width="56.42578125" bestFit="1" customWidth="1"/>
    <col min="28" max="28" width="18.140625" bestFit="1" customWidth="1"/>
    <col min="29" max="29" width="13.140625" bestFit="1" customWidth="1"/>
    <col min="30" max="30" width="16.28515625" bestFit="1" customWidth="1"/>
    <col min="31" max="31" width="47.7109375" bestFit="1" customWidth="1"/>
    <col min="32" max="32" width="17.42578125" bestFit="1" customWidth="1"/>
    <col min="33" max="33" width="22.42578125" bestFit="1" customWidth="1"/>
    <col min="34" max="34" width="13" bestFit="1" customWidth="1"/>
    <col min="35" max="35" width="14.42578125" bestFit="1" customWidth="1"/>
    <col min="36" max="36" width="9.42578125" bestFit="1" customWidth="1"/>
    <col min="37" max="37" width="12.28515625" bestFit="1" customWidth="1"/>
    <col min="38" max="38" width="43.42578125" bestFit="1" customWidth="1"/>
    <col min="39" max="39" width="151.28515625" bestFit="1" customWidth="1"/>
  </cols>
  <sheetData>
    <row r="1" spans="1:40" ht="30.75" customHeight="1" x14ac:dyDescent="0.25">
      <c r="A1" s="22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195</v>
      </c>
      <c r="H1" s="23" t="s">
        <v>7</v>
      </c>
      <c r="I1" s="4" t="s">
        <v>8</v>
      </c>
      <c r="J1" s="51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23" t="s">
        <v>19</v>
      </c>
      <c r="U1" s="23" t="s">
        <v>20</v>
      </c>
      <c r="V1" s="23" t="s">
        <v>21</v>
      </c>
      <c r="W1" s="23" t="s">
        <v>22</v>
      </c>
      <c r="X1" s="23" t="s">
        <v>23</v>
      </c>
      <c r="Y1" s="23" t="s">
        <v>24</v>
      </c>
      <c r="Z1" s="23" t="s">
        <v>25</v>
      </c>
      <c r="AA1" s="23" t="s">
        <v>26</v>
      </c>
      <c r="AB1" s="23" t="s">
        <v>27</v>
      </c>
      <c r="AC1" s="23" t="s">
        <v>28</v>
      </c>
      <c r="AD1" s="23" t="s">
        <v>29</v>
      </c>
      <c r="AE1" s="23" t="s">
        <v>30</v>
      </c>
      <c r="AF1" s="23" t="s">
        <v>31</v>
      </c>
      <c r="AG1" s="23" t="s">
        <v>32</v>
      </c>
      <c r="AH1" s="79" t="s">
        <v>33</v>
      </c>
      <c r="AI1" s="79" t="s">
        <v>34</v>
      </c>
      <c r="AJ1" s="79" t="s">
        <v>35</v>
      </c>
      <c r="AK1" s="79" t="s">
        <v>36</v>
      </c>
      <c r="AL1" s="79" t="s">
        <v>37</v>
      </c>
      <c r="AM1" s="91" t="s">
        <v>38</v>
      </c>
      <c r="AN1" s="92" t="s">
        <v>344</v>
      </c>
    </row>
    <row r="2" spans="1:40" x14ac:dyDescent="0.25">
      <c r="A2" s="31" t="s">
        <v>196</v>
      </c>
      <c r="B2" s="25" t="s">
        <v>197</v>
      </c>
      <c r="C2" s="32" t="s">
        <v>198</v>
      </c>
      <c r="D2" s="32" t="s">
        <v>199</v>
      </c>
      <c r="E2" s="32" t="s">
        <v>200</v>
      </c>
      <c r="F2" s="32" t="s">
        <v>201</v>
      </c>
      <c r="G2" s="32">
        <v>2022</v>
      </c>
      <c r="H2" s="33" t="s">
        <v>384</v>
      </c>
      <c r="I2" s="34" t="s">
        <v>202</v>
      </c>
      <c r="J2" s="5">
        <v>600000</v>
      </c>
      <c r="K2" s="25" t="s">
        <v>44</v>
      </c>
      <c r="L2" s="35" t="s">
        <v>203</v>
      </c>
      <c r="M2" s="36">
        <v>46004</v>
      </c>
      <c r="N2" s="36">
        <v>46368</v>
      </c>
      <c r="O2" s="26" t="str">
        <f ca="1">IF(N2&lt;TODAY(),"EXPIRED",IF(N2&lt;=TODAY()+30,"EXPIRING SOON","ACTIVE"))</f>
        <v>ACTIVE</v>
      </c>
      <c r="P2" s="26" t="str">
        <f ca="1">TEXT(N2-TODAY(),"0")&amp;" days"</f>
        <v>78 days</v>
      </c>
      <c r="Q2" s="37" t="s">
        <v>399</v>
      </c>
      <c r="R2" s="36">
        <v>45646</v>
      </c>
      <c r="S2" s="36">
        <v>46375</v>
      </c>
      <c r="T2" s="26" t="str">
        <f ca="1">IF(S2&lt;TODAY(),"EXPIRED",IF(S2&lt;=TODAY()+30,"EXPIRING SOON","ACTIVE"))</f>
        <v>ACTIVE</v>
      </c>
      <c r="U2" s="26" t="str">
        <f ca="1">TEXT(S2-TODAY(),"0")&amp;" days"</f>
        <v>85 days</v>
      </c>
      <c r="V2" s="38" t="str">
        <f>HYPERLINK("https://steelworkspower-my.sharepoint.com/:i:/g/personal/utkarsh_kashyap_steelworks_in/IQCED5egkDGfTZiDttCfX_ORAXMRXq6Ed7c0l47MMNsDyZg?e=nifFYk","Fitness - "&amp;$A2&amp;" ("&amp;$B2&amp;")")</f>
        <v>Fitness - CG04NZ9517 (Tata Yodha Pickup Truck)</v>
      </c>
      <c r="W2" s="32" t="s">
        <v>70</v>
      </c>
      <c r="X2" s="36" t="s">
        <v>70</v>
      </c>
      <c r="Y2" s="26" t="s">
        <v>70</v>
      </c>
      <c r="Z2" s="26" t="s">
        <v>70</v>
      </c>
      <c r="AA2" s="38" t="str">
        <f>HYPERLINK("https://steelworkspower-my.sharepoint.com/:i:/g/personal/utkarsh_kashyap_steelworks_in/IQB-xuDggzAlRLb5MAKEphNZAadW6uXUIQCkso8UFeQjstQ?e=cfRcHC","MV Tax - "&amp;$A2&amp;" ("&amp;$B2&amp;")")</f>
        <v>MV Tax - CG04NZ9517 (Tata Yodha Pickup Truck)</v>
      </c>
      <c r="AB2" s="36">
        <v>46736</v>
      </c>
      <c r="AC2" s="26" t="str">
        <f ca="1">IF(AB2&lt;TODAY(),"EXPIRED",IF(AB2&lt;=TODAY()+30,"EXPIRING SOON","ACTIVE"))</f>
        <v>ACTIVE</v>
      </c>
      <c r="AD2" s="26" t="str">
        <f ca="1">TEXT(AB2-TODAY(),"0")&amp;" days"</f>
        <v>446 days</v>
      </c>
      <c r="AE2" s="38" t="str">
        <f>HYPERLINK("https://steelworkspower-my.sharepoint.com/:i:/g/personal/utkarsh_kashyap_steelworks_in/IQB-xuDggzAlRLb5MAKEphNZAadW6uXUIQCkso8UFeQjstQ?e=cfRcHC","Permit - "&amp;$A2&amp;" ("&amp;$B2&amp;")")</f>
        <v>Permit - CG04NZ9517 (Tata Yodha Pickup Truck)</v>
      </c>
      <c r="AF2" s="27">
        <v>18813</v>
      </c>
      <c r="AG2" s="25">
        <f ca="1">+IF(AND($O2="Active",$T2="active",$Y2="Active",$AC2="Active"),1,0)</f>
        <v>0</v>
      </c>
      <c r="AH2" s="80" t="s">
        <v>46</v>
      </c>
      <c r="AI2" s="80" t="s">
        <v>46</v>
      </c>
      <c r="AJ2" s="80" t="s">
        <v>46</v>
      </c>
      <c r="AK2" s="80" t="s">
        <v>46</v>
      </c>
      <c r="AL2" s="80" t="s">
        <v>46</v>
      </c>
      <c r="AM2" s="88" t="s">
        <v>47</v>
      </c>
      <c r="AN2" s="94" t="s">
        <v>345</v>
      </c>
    </row>
    <row r="3" spans="1:40" x14ac:dyDescent="0.25">
      <c r="A3" s="31" t="s">
        <v>204</v>
      </c>
      <c r="B3" s="32" t="s">
        <v>205</v>
      </c>
      <c r="C3" s="32" t="s">
        <v>198</v>
      </c>
      <c r="D3" s="32" t="s">
        <v>206</v>
      </c>
      <c r="E3" s="32" t="s">
        <v>207</v>
      </c>
      <c r="F3" s="39" t="s">
        <v>208</v>
      </c>
      <c r="G3" s="32">
        <v>2022</v>
      </c>
      <c r="H3" s="38" t="s">
        <v>385</v>
      </c>
      <c r="I3" s="34" t="s">
        <v>202</v>
      </c>
      <c r="J3" s="5">
        <v>468000</v>
      </c>
      <c r="K3" s="25" t="s">
        <v>44</v>
      </c>
      <c r="L3" s="32" t="s">
        <v>209</v>
      </c>
      <c r="M3" s="36">
        <v>46081</v>
      </c>
      <c r="N3" s="36">
        <v>46445</v>
      </c>
      <c r="O3" s="26" t="str">
        <f t="shared" ref="O3:O16" ca="1" si="0">IF(N3&lt;TODAY(),"EXPIRED",IF(N3&lt;=TODAY()+30,"EXPIRING SOON","ACTIVE"))</f>
        <v>ACTIVE</v>
      </c>
      <c r="P3" s="26" t="str">
        <f t="shared" ref="P3:P16" ca="1" si="1">TEXT(N3-TODAY(),"0")&amp;" days"</f>
        <v>155 days</v>
      </c>
      <c r="Q3" s="37" t="s">
        <v>400</v>
      </c>
      <c r="R3" s="36"/>
      <c r="S3" s="36">
        <v>45715</v>
      </c>
      <c r="T3" s="26" t="str">
        <f t="shared" ref="T3:T11" ca="1" si="2">IF(S3&lt;TODAY(),"EXPIRED",IF(S3&lt;=TODAY()+30,"EXPIRING SOON","ACTIVE"))</f>
        <v>EXPIRED</v>
      </c>
      <c r="U3" s="26" t="str">
        <f t="shared" ref="U3:U11" ca="1" si="3">TEXT(S3-TODAY(),"0")&amp;" days"</f>
        <v>-575 days</v>
      </c>
      <c r="V3" s="38" t="str">
        <f>HYPERLINK("https://steelworkspower-my.sharepoint.com/:i:/g/personal/utkarsh_kashyap_steelworks_in/IQCCFxxIAx46RbWbPO6WJnPfAW0Nid2--Wbx-ZpqrkS3zS4?e=fsvslY","Fitness - "&amp;$A3&amp;" ("&amp;$B3&amp;")")</f>
        <v>Fitness - CG04PC0965 (Mahindra 575 DI Tractor )</v>
      </c>
      <c r="W3" s="32"/>
      <c r="X3" s="36">
        <v>45046</v>
      </c>
      <c r="Y3" s="26" t="str">
        <f t="shared" ref="Y3" ca="1" si="4">IF(X3&lt;TODAY(),"EXPIRED",IF(X3&lt;=TODAY()+30,"EXPIRING SOON","ACTIVE"))</f>
        <v>EXPIRED</v>
      </c>
      <c r="Z3" s="26" t="str">
        <f t="shared" ref="Z3" ca="1" si="5">TEXT(X3-TODAY(),"0")&amp;" days"</f>
        <v>-1244 days</v>
      </c>
      <c r="AA3" s="38" t="str">
        <f>HYPERLINK("https://steelworkspower-my.sharepoint.com/:i:/g/personal/utkarsh_kashyap_steelworks_in/IQCCFxxIAx46RbWbPO6WJnPfAW0Nid2--Wbx-ZpqrkS3zS4?e=fsvslY","MV Tax - "&amp;$A3&amp;" ("&amp;$B3&amp;")")</f>
        <v>MV Tax - CG04PC0965 (Mahindra 575 DI Tractor )</v>
      </c>
      <c r="AB3" s="25"/>
      <c r="AC3" s="25"/>
      <c r="AD3" s="25"/>
      <c r="AE3" s="25"/>
      <c r="AF3" s="27">
        <v>18717</v>
      </c>
      <c r="AG3" s="25">
        <f t="shared" ref="AG3:AG15" ca="1" si="6">+IF(AND($O3="Active",$T3="active",$Y3="Active",$AC3="Active"),1,0)</f>
        <v>0</v>
      </c>
      <c r="AH3" s="80" t="s">
        <v>46</v>
      </c>
      <c r="AI3" s="80" t="s">
        <v>46</v>
      </c>
      <c r="AJ3" s="80" t="s">
        <v>46</v>
      </c>
      <c r="AK3" s="80" t="s">
        <v>46</v>
      </c>
      <c r="AL3" s="80" t="s">
        <v>46</v>
      </c>
      <c r="AM3" s="88" t="s">
        <v>47</v>
      </c>
      <c r="AN3" s="94" t="s">
        <v>345</v>
      </c>
    </row>
    <row r="4" spans="1:40" x14ac:dyDescent="0.25">
      <c r="A4" s="31" t="s">
        <v>210</v>
      </c>
      <c r="B4" s="32" t="s">
        <v>211</v>
      </c>
      <c r="C4" s="32" t="s">
        <v>198</v>
      </c>
      <c r="D4" s="32" t="s">
        <v>212</v>
      </c>
      <c r="E4" s="32" t="s">
        <v>213</v>
      </c>
      <c r="F4" s="32" t="s">
        <v>214</v>
      </c>
      <c r="G4" s="32">
        <v>2023</v>
      </c>
      <c r="H4" s="33" t="s">
        <v>386</v>
      </c>
      <c r="I4" s="34">
        <v>50467</v>
      </c>
      <c r="J4" s="5">
        <v>1100000</v>
      </c>
      <c r="K4" s="25" t="s">
        <v>60</v>
      </c>
      <c r="L4" s="32" t="s">
        <v>215</v>
      </c>
      <c r="M4" s="36">
        <v>46084</v>
      </c>
      <c r="N4" s="36">
        <v>46448</v>
      </c>
      <c r="O4" s="26" t="str">
        <f t="shared" ca="1" si="0"/>
        <v>ACTIVE</v>
      </c>
      <c r="P4" s="26" t="str">
        <f t="shared" ca="1" si="1"/>
        <v>158 days</v>
      </c>
      <c r="Q4" s="37" t="s">
        <v>401</v>
      </c>
      <c r="R4" s="36">
        <v>44989</v>
      </c>
      <c r="S4" s="34">
        <v>50467</v>
      </c>
      <c r="T4" s="26" t="str">
        <f t="shared" ca="1" si="2"/>
        <v>ACTIVE</v>
      </c>
      <c r="U4" s="26" t="str">
        <f t="shared" ca="1" si="3"/>
        <v>4177 days</v>
      </c>
      <c r="V4" s="38" t="str">
        <f>HYPERLINK("https://steelworkspower-my.sharepoint.com/:i:/g/personal/utkarsh_kashyap_steelworks_in/IQCnuh7b-kVSQbPAUfH7QLatAaGYnJE-HuURr5otO6DUEEs?e=Na7OI9","Fitness - "&amp;$A4&amp;" ("&amp;$B4&amp;")")</f>
        <v>Fitness - CG04PC2208 (Escorts Hydra Crane)</v>
      </c>
      <c r="W4" s="32" t="s">
        <v>70</v>
      </c>
      <c r="X4" s="36" t="s">
        <v>70</v>
      </c>
      <c r="Y4" s="26" t="s">
        <v>70</v>
      </c>
      <c r="Z4" s="26" t="s">
        <v>70</v>
      </c>
      <c r="AA4" s="38" t="str">
        <f>HYPERLINK("https://steelworkspower-my.sharepoint.com/:i:/g/personal/utkarsh_kashyap_steelworks_in/IQBQxMCVpAWWRL0E73EHZHxyAbw0bCrLigF3hR2LtjI2K7U?e=o4xuCf","MV Tax  - "&amp;$A4&amp;" ("&amp;$B4&amp;")")</f>
        <v>MV Tax  - CG04PC2208 (Escorts Hydra Crane)</v>
      </c>
      <c r="AB4" s="25"/>
      <c r="AC4" s="25"/>
      <c r="AD4" s="25"/>
      <c r="AE4" s="25"/>
      <c r="AF4" s="27">
        <v>11678.46</v>
      </c>
      <c r="AG4" s="25">
        <f t="shared" ca="1" si="6"/>
        <v>0</v>
      </c>
      <c r="AH4" s="80" t="s">
        <v>46</v>
      </c>
      <c r="AI4" s="80" t="s">
        <v>46</v>
      </c>
      <c r="AJ4" s="80" t="s">
        <v>46</v>
      </c>
      <c r="AK4" s="80" t="s">
        <v>46</v>
      </c>
      <c r="AL4" s="80" t="s">
        <v>46</v>
      </c>
      <c r="AM4" s="88" t="s">
        <v>47</v>
      </c>
      <c r="AN4" s="94" t="s">
        <v>345</v>
      </c>
    </row>
    <row r="5" spans="1:40" x14ac:dyDescent="0.25">
      <c r="A5" s="31" t="s">
        <v>216</v>
      </c>
      <c r="B5" s="32" t="s">
        <v>211</v>
      </c>
      <c r="C5" s="32" t="s">
        <v>198</v>
      </c>
      <c r="D5" s="32" t="s">
        <v>217</v>
      </c>
      <c r="E5" s="32" t="s">
        <v>218</v>
      </c>
      <c r="F5" s="32" t="s">
        <v>219</v>
      </c>
      <c r="G5" s="32">
        <v>2023</v>
      </c>
      <c r="H5" s="38" t="s">
        <v>387</v>
      </c>
      <c r="I5" s="34">
        <v>50469</v>
      </c>
      <c r="J5" s="5">
        <v>1100000</v>
      </c>
      <c r="K5" s="25" t="s">
        <v>60</v>
      </c>
      <c r="L5" s="32" t="s">
        <v>220</v>
      </c>
      <c r="M5" s="36">
        <v>46084</v>
      </c>
      <c r="N5" s="36">
        <v>46448</v>
      </c>
      <c r="O5" s="26" t="str">
        <f t="shared" ca="1" si="0"/>
        <v>ACTIVE</v>
      </c>
      <c r="P5" s="26" t="str">
        <f t="shared" ca="1" si="1"/>
        <v>158 days</v>
      </c>
      <c r="Q5" s="37" t="s">
        <v>402</v>
      </c>
      <c r="R5" s="36">
        <v>44991</v>
      </c>
      <c r="S5" s="36">
        <v>50469</v>
      </c>
      <c r="T5" s="26" t="str">
        <f t="shared" ca="1" si="2"/>
        <v>ACTIVE</v>
      </c>
      <c r="U5" s="26" t="str">
        <f t="shared" ca="1" si="3"/>
        <v>4179 days</v>
      </c>
      <c r="V5" s="38" t="str">
        <f>HYPERLINK("https://steelworkspower-my.sharepoint.com/:i:/g/personal/utkarsh_kashyap_steelworks_in/IQB7asjyLp0bTaQHLXN5DPIqAcEE_1ebfdr37kU-W064qsg?e=GY4g3J","Fitness - "&amp;$A5&amp;" ("&amp;$B5&amp;")")</f>
        <v>Fitness - CG04PC2583 (Escorts Hydra Crane)</v>
      </c>
      <c r="W5" s="32" t="s">
        <v>70</v>
      </c>
      <c r="X5" s="36" t="s">
        <v>70</v>
      </c>
      <c r="Y5" s="26" t="s">
        <v>70</v>
      </c>
      <c r="Z5" s="26" t="s">
        <v>70</v>
      </c>
      <c r="AA5" s="38" t="str">
        <f>HYPERLINK("https://steelworkspower-my.sharepoint.com/:i:/g/personal/utkarsh_kashyap_steelworks_in/IQAyTf6pwDpuToyC6vnnc7O7ARkDQTbW3-6WQLVFwzmDl4k?e=hX3Ry1","MV Tax - "&amp;$A5&amp;" ("&amp;$B5&amp;")")</f>
        <v>MV Tax - CG04PC2583 (Escorts Hydra Crane)</v>
      </c>
      <c r="AB5" s="25"/>
      <c r="AC5" s="25"/>
      <c r="AD5" s="25"/>
      <c r="AE5" s="25"/>
      <c r="AF5" s="27">
        <v>11678.46</v>
      </c>
      <c r="AG5" s="25">
        <f t="shared" ca="1" si="6"/>
        <v>0</v>
      </c>
      <c r="AH5" s="80" t="s">
        <v>46</v>
      </c>
      <c r="AI5" s="80" t="s">
        <v>46</v>
      </c>
      <c r="AJ5" s="80" t="s">
        <v>46</v>
      </c>
      <c r="AK5" s="80" t="s">
        <v>46</v>
      </c>
      <c r="AL5" s="80" t="s">
        <v>46</v>
      </c>
      <c r="AM5" s="88" t="s">
        <v>47</v>
      </c>
      <c r="AN5" s="94" t="s">
        <v>345</v>
      </c>
    </row>
    <row r="6" spans="1:40" x14ac:dyDescent="0.25">
      <c r="A6" s="31" t="s">
        <v>221</v>
      </c>
      <c r="B6" s="32" t="s">
        <v>211</v>
      </c>
      <c r="C6" s="32" t="s">
        <v>198</v>
      </c>
      <c r="D6" s="32" t="s">
        <v>222</v>
      </c>
      <c r="E6" s="32" t="s">
        <v>223</v>
      </c>
      <c r="F6" s="32" t="s">
        <v>224</v>
      </c>
      <c r="G6" s="32">
        <v>2023</v>
      </c>
      <c r="H6" s="33" t="s">
        <v>388</v>
      </c>
      <c r="I6" s="34">
        <v>50606</v>
      </c>
      <c r="J6" s="5">
        <v>1450000</v>
      </c>
      <c r="K6" s="25" t="s">
        <v>112</v>
      </c>
      <c r="L6" s="32" t="s">
        <v>225</v>
      </c>
      <c r="M6" s="36">
        <v>46133</v>
      </c>
      <c r="N6" s="36">
        <v>46497</v>
      </c>
      <c r="O6" s="26" t="str">
        <f t="shared" ca="1" si="0"/>
        <v>ACTIVE</v>
      </c>
      <c r="P6" s="26" t="str">
        <f t="shared" ca="1" si="1"/>
        <v>207 days</v>
      </c>
      <c r="Q6" s="37" t="s">
        <v>403</v>
      </c>
      <c r="R6" s="36">
        <v>45128</v>
      </c>
      <c r="S6" s="36">
        <v>50606</v>
      </c>
      <c r="T6" s="26" t="str">
        <f t="shared" ca="1" si="2"/>
        <v>ACTIVE</v>
      </c>
      <c r="U6" s="26" t="str">
        <f t="shared" ca="1" si="3"/>
        <v>4316 days</v>
      </c>
      <c r="V6" s="38" t="str">
        <f>HYPERLINK("https://steelworkspower-my.sharepoint.com/:i:/g/personal/utkarsh_kashyap_steelworks_in/IQBMbdgXn0GcQZW9LnkDW-X4AfUCnl6CSIWKKLKpOeHC_qc?e=Vc9ili","Fitness - "&amp;$A6&amp;" ("&amp;$B6&amp;")")</f>
        <v>Fitness - CG25M7292 (Escorts Hydra Crane)</v>
      </c>
      <c r="W6" s="32" t="s">
        <v>70</v>
      </c>
      <c r="X6" s="36" t="s">
        <v>70</v>
      </c>
      <c r="Y6" s="26" t="s">
        <v>70</v>
      </c>
      <c r="Z6" s="26" t="s">
        <v>70</v>
      </c>
      <c r="AA6" s="38" t="str">
        <f>HYPERLINK("https://steelworkspower-my.sharepoint.com/:i:/g/personal/utkarsh_kashyap_steelworks_in/IQBO2YQHC4_rSI5QcSZDDKK7ATeNvL1Wv61jqIXBzIpLu2M?e=alte0j","MV Tax - "&amp;$A6&amp;" ("&amp;$B6&amp;")")</f>
        <v>MV Tax - CG25M7292 (Escorts Hydra Crane)</v>
      </c>
      <c r="AB6" s="25"/>
      <c r="AC6" s="25"/>
      <c r="AD6" s="25"/>
      <c r="AE6" s="25"/>
      <c r="AF6" s="27">
        <v>13266</v>
      </c>
      <c r="AG6" s="25">
        <f t="shared" ca="1" si="6"/>
        <v>0</v>
      </c>
      <c r="AH6" s="80" t="s">
        <v>46</v>
      </c>
      <c r="AI6" s="80" t="s">
        <v>46</v>
      </c>
      <c r="AJ6" s="80" t="s">
        <v>46</v>
      </c>
      <c r="AK6" s="80" t="s">
        <v>46</v>
      </c>
      <c r="AL6" s="80" t="s">
        <v>46</v>
      </c>
      <c r="AM6" s="88" t="s">
        <v>47</v>
      </c>
      <c r="AN6" s="94" t="s">
        <v>345</v>
      </c>
    </row>
    <row r="7" spans="1:40" x14ac:dyDescent="0.25">
      <c r="A7" s="31" t="s">
        <v>226</v>
      </c>
      <c r="B7" s="32" t="s">
        <v>211</v>
      </c>
      <c r="C7" s="32" t="s">
        <v>198</v>
      </c>
      <c r="D7" s="32" t="s">
        <v>222</v>
      </c>
      <c r="E7" s="32" t="s">
        <v>227</v>
      </c>
      <c r="F7" s="32" t="s">
        <v>228</v>
      </c>
      <c r="G7" s="32">
        <v>2023</v>
      </c>
      <c r="H7" s="33" t="s">
        <v>389</v>
      </c>
      <c r="I7" s="34">
        <v>50606</v>
      </c>
      <c r="J7" s="5">
        <v>1450000</v>
      </c>
      <c r="K7" s="25" t="s">
        <v>112</v>
      </c>
      <c r="L7" s="32" t="s">
        <v>229</v>
      </c>
      <c r="M7" s="36">
        <v>46133</v>
      </c>
      <c r="N7" s="36">
        <v>46497</v>
      </c>
      <c r="O7" s="26" t="str">
        <f t="shared" ca="1" si="0"/>
        <v>ACTIVE</v>
      </c>
      <c r="P7" s="26" t="str">
        <f t="shared" ca="1" si="1"/>
        <v>207 days</v>
      </c>
      <c r="Q7" s="37" t="s">
        <v>404</v>
      </c>
      <c r="R7" s="36">
        <v>45128</v>
      </c>
      <c r="S7" s="36">
        <v>50606</v>
      </c>
      <c r="T7" s="26" t="str">
        <f t="shared" ca="1" si="2"/>
        <v>ACTIVE</v>
      </c>
      <c r="U7" s="26" t="str">
        <f t="shared" ca="1" si="3"/>
        <v>4316 days</v>
      </c>
      <c r="V7" s="38" t="str">
        <f>HYPERLINK("https://steelworkspower-my.sharepoint.com/:i:/g/personal/utkarsh_kashyap_steelworks_in/IQD8WuS8Ib59S4ymTaCSqt3sAfK5Tgg9-Jx0Wo_AW6W10Oo?e=cw8Blp","Fitness - "&amp;$A7&amp;" ("&amp;$B7&amp;")")</f>
        <v>Fitness - CG25M7293 (Escorts Hydra Crane)</v>
      </c>
      <c r="W7" s="32" t="s">
        <v>70</v>
      </c>
      <c r="X7" s="36" t="s">
        <v>70</v>
      </c>
      <c r="Y7" s="26" t="s">
        <v>70</v>
      </c>
      <c r="Z7" s="26" t="s">
        <v>70</v>
      </c>
      <c r="AA7" s="38" t="str">
        <f>HYPERLINK("https://steelworkspower-my.sharepoint.com/:i:/g/personal/utkarsh_kashyap_steelworks_in/IQDUNlgFbYArSI5E3fWncsaqAf2F5WBokF6h3MVGU7dtAsw?e=DM8lnu","MV Tax - "&amp;$A7&amp;" ("&amp;$B7&amp;")")</f>
        <v>MV Tax - CG25M7293 (Escorts Hydra Crane)</v>
      </c>
      <c r="AB7" s="25"/>
      <c r="AC7" s="25"/>
      <c r="AD7" s="25"/>
      <c r="AE7" s="25"/>
      <c r="AF7" s="27">
        <v>13266</v>
      </c>
      <c r="AG7" s="25">
        <f t="shared" ca="1" si="6"/>
        <v>0</v>
      </c>
      <c r="AH7" s="80" t="s">
        <v>46</v>
      </c>
      <c r="AI7" s="80" t="s">
        <v>46</v>
      </c>
      <c r="AJ7" s="80" t="s">
        <v>46</v>
      </c>
      <c r="AK7" s="80" t="s">
        <v>46</v>
      </c>
      <c r="AL7" s="80" t="s">
        <v>46</v>
      </c>
      <c r="AM7" s="88" t="s">
        <v>47</v>
      </c>
      <c r="AN7" s="94" t="s">
        <v>345</v>
      </c>
    </row>
    <row r="8" spans="1:40" x14ac:dyDescent="0.25">
      <c r="A8" s="31" t="s">
        <v>230</v>
      </c>
      <c r="B8" s="32" t="s">
        <v>231</v>
      </c>
      <c r="C8" s="32" t="s">
        <v>198</v>
      </c>
      <c r="D8" s="32" t="s">
        <v>232</v>
      </c>
      <c r="E8" s="32" t="s">
        <v>233</v>
      </c>
      <c r="F8" s="32" t="s">
        <v>234</v>
      </c>
      <c r="G8" s="32">
        <v>2023</v>
      </c>
      <c r="H8" s="33" t="s">
        <v>390</v>
      </c>
      <c r="I8" s="34" t="s">
        <v>235</v>
      </c>
      <c r="J8" s="5" t="s">
        <v>236</v>
      </c>
      <c r="K8" s="32" t="s">
        <v>237</v>
      </c>
      <c r="L8" s="35" t="s">
        <v>238</v>
      </c>
      <c r="M8" s="36">
        <v>45981</v>
      </c>
      <c r="N8" s="36">
        <v>46345</v>
      </c>
      <c r="O8" s="26" t="str">
        <f t="shared" ca="1" si="0"/>
        <v>ACTIVE</v>
      </c>
      <c r="P8" s="26" t="str">
        <f t="shared" ca="1" si="1"/>
        <v>55 days</v>
      </c>
      <c r="Q8" s="37" t="s">
        <v>405</v>
      </c>
      <c r="R8" s="36">
        <v>45208</v>
      </c>
      <c r="S8" s="36">
        <v>50564</v>
      </c>
      <c r="T8" s="26" t="str">
        <f t="shared" ca="1" si="2"/>
        <v>ACTIVE</v>
      </c>
      <c r="U8" s="26" t="str">
        <f t="shared" ca="1" si="3"/>
        <v>4274 days</v>
      </c>
      <c r="V8" s="38" t="str">
        <f>HYPERLINK("https://steelworkspower-my.sharepoint.com/:i:/g/personal/utkarsh_kashyap_steelworks_in/IQD4QIHO7jtHSaBv7PskMHJGASK2QDvOqhg2DkAUWhVnEdY?e=1lFIt0","Fitness - "&amp;$A8&amp;" ("&amp;$B8&amp;")")</f>
        <v>Fitness - CG04PF2091 (Mahindra Bolero  NEO N8)</v>
      </c>
      <c r="W8" s="32" t="s">
        <v>70</v>
      </c>
      <c r="X8" s="36" t="s">
        <v>70</v>
      </c>
      <c r="Y8" s="26" t="s">
        <v>70</v>
      </c>
      <c r="Z8" s="26" t="s">
        <v>70</v>
      </c>
      <c r="AA8" s="38" t="str">
        <f>HYPERLINK("https://steelworkspower-my.sharepoint.com/:i:/g/personal/utkarsh_kashyap_steelworks_in/IQABHAKdnEzwTop1ZBog8uFYAfIfrtsGf2i8VB92HaAMyBA?e=HC3Uoo","MV Tax - "&amp;$A8&amp;" ("&amp;$B8&amp;")")</f>
        <v>MV Tax - CG04PF2091 (Mahindra Bolero  NEO N8)</v>
      </c>
      <c r="AB8" s="25"/>
      <c r="AC8" s="25"/>
      <c r="AD8" s="25"/>
      <c r="AE8" s="25"/>
      <c r="AF8" s="27">
        <v>21424</v>
      </c>
      <c r="AG8" s="25">
        <f t="shared" ca="1" si="6"/>
        <v>0</v>
      </c>
      <c r="AH8" s="81">
        <v>46176</v>
      </c>
      <c r="AI8" s="81">
        <v>46540</v>
      </c>
      <c r="AJ8" s="82" t="str">
        <f ca="1">IF(AI8&lt;TODAY(),"EXPIRED",IF(AI8&lt;=TODAY()+30,"EXPIRING SOON","ACTIVE"))</f>
        <v>ACTIVE</v>
      </c>
      <c r="AK8" s="82" t="str">
        <f ca="1">TEXT(AI8-TODAY(),"0")&amp;" days"</f>
        <v>250 days</v>
      </c>
      <c r="AL8" s="50" t="s">
        <v>239</v>
      </c>
      <c r="AM8" s="89" t="s">
        <v>240</v>
      </c>
      <c r="AN8" s="94" t="s">
        <v>345</v>
      </c>
    </row>
    <row r="9" spans="1:40" x14ac:dyDescent="0.25">
      <c r="A9" s="31" t="s">
        <v>241</v>
      </c>
      <c r="B9" s="32" t="s">
        <v>242</v>
      </c>
      <c r="C9" s="32" t="s">
        <v>243</v>
      </c>
      <c r="D9" s="32" t="s">
        <v>242</v>
      </c>
      <c r="E9" s="32" t="s">
        <v>244</v>
      </c>
      <c r="F9" s="32" t="s">
        <v>245</v>
      </c>
      <c r="G9" s="32">
        <v>2023</v>
      </c>
      <c r="H9" s="38" t="s">
        <v>391</v>
      </c>
      <c r="I9" s="34">
        <v>50686</v>
      </c>
      <c r="J9" s="5">
        <v>1530000</v>
      </c>
      <c r="K9" s="32" t="s">
        <v>60</v>
      </c>
      <c r="L9" s="32" t="s">
        <v>346</v>
      </c>
      <c r="M9" s="36">
        <v>46278</v>
      </c>
      <c r="N9" s="36">
        <v>46642</v>
      </c>
      <c r="O9" s="26" t="str">
        <f t="shared" ca="1" si="0"/>
        <v>ACTIVE</v>
      </c>
      <c r="P9" s="26" t="str">
        <f t="shared" ca="1" si="1"/>
        <v>352 days</v>
      </c>
      <c r="Q9" s="37" t="s">
        <v>406</v>
      </c>
      <c r="R9" s="36">
        <v>45086</v>
      </c>
      <c r="S9" s="36">
        <v>50686</v>
      </c>
      <c r="T9" s="26" t="str">
        <f t="shared" ca="1" si="2"/>
        <v>ACTIVE</v>
      </c>
      <c r="U9" s="26" t="str">
        <f t="shared" ca="1" si="3"/>
        <v>4396 days</v>
      </c>
      <c r="V9" s="38" t="str">
        <f>HYPERLINK("https://steelworkspower-my.sharepoint.com/:i:/g/personal/utkarsh_kashyap_steelworks_in/IQATJpt6ClmDR72TngY8ExLeAbcACpttT2E2nN0Q7Tu1wWQ?e=6qlJB7","Fitness - "&amp;$A9&amp;" ("&amp;$B9&amp;")")</f>
        <v>Fitness - CG25M8848 (Escorts Hydra 1565 4P SB)</v>
      </c>
      <c r="W9" s="32" t="s">
        <v>70</v>
      </c>
      <c r="X9" s="36" t="s">
        <v>70</v>
      </c>
      <c r="Y9" s="26" t="s">
        <v>70</v>
      </c>
      <c r="Z9" s="26" t="s">
        <v>70</v>
      </c>
      <c r="AA9" s="38" t="str">
        <f>HYPERLINK("https://steelworkspower-my.sharepoint.com/:i:/g/personal/utkarsh_kashyap_steelworks_in/IQAnZIJ8n-h8Q6tdDSZhe4tLAaSJWzwv3bnjf2tcOfV45zY?e=LSTa6x","MV Tax - "&amp;$A9&amp;" ("&amp;$B9&amp;")")</f>
        <v>MV Tax - CG25M8848 (Escorts Hydra 1565 4P SB)</v>
      </c>
      <c r="AB9" s="25"/>
      <c r="AC9" s="25"/>
      <c r="AD9" s="25"/>
      <c r="AE9" s="25"/>
      <c r="AF9" s="27">
        <v>13050.03</v>
      </c>
      <c r="AG9" s="25">
        <f t="shared" ca="1" si="6"/>
        <v>0</v>
      </c>
      <c r="AH9" s="80" t="s">
        <v>46</v>
      </c>
      <c r="AI9" s="80" t="s">
        <v>46</v>
      </c>
      <c r="AJ9" s="80" t="s">
        <v>46</v>
      </c>
      <c r="AK9" s="80" t="s">
        <v>46</v>
      </c>
      <c r="AL9" s="80" t="s">
        <v>46</v>
      </c>
      <c r="AM9" s="88" t="s">
        <v>47</v>
      </c>
      <c r="AN9" s="94" t="s">
        <v>345</v>
      </c>
    </row>
    <row r="10" spans="1:40" x14ac:dyDescent="0.25">
      <c r="A10" s="31" t="s">
        <v>246</v>
      </c>
      <c r="B10" s="25" t="s">
        <v>247</v>
      </c>
      <c r="C10" s="32" t="s">
        <v>198</v>
      </c>
      <c r="D10" s="32" t="s">
        <v>248</v>
      </c>
      <c r="E10" s="32" t="s">
        <v>249</v>
      </c>
      <c r="F10" s="32" t="s">
        <v>250</v>
      </c>
      <c r="G10" s="32">
        <v>2023</v>
      </c>
      <c r="H10" s="38" t="s">
        <v>392</v>
      </c>
      <c r="I10" s="34" t="s">
        <v>202</v>
      </c>
      <c r="J10" s="5">
        <v>729000</v>
      </c>
      <c r="K10" s="25" t="s">
        <v>44</v>
      </c>
      <c r="L10" s="35" t="s">
        <v>322</v>
      </c>
      <c r="M10" s="36">
        <v>45991</v>
      </c>
      <c r="N10" s="36">
        <v>46355</v>
      </c>
      <c r="O10" s="26" t="str">
        <f t="shared" ca="1" si="0"/>
        <v>ACTIVE</v>
      </c>
      <c r="P10" s="26" t="str">
        <f t="shared" ca="1" si="1"/>
        <v>65 days</v>
      </c>
      <c r="Q10" s="37" t="s">
        <v>407</v>
      </c>
      <c r="R10" s="36"/>
      <c r="S10" s="36">
        <v>46743</v>
      </c>
      <c r="T10" s="26" t="str">
        <f t="shared" ca="1" si="2"/>
        <v>ACTIVE</v>
      </c>
      <c r="U10" s="26" t="str">
        <f t="shared" ca="1" si="3"/>
        <v>453 days</v>
      </c>
      <c r="V10" s="38" t="str">
        <f>HYPERLINK("https://steelworkspower-my.sharepoint.com/:i:/g/personal/utkarsh_kashyap_steelworks_in/IQApgdHVTafkQaAlrrDkIiy_AT2Y3USGO_Luk_gjTTnoiZk?e=14wdnE","Fitness - "&amp;$A10&amp;" ("&amp;$B10&amp;")")</f>
        <v>Fitness - CG04PM7749 (Mahindra Bolero Pik-Up)</v>
      </c>
      <c r="W10" s="32" t="s">
        <v>70</v>
      </c>
      <c r="X10" s="36" t="s">
        <v>70</v>
      </c>
      <c r="Y10" s="26" t="s">
        <v>70</v>
      </c>
      <c r="Z10" s="26" t="s">
        <v>70</v>
      </c>
      <c r="AA10" s="38" t="str">
        <f>HYPERLINK("https://steelworkspower-my.sharepoint.com/:i:/g/personal/utkarsh_kashyap_steelworks_in/IQAmYSZQhhKDQ4BzzugIA3xNARqARRvVYe-CFmExrq4Mudk?e=OKboR3","MV Tax - "&amp;$A10&amp;" ("&amp;$B10&amp;")")</f>
        <v>MV Tax - CG04PM7749 (Mahindra Bolero Pik-Up)</v>
      </c>
      <c r="AB10" s="36">
        <v>46382</v>
      </c>
      <c r="AC10" s="26" t="str">
        <f ca="1">IF(AB10&lt;TODAY(),"EXPIRED",IF(AB10&lt;=TODAY()+30,"EXPIRING SOON","ACTIVE"))</f>
        <v>ACTIVE</v>
      </c>
      <c r="AD10" s="26" t="str">
        <f ca="1">TEXT(AB10-TODAY(),"0")&amp;" days"</f>
        <v>92 days</v>
      </c>
      <c r="AE10" s="38" t="str">
        <f>HYPERLINK("https://steelworkspower-my.sharepoint.com/:i:/g/personal/utkarsh_kashyap_steelworks_in/IQAmYSZQhhKDQ4BzzugIA3xNARqARRvVYe-CFmExrq4Mudk?e=OKboR3","Permit - "&amp;$A10&amp;" ("&amp;$B10&amp;")")</f>
        <v>Permit - CG04PM7749 (Mahindra Bolero Pik-Up)</v>
      </c>
      <c r="AF10" s="27">
        <v>19497</v>
      </c>
      <c r="AG10" s="25">
        <f t="shared" ca="1" si="6"/>
        <v>0</v>
      </c>
      <c r="AH10" s="80"/>
      <c r="AI10" s="80"/>
      <c r="AJ10" s="80"/>
      <c r="AK10" s="80"/>
      <c r="AL10" s="80"/>
      <c r="AM10" s="88" t="s">
        <v>47</v>
      </c>
      <c r="AN10" s="94" t="s">
        <v>345</v>
      </c>
    </row>
    <row r="11" spans="1:40" x14ac:dyDescent="0.25">
      <c r="A11" s="31" t="s">
        <v>251</v>
      </c>
      <c r="B11" s="32" t="s">
        <v>252</v>
      </c>
      <c r="C11" s="32" t="s">
        <v>198</v>
      </c>
      <c r="D11" s="32" t="s">
        <v>253</v>
      </c>
      <c r="E11" s="32" t="s">
        <v>254</v>
      </c>
      <c r="F11" s="32" t="s">
        <v>255</v>
      </c>
      <c r="G11" s="32">
        <v>2024</v>
      </c>
      <c r="H11" s="38" t="s">
        <v>393</v>
      </c>
      <c r="I11" s="32" t="s">
        <v>202</v>
      </c>
      <c r="J11" s="5">
        <v>1834180</v>
      </c>
      <c r="K11" s="25" t="s">
        <v>44</v>
      </c>
      <c r="L11" s="32" t="s">
        <v>256</v>
      </c>
      <c r="M11" s="36">
        <v>46120</v>
      </c>
      <c r="N11" s="36">
        <v>46484</v>
      </c>
      <c r="O11" s="26" t="str">
        <f t="shared" ca="1" si="0"/>
        <v>ACTIVE</v>
      </c>
      <c r="P11" s="26" t="str">
        <f t="shared" ca="1" si="1"/>
        <v>194 days</v>
      </c>
      <c r="Q11" s="40" t="s">
        <v>408</v>
      </c>
      <c r="R11" s="32"/>
      <c r="S11" s="36">
        <v>46857</v>
      </c>
      <c r="T11" s="26" t="str">
        <f t="shared" ca="1" si="2"/>
        <v>ACTIVE</v>
      </c>
      <c r="U11" s="26" t="str">
        <f t="shared" ca="1" si="3"/>
        <v>567 days</v>
      </c>
      <c r="V11" s="38" t="str">
        <f>HYPERLINK("https://steelworkspower-my.sharepoint.com/:b:/g/personal/utkarsh_kashyap_steelworks_in/IQDfkHLXawI7R5YFsI7m4FmBAQGl9EpH6IZLlAJt8mv_0tc?e=71HcF8","Fitness - "&amp;$A11&amp;" ("&amp;$B11&amp;")")</f>
        <v>Fitness - CG04PS2509 (Force Traveller T2)</v>
      </c>
      <c r="W11" s="36">
        <v>45839</v>
      </c>
      <c r="X11" s="36">
        <v>46295</v>
      </c>
      <c r="Y11" s="26" t="str">
        <f t="shared" ref="Y11:Y12" ca="1" si="7">IF(X11&lt;TODAY(),"EXPIRED",IF(X11&lt;=TODAY()+30,"EXPIRING SOON","ACTIVE"))</f>
        <v>EXPIRING SOON</v>
      </c>
      <c r="Z11" s="26" t="str">
        <f t="shared" ref="Z11:Z12" ca="1" si="8">TEXT(X11-TODAY(),"0")&amp;" days"</f>
        <v>5 days</v>
      </c>
      <c r="AA11" s="38" t="str">
        <f>HYPERLINK("https://steelworkspower-my.sharepoint.com/:b:/g/personal/utkarsh_kashyap_steelworks_in/IQDF_XFCrcjyT5Kj5R4nRk8zAbbHY4mR5GhoA4wxYT_dP7A?e=DKQiHa","MV Tax - "&amp;$A11&amp;" ("&amp;$B11&amp;")")</f>
        <v>MV Tax - CG04PS2509 (Force Traveller T2)</v>
      </c>
      <c r="AB11" s="25"/>
      <c r="AC11" s="25"/>
      <c r="AD11" s="25"/>
      <c r="AE11" s="25"/>
      <c r="AF11" s="27">
        <v>57687</v>
      </c>
      <c r="AG11" s="25">
        <f t="shared" ca="1" si="6"/>
        <v>0</v>
      </c>
      <c r="AH11" s="80" t="s">
        <v>46</v>
      </c>
      <c r="AI11" s="80" t="s">
        <v>46</v>
      </c>
      <c r="AJ11" s="80" t="s">
        <v>46</v>
      </c>
      <c r="AK11" s="80" t="s">
        <v>46</v>
      </c>
      <c r="AL11" s="80" t="s">
        <v>46</v>
      </c>
      <c r="AM11" s="88" t="s">
        <v>47</v>
      </c>
      <c r="AN11" s="94" t="s">
        <v>345</v>
      </c>
    </row>
    <row r="12" spans="1:40" x14ac:dyDescent="0.25">
      <c r="A12" s="31" t="s">
        <v>257</v>
      </c>
      <c r="B12" s="32" t="s">
        <v>258</v>
      </c>
      <c r="C12" s="32" t="s">
        <v>198</v>
      </c>
      <c r="D12" s="32" t="s">
        <v>259</v>
      </c>
      <c r="E12" s="32" t="s">
        <v>260</v>
      </c>
      <c r="F12" s="32" t="s">
        <v>261</v>
      </c>
      <c r="G12" s="32">
        <v>2024</v>
      </c>
      <c r="H12" s="38" t="s">
        <v>394</v>
      </c>
      <c r="I12" s="34">
        <v>50982</v>
      </c>
      <c r="J12" s="5">
        <v>1455200</v>
      </c>
      <c r="K12" s="32" t="s">
        <v>262</v>
      </c>
      <c r="L12" s="32" t="s">
        <v>263</v>
      </c>
      <c r="M12" s="36">
        <v>45869</v>
      </c>
      <c r="N12" s="36">
        <v>46233</v>
      </c>
      <c r="O12" s="26" t="str">
        <f t="shared" ca="1" si="0"/>
        <v>EXPIRED</v>
      </c>
      <c r="P12" s="26" t="str">
        <f t="shared" ca="1" si="1"/>
        <v>-57 days</v>
      </c>
      <c r="Q12" s="40" t="s">
        <v>409</v>
      </c>
      <c r="R12" s="32"/>
      <c r="S12" s="36">
        <v>50982</v>
      </c>
      <c r="T12" s="26" t="str">
        <f t="shared" ref="T12:T13" ca="1" si="9">IF(S12&lt;TODAY(),"EXPIRED",IF(S12&lt;=TODAY()+30,"EXPIRING SOON","ACTIVE"))</f>
        <v>ACTIVE</v>
      </c>
      <c r="U12" s="26" t="str">
        <f t="shared" ref="U12:U13" ca="1" si="10">TEXT(S12-TODAY(),"0")&amp;" days"</f>
        <v>4692 days</v>
      </c>
      <c r="V12" s="38" t="str">
        <f>HYPERLINK("https://steelworkspower-my.sharepoint.com/:i:/g/personal/utkarsh_kashyap_steelworks_in/IQClwys82xwzRZrUNn5jqf3HAbe458cEcVupedQYgk1nj4o?e=6ppJPn","Fitness - "&amp;$A12&amp;" ("&amp;$B12&amp;")")</f>
        <v>Fitness - CG04PV2609 (TATA Nexon EV)</v>
      </c>
      <c r="W12" s="36"/>
      <c r="X12" s="36">
        <v>50982</v>
      </c>
      <c r="Y12" s="26" t="str">
        <f t="shared" ca="1" si="7"/>
        <v>ACTIVE</v>
      </c>
      <c r="Z12" s="26" t="str">
        <f t="shared" ca="1" si="8"/>
        <v>4692 days</v>
      </c>
      <c r="AA12" s="38" t="str">
        <f>HYPERLINK("https://steelworkspower-my.sharepoint.com/:i:/g/personal/utkarsh_kashyap_steelworks_in/IQClwys82xwzRZrUNn5jqf3HAbe458cEcVupedQYgk1nj4o?e=6ppJPn","MV Tax - "&amp;$A12&amp;" ("&amp;$B12&amp;")")</f>
        <v>MV Tax - CG04PV2609 (TATA Nexon EV)</v>
      </c>
      <c r="AB12" s="25"/>
      <c r="AC12" s="25"/>
      <c r="AD12" s="25"/>
      <c r="AE12" s="25"/>
      <c r="AF12" s="27">
        <v>54537</v>
      </c>
      <c r="AG12" s="25">
        <f t="shared" ca="1" si="6"/>
        <v>0</v>
      </c>
      <c r="AH12" s="81">
        <v>45504</v>
      </c>
      <c r="AI12" s="81">
        <v>46598</v>
      </c>
      <c r="AJ12" s="82" t="str">
        <f ca="1">IF(AI12&lt;TODAY(),"EXPIRED",IF(AI12&lt;=TODAY()+30,"EXPIRING SOON","ACTIVE"))</f>
        <v>ACTIVE</v>
      </c>
      <c r="AK12" s="82" t="str">
        <f ca="1">TEXT(AI12-TODAY(),"0")&amp;" days"</f>
        <v>308 days</v>
      </c>
      <c r="AL12" s="50" t="s">
        <v>264</v>
      </c>
      <c r="AM12" s="90" t="s">
        <v>265</v>
      </c>
      <c r="AN12" s="94" t="s">
        <v>345</v>
      </c>
    </row>
    <row r="13" spans="1:40" x14ac:dyDescent="0.25">
      <c r="A13" s="24" t="s">
        <v>266</v>
      </c>
      <c r="B13" s="32" t="s">
        <v>267</v>
      </c>
      <c r="C13" s="25" t="s">
        <v>198</v>
      </c>
      <c r="D13" s="32" t="s">
        <v>268</v>
      </c>
      <c r="E13" s="32" t="s">
        <v>269</v>
      </c>
      <c r="F13" s="32" t="s">
        <v>270</v>
      </c>
      <c r="G13" s="32">
        <v>2025</v>
      </c>
      <c r="H13" s="41" t="s">
        <v>395</v>
      </c>
      <c r="I13" s="34">
        <v>51269</v>
      </c>
      <c r="J13" s="5">
        <v>1859369</v>
      </c>
      <c r="K13" s="32" t="s">
        <v>347</v>
      </c>
      <c r="L13" s="32" t="s">
        <v>348</v>
      </c>
      <c r="M13" s="42">
        <v>46176</v>
      </c>
      <c r="N13" s="42">
        <v>46540</v>
      </c>
      <c r="O13" s="26" t="str">
        <f t="shared" ca="1" si="0"/>
        <v>ACTIVE</v>
      </c>
      <c r="P13" s="26" t="str">
        <f t="shared" ca="1" si="1"/>
        <v>250 days</v>
      </c>
      <c r="Q13" s="40" t="s">
        <v>410</v>
      </c>
      <c r="R13" s="25"/>
      <c r="S13" s="36">
        <v>51269</v>
      </c>
      <c r="T13" s="26" t="str">
        <f t="shared" ca="1" si="9"/>
        <v>ACTIVE</v>
      </c>
      <c r="U13" s="26" t="str">
        <f t="shared" ca="1" si="10"/>
        <v>4979 days</v>
      </c>
      <c r="V13" s="3" t="str">
        <f>+HYPERLINK("https://steelworkspower-my.sharepoint.com/:i:/g/personal/utkarsh_kashyap_steelworks_in/IQDZtBXDqQKEQJlA75LrSRExAb1bt7WCWt9y49H7eCw_bj4?e=kYruTW","Fitness - "&amp;$A13&amp;" ("&amp;$B13&amp;")")</f>
        <v>Fitness - CG04QH5728 (Toyota Innova Crysta)</v>
      </c>
      <c r="W13" s="26" t="s">
        <v>70</v>
      </c>
      <c r="X13" s="36" t="s">
        <v>70</v>
      </c>
      <c r="Y13" s="26" t="s">
        <v>70</v>
      </c>
      <c r="Z13" s="26" t="s">
        <v>70</v>
      </c>
      <c r="AA13" s="3" t="str">
        <f>+HYPERLINK("https://steelworkspower-my.sharepoint.com/:i:/g/personal/utkarsh_kashyap_steelworks_in/IQC2V4w9XjRNRKjTIc-aDuWaAZhTaE11kqxsn0ROrgQruQY?e=dpRKIq","MV Tax - "&amp;$A13&amp;" ("&amp;$B13&amp;")")</f>
        <v>MV Tax - CG04QH5728 (Toyota Innova Crysta)</v>
      </c>
      <c r="AB13" s="25"/>
      <c r="AC13" s="25"/>
      <c r="AD13" s="25"/>
      <c r="AE13" s="25"/>
      <c r="AF13" s="27">
        <v>60056</v>
      </c>
      <c r="AG13" s="25">
        <f t="shared" ca="1" si="6"/>
        <v>0</v>
      </c>
      <c r="AH13" s="81">
        <v>45791</v>
      </c>
      <c r="AI13" s="81">
        <v>46886</v>
      </c>
      <c r="AJ13" s="82" t="str">
        <f ca="1">IF(AI13&lt;TODAY(),"EXPIRED",IF(AI13&lt;=TODAY()+30,"EXPIRING SOON","ACTIVE"))</f>
        <v>ACTIVE</v>
      </c>
      <c r="AK13" s="82" t="str">
        <f ca="1">TEXT(AI13-TODAY(),"0")&amp;" days"</f>
        <v>596 days</v>
      </c>
      <c r="AL13" s="50" t="s">
        <v>271</v>
      </c>
      <c r="AM13" s="90" t="s">
        <v>272</v>
      </c>
      <c r="AN13" s="94" t="s">
        <v>345</v>
      </c>
    </row>
    <row r="14" spans="1:40" x14ac:dyDescent="0.25">
      <c r="A14" s="24" t="s">
        <v>273</v>
      </c>
      <c r="B14" s="32" t="s">
        <v>274</v>
      </c>
      <c r="C14" s="32" t="s">
        <v>275</v>
      </c>
      <c r="D14" s="32" t="s">
        <v>276</v>
      </c>
      <c r="E14" s="32" t="s">
        <v>277</v>
      </c>
      <c r="F14" s="32" t="s">
        <v>278</v>
      </c>
      <c r="G14" s="32">
        <v>2025</v>
      </c>
      <c r="H14" s="43" t="s">
        <v>396</v>
      </c>
      <c r="I14" s="26">
        <v>51192</v>
      </c>
      <c r="J14" s="5" t="s">
        <v>279</v>
      </c>
      <c r="K14" s="32" t="s">
        <v>68</v>
      </c>
      <c r="L14" s="32" t="s">
        <v>280</v>
      </c>
      <c r="M14" s="26">
        <v>46080</v>
      </c>
      <c r="N14" s="26">
        <v>46444</v>
      </c>
      <c r="O14" s="26" t="str">
        <f t="shared" ca="1" si="0"/>
        <v>ACTIVE</v>
      </c>
      <c r="P14" s="26" t="str">
        <f t="shared" ca="1" si="1"/>
        <v>154 days</v>
      </c>
      <c r="Q14" s="43" t="s">
        <v>411</v>
      </c>
      <c r="R14" s="25"/>
      <c r="S14" s="36">
        <v>51192</v>
      </c>
      <c r="T14" s="26" t="str">
        <f t="shared" ref="T14:T16" ca="1" si="11">IF(S14&lt;TODAY(),"EXPIRED",IF(S14&lt;=TODAY()+30,"EXPIRING SOON","ACTIVE"))</f>
        <v>ACTIVE</v>
      </c>
      <c r="U14" s="26" t="str">
        <f t="shared" ref="U14:U16" ca="1" si="12">TEXT(S14-TODAY(),"0")&amp;" days"</f>
        <v>4902 days</v>
      </c>
      <c r="V14" s="3" t="str">
        <f>+HYPERLINK("https://steelworkspower-my.sharepoint.com/:i:/g/personal/utkarsh_kashyap_steelworks_in/IQB_1nFRjEg2SJjB6oPfUazSAdMVaZoxRWYh4TUR7wGrtsA?e=X2bf0M","Fitness - "&amp;$A14&amp;" ("&amp;$B14&amp;")")</f>
        <v>Fitness - CG04QF1357 (MG Windsor EV )</v>
      </c>
      <c r="W14" s="26" t="s">
        <v>70</v>
      </c>
      <c r="X14" s="36" t="s">
        <v>70</v>
      </c>
      <c r="Y14" s="26" t="s">
        <v>70</v>
      </c>
      <c r="Z14" s="26" t="s">
        <v>70</v>
      </c>
      <c r="AA14" s="3" t="str">
        <f>+HYPERLINK("https://steelworkspower-my.sharepoint.com/:i:/g/personal/utkarsh_kashyap_steelworks_in/IQBgutDLdvM4RIKEdSKuoWUKAT-_ufqqvSqLdjcoBBEmEec?e=PXgcOs","MV Tax - "&amp;$A14&amp;" ("&amp;$B14&amp;")")</f>
        <v>MV Tax - CG04QF1357 (MG Windsor EV )</v>
      </c>
      <c r="AB14" s="25"/>
      <c r="AC14" s="25"/>
      <c r="AD14" s="25"/>
      <c r="AE14" s="25"/>
      <c r="AF14" s="27">
        <v>32809</v>
      </c>
      <c r="AG14" s="25">
        <f t="shared" ca="1" si="6"/>
        <v>0</v>
      </c>
      <c r="AH14" s="26">
        <v>45715</v>
      </c>
      <c r="AI14" s="26">
        <v>46809</v>
      </c>
      <c r="AJ14" s="82" t="str">
        <f ca="1">IF(AI14&lt;TODAY(),"EXPIRED",IF(AI14&lt;=TODAY()+30,"EXPIRING SOON","ACTIVE"))</f>
        <v>ACTIVE</v>
      </c>
      <c r="AK14" s="82" t="str">
        <f ca="1">TEXT(AI14-TODAY(),"0")&amp;" days"</f>
        <v>519 days</v>
      </c>
      <c r="AL14" s="50" t="s">
        <v>281</v>
      </c>
      <c r="AM14" s="90" t="s">
        <v>282</v>
      </c>
      <c r="AN14" s="94" t="s">
        <v>345</v>
      </c>
    </row>
    <row r="15" spans="1:40" x14ac:dyDescent="0.25">
      <c r="A15" s="24" t="s">
        <v>283</v>
      </c>
      <c r="B15" s="25" t="s">
        <v>284</v>
      </c>
      <c r="C15" s="32" t="s">
        <v>275</v>
      </c>
      <c r="D15" s="25" t="s">
        <v>285</v>
      </c>
      <c r="E15" s="25" t="s">
        <v>286</v>
      </c>
      <c r="F15" s="25" t="s">
        <v>287</v>
      </c>
      <c r="G15" s="32">
        <v>2012</v>
      </c>
      <c r="H15" s="33" t="s">
        <v>397</v>
      </c>
      <c r="I15" s="25" t="s">
        <v>202</v>
      </c>
      <c r="J15" s="5">
        <v>657000</v>
      </c>
      <c r="K15" s="25" t="s">
        <v>112</v>
      </c>
      <c r="L15" s="28" t="s">
        <v>288</v>
      </c>
      <c r="M15" s="26">
        <v>46045</v>
      </c>
      <c r="N15" s="26">
        <v>46409</v>
      </c>
      <c r="O15" s="26" t="str">
        <f t="shared" ca="1" si="0"/>
        <v>ACTIVE</v>
      </c>
      <c r="P15" s="26" t="str">
        <f t="shared" ca="1" si="1"/>
        <v>119 days</v>
      </c>
      <c r="Q15" s="37" t="s">
        <v>412</v>
      </c>
      <c r="R15" s="25"/>
      <c r="S15" s="36">
        <v>46425</v>
      </c>
      <c r="T15" s="26" t="str">
        <f t="shared" ca="1" si="11"/>
        <v>ACTIVE</v>
      </c>
      <c r="U15" s="26" t="str">
        <f t="shared" ca="1" si="12"/>
        <v>135 days</v>
      </c>
      <c r="V15" s="3" t="str">
        <f>+HYPERLINK("https://steelworkspower-my.sharepoint.com/:i:/g/personal/utkarsh_kashyap_steelworks_in/IQCX5R6zy1xlSZdKfsddIb__Aa6cjf7CtlcG82ZXaiOd4wY?e=jrRiCS","Fitness - "&amp;$A15&amp;" ("&amp;$B15&amp;")")</f>
        <v>Fitness - CG04JC9951 (Tata LPS Tractor - Trailer)</v>
      </c>
      <c r="W15" s="36">
        <v>46204</v>
      </c>
      <c r="X15" s="26">
        <v>46295</v>
      </c>
      <c r="Y15" s="26" t="str">
        <f t="shared" ref="Y15" ca="1" si="13">IF(X15&lt;TODAY(),"EXPIRED",IF(X15&lt;=TODAY()+30,"EXPIRING SOON","ACTIVE"))</f>
        <v>EXPIRING SOON</v>
      </c>
      <c r="Z15" s="26" t="str">
        <f t="shared" ref="Z15" ca="1" si="14">TEXT(X15-TODAY(),"0")&amp;" days"</f>
        <v>5 days</v>
      </c>
      <c r="AA15" s="37" t="str">
        <f>+HYPERLINK("https://steelworkspower-my.sharepoint.com/:b:/g/personal/utkarsh_kashyap_steelworks_in/IQB6a6ptHq7-RK-8SzYJHHtaAY2BADQQlHygzRYOKu5s_lQ?e=WLCPdh","MV Tax - "&amp;$A15&amp;" ("&amp;$B15&amp;")")</f>
        <v>MV Tax - CG04JC9951 (Tata LPS Tractor - Trailer)</v>
      </c>
      <c r="AB15" s="25"/>
      <c r="AC15" s="25"/>
      <c r="AD15" s="25"/>
      <c r="AE15" s="25"/>
      <c r="AF15" s="27">
        <v>48001</v>
      </c>
      <c r="AG15" s="25">
        <f t="shared" ca="1" si="6"/>
        <v>0</v>
      </c>
      <c r="AH15" s="80" t="s">
        <v>46</v>
      </c>
      <c r="AI15" s="80" t="s">
        <v>46</v>
      </c>
      <c r="AJ15" s="80" t="s">
        <v>46</v>
      </c>
      <c r="AK15" s="80" t="s">
        <v>46</v>
      </c>
      <c r="AL15" s="80" t="s">
        <v>46</v>
      </c>
      <c r="AM15" s="88" t="s">
        <v>47</v>
      </c>
      <c r="AN15" s="94" t="s">
        <v>345</v>
      </c>
    </row>
    <row r="16" spans="1:40" ht="15.75" thickBot="1" x14ac:dyDescent="0.3">
      <c r="A16" s="44" t="s">
        <v>289</v>
      </c>
      <c r="B16" s="76" t="s">
        <v>290</v>
      </c>
      <c r="C16" s="76" t="s">
        <v>275</v>
      </c>
      <c r="D16" s="29" t="s">
        <v>291</v>
      </c>
      <c r="E16" s="76" t="s">
        <v>292</v>
      </c>
      <c r="F16" s="76" t="s">
        <v>293</v>
      </c>
      <c r="G16" s="76">
        <v>2025</v>
      </c>
      <c r="H16" s="45" t="s">
        <v>398</v>
      </c>
      <c r="I16" s="29" t="s">
        <v>202</v>
      </c>
      <c r="J16" s="77">
        <v>526110</v>
      </c>
      <c r="K16" s="29" t="s">
        <v>60</v>
      </c>
      <c r="L16" s="29" t="s">
        <v>294</v>
      </c>
      <c r="M16" s="30">
        <v>45958</v>
      </c>
      <c r="N16" s="30">
        <v>46322</v>
      </c>
      <c r="O16" s="30" t="str">
        <f t="shared" ca="1" si="0"/>
        <v>ACTIVE</v>
      </c>
      <c r="P16" s="30" t="str">
        <f t="shared" ca="1" si="1"/>
        <v>32 days</v>
      </c>
      <c r="Q16" s="78" t="s">
        <v>413</v>
      </c>
      <c r="R16" s="46"/>
      <c r="S16" s="46">
        <v>46703</v>
      </c>
      <c r="T16" s="30" t="str">
        <f t="shared" ca="1" si="11"/>
        <v>ACTIVE</v>
      </c>
      <c r="U16" s="30" t="str">
        <f t="shared" ca="1" si="12"/>
        <v>413 days</v>
      </c>
      <c r="V16" s="6" t="str">
        <f>+HYPERLINK("https://steelworkspower-my.sharepoint.com/:i:/g/personal/utkarsh_kashyap_steelworks_in/IQDV9zBTeLYeQIlz2skM8nRoAQrMG_BrpkDTwCnZiMEZ9lU?e=1A1FOT","Fitness - "&amp;$A16&amp;" ("&amp;$B16&amp;")")</f>
        <v>Fitness - CG04QR3313 (Maruti Suzuki EECO (Ambulance))</v>
      </c>
      <c r="W16" s="30" t="s">
        <v>70</v>
      </c>
      <c r="X16" s="46" t="s">
        <v>70</v>
      </c>
      <c r="Y16" s="30" t="s">
        <v>70</v>
      </c>
      <c r="Z16" s="30" t="s">
        <v>70</v>
      </c>
      <c r="AA16" s="78" t="str">
        <f>+HYPERLINK("https://steelworkspower-my.sharepoint.com/:b:/g/personal/utkarsh_kashyap_steelworks_in/IQCr4orTGgjxQ71QRVAcxj85AS2gvoBEZjS4i0aboW3ufdw?e=qWczj1","MV Tax - "&amp;$A16&amp;" ("&amp;$B16&amp;")")</f>
        <v>MV Tax - CG04QR3313 (Maruti Suzuki EECO (Ambulance))</v>
      </c>
      <c r="AB16" s="29" t="s">
        <v>46</v>
      </c>
      <c r="AC16" s="29" t="s">
        <v>46</v>
      </c>
      <c r="AD16" s="29" t="s">
        <v>46</v>
      </c>
      <c r="AE16" s="29" t="s">
        <v>46</v>
      </c>
      <c r="AF16" s="29">
        <v>20052.919999999998</v>
      </c>
      <c r="AG16" s="29"/>
      <c r="AH16" s="83" t="s">
        <v>46</v>
      </c>
      <c r="AI16" s="83" t="s">
        <v>46</v>
      </c>
      <c r="AJ16" s="83" t="s">
        <v>46</v>
      </c>
      <c r="AK16" s="83" t="s">
        <v>46</v>
      </c>
      <c r="AL16" s="83" t="s">
        <v>46</v>
      </c>
      <c r="AM16" s="93" t="s">
        <v>47</v>
      </c>
      <c r="AN16" s="95" t="s">
        <v>345</v>
      </c>
    </row>
    <row r="18" spans="8:9" x14ac:dyDescent="0.25">
      <c r="H18" s="47"/>
      <c r="I18" s="47"/>
    </row>
    <row r="19" spans="8:9" x14ac:dyDescent="0.25">
      <c r="H19" s="48"/>
      <c r="I19" s="49"/>
    </row>
    <row r="20" spans="8:9" x14ac:dyDescent="0.25">
      <c r="H20" s="48"/>
      <c r="I20" s="49"/>
    </row>
    <row r="21" spans="8:9" x14ac:dyDescent="0.25">
      <c r="I21" s="49"/>
    </row>
    <row r="22" spans="8:9" x14ac:dyDescent="0.25">
      <c r="H22" s="48"/>
      <c r="I22" s="49"/>
    </row>
    <row r="23" spans="8:9" x14ac:dyDescent="0.25">
      <c r="H23" s="48"/>
      <c r="I23" s="49"/>
    </row>
    <row r="24" spans="8:9" x14ac:dyDescent="0.25">
      <c r="H24" s="48"/>
      <c r="I24" s="49"/>
    </row>
    <row r="25" spans="8:9" x14ac:dyDescent="0.25">
      <c r="H25" s="48"/>
      <c r="I25" s="49"/>
    </row>
    <row r="26" spans="8:9" x14ac:dyDescent="0.25">
      <c r="H26" s="48"/>
      <c r="I26" s="49"/>
    </row>
    <row r="27" spans="8:9" x14ac:dyDescent="0.25">
      <c r="H27" s="48"/>
      <c r="I27" s="49"/>
    </row>
    <row r="28" spans="8:9" x14ac:dyDescent="0.25">
      <c r="H28" s="48"/>
      <c r="I28" s="49"/>
    </row>
  </sheetData>
  <conditionalFormatting sqref="AA13">
    <cfRule type="containsText" dxfId="34" priority="38" operator="containsText" text="Insurance Updated">
      <formula>NOT(ISERROR(SEARCH("Insurance Updated",AA13)))</formula>
    </cfRule>
  </conditionalFormatting>
  <conditionalFormatting sqref="T2:T16 O2:O16">
    <cfRule type="containsText" dxfId="33" priority="35" operator="containsText" text="expired">
      <formula>NOT(ISERROR(SEARCH("expired",O2)))</formula>
    </cfRule>
    <cfRule type="containsText" dxfId="32" priority="36" operator="containsText" text="Expiring Soon">
      <formula>NOT(ISERROR(SEARCH("Expiring Soon",O2)))</formula>
    </cfRule>
    <cfRule type="containsText" dxfId="31" priority="37" operator="containsText" text="Active">
      <formula>NOT(ISERROR(SEARCH("Active",O2)))</formula>
    </cfRule>
  </conditionalFormatting>
  <conditionalFormatting sqref="Y11:Y12">
    <cfRule type="containsText" dxfId="30" priority="29" operator="containsText" text="expired">
      <formula>NOT(ISERROR(SEARCH("expired",Y11)))</formula>
    </cfRule>
    <cfRule type="containsText" dxfId="29" priority="30" operator="containsText" text="Expiring Soon">
      <formula>NOT(ISERROR(SEARCH("Expiring Soon",Y11)))</formula>
    </cfRule>
    <cfRule type="containsText" dxfId="28" priority="31" operator="containsText" text="Active">
      <formula>NOT(ISERROR(SEARCH("Active",Y11)))</formula>
    </cfRule>
  </conditionalFormatting>
  <conditionalFormatting sqref="AC2">
    <cfRule type="containsText" dxfId="27" priority="26" operator="containsText" text="expired">
      <formula>NOT(ISERROR(SEARCH("expired",AC2)))</formula>
    </cfRule>
    <cfRule type="containsText" dxfId="26" priority="27" operator="containsText" text="Expiring Soon">
      <formula>NOT(ISERROR(SEARCH("Expiring Soon",AC2)))</formula>
    </cfRule>
    <cfRule type="containsText" dxfId="25" priority="28" operator="containsText" text="Active">
      <formula>NOT(ISERROR(SEARCH("Active",AC2)))</formula>
    </cfRule>
  </conditionalFormatting>
  <conditionalFormatting sqref="AC10">
    <cfRule type="containsText" dxfId="24" priority="23" operator="containsText" text="expired">
      <formula>NOT(ISERROR(SEARCH("expired",AC10)))</formula>
    </cfRule>
    <cfRule type="containsText" dxfId="23" priority="24" operator="containsText" text="Expiring Soon">
      <formula>NOT(ISERROR(SEARCH("Expiring Soon",AC10)))</formula>
    </cfRule>
    <cfRule type="containsText" dxfId="22" priority="25" operator="containsText" text="Active">
      <formula>NOT(ISERROR(SEARCH("Active",AC10)))</formula>
    </cfRule>
  </conditionalFormatting>
  <conditionalFormatting sqref="Y15">
    <cfRule type="containsText" dxfId="21" priority="20" operator="containsText" text="expired">
      <formula>NOT(ISERROR(SEARCH("expired",Y15)))</formula>
    </cfRule>
    <cfRule type="containsText" dxfId="20" priority="21" operator="containsText" text="Expiring Soon">
      <formula>NOT(ISERROR(SEARCH("Expiring Soon",Y15)))</formula>
    </cfRule>
    <cfRule type="containsText" dxfId="19" priority="22" operator="containsText" text="Active">
      <formula>NOT(ISERROR(SEARCH("Active",Y15)))</formula>
    </cfRule>
  </conditionalFormatting>
  <conditionalFormatting sqref="Y2:Y10">
    <cfRule type="containsText" dxfId="18" priority="17" operator="containsText" text="expired">
      <formula>NOT(ISERROR(SEARCH("expired",Y2)))</formula>
    </cfRule>
    <cfRule type="containsText" dxfId="17" priority="18" operator="containsText" text="Expiring Soon">
      <formula>NOT(ISERROR(SEARCH("Expiring Soon",Y2)))</formula>
    </cfRule>
    <cfRule type="containsText" dxfId="16" priority="19" operator="containsText" text="Active">
      <formula>NOT(ISERROR(SEARCH("Active",Y2)))</formula>
    </cfRule>
  </conditionalFormatting>
  <conditionalFormatting sqref="Y13:Y14">
    <cfRule type="containsText" dxfId="15" priority="14" operator="containsText" text="expired">
      <formula>NOT(ISERROR(SEARCH("expired",Y13)))</formula>
    </cfRule>
    <cfRule type="containsText" dxfId="14" priority="15" operator="containsText" text="Expiring Soon">
      <formula>NOT(ISERROR(SEARCH("Expiring Soon",Y13)))</formula>
    </cfRule>
    <cfRule type="containsText" dxfId="13" priority="16" operator="containsText" text="Active">
      <formula>NOT(ISERROR(SEARCH("Active",Y13)))</formula>
    </cfRule>
  </conditionalFormatting>
  <conditionalFormatting sqref="V13:V16">
    <cfRule type="containsText" dxfId="12" priority="13" operator="containsText" text="Insurance Updated">
      <formula>NOT(ISERROR(SEARCH("Insurance Updated",V13)))</formula>
    </cfRule>
  </conditionalFormatting>
  <conditionalFormatting sqref="AA14">
    <cfRule type="containsText" dxfId="11" priority="12" operator="containsText" text="Insurance Updated">
      <formula>NOT(ISERROR(SEARCH("Insurance Updated",AA14)))</formula>
    </cfRule>
  </conditionalFormatting>
  <conditionalFormatting sqref="W2:Z15">
    <cfRule type="cellIs" dxfId="10" priority="11" operator="equal">
      <formula>"LTT"</formula>
    </cfRule>
  </conditionalFormatting>
  <conditionalFormatting sqref="AJ8">
    <cfRule type="containsText" dxfId="9" priority="8" operator="containsText" text="expired">
      <formula>NOT(ISERROR(SEARCH("expired",AJ8)))</formula>
    </cfRule>
    <cfRule type="containsText" dxfId="8" priority="9" operator="containsText" text="Expiring Soon">
      <formula>NOT(ISERROR(SEARCH("Expiring Soon",AJ8)))</formula>
    </cfRule>
    <cfRule type="containsText" dxfId="7" priority="10" operator="containsText" text="Active">
      <formula>NOT(ISERROR(SEARCH("Active",AJ8)))</formula>
    </cfRule>
  </conditionalFormatting>
  <conditionalFormatting sqref="AJ12:AJ14">
    <cfRule type="containsText" dxfId="6" priority="5" operator="containsText" text="expired">
      <formula>NOT(ISERROR(SEARCH("expired",AJ12)))</formula>
    </cfRule>
    <cfRule type="containsText" dxfId="5" priority="6" operator="containsText" text="Expiring Soon">
      <formula>NOT(ISERROR(SEARCH("Expiring Soon",AJ12)))</formula>
    </cfRule>
    <cfRule type="containsText" dxfId="4" priority="7" operator="containsText" text="Active">
      <formula>NOT(ISERROR(SEARCH("Active",AJ12)))</formula>
    </cfRule>
  </conditionalFormatting>
  <conditionalFormatting sqref="Y16">
    <cfRule type="containsText" dxfId="3" priority="2" operator="containsText" text="expired">
      <formula>NOT(ISERROR(SEARCH("expired",Y16)))</formula>
    </cfRule>
    <cfRule type="containsText" dxfId="2" priority="3" operator="containsText" text="Expiring Soon">
      <formula>NOT(ISERROR(SEARCH("Expiring Soon",Y16)))</formula>
    </cfRule>
    <cfRule type="containsText" dxfId="1" priority="4" operator="containsText" text="Active">
      <formula>NOT(ISERROR(SEARCH("Active",Y16)))</formula>
    </cfRule>
  </conditionalFormatting>
  <conditionalFormatting sqref="W16:Z16">
    <cfRule type="cellIs" dxfId="0" priority="1" operator="equal">
      <formula>"LTT"</formula>
    </cfRule>
  </conditionalFormatting>
  <hyperlinks>
    <hyperlink ref="AL8" r:id="rId1" display="TP - CG04PF2091 (" xr:uid="{3F551F33-C128-4729-8D95-20F4380FA370}"/>
    <hyperlink ref="AL13" r:id="rId2" display="https://steelworkspower-my.sharepoint.com/:b:/g/personal/utkarsh_kashyap_steelworks_in/IQBj_KHsku8zT6ii9uon8h7UAdrXK1W9RtUjvntXXz2Zs_M?e=0PfIGk" xr:uid="{2EEC9187-FA56-43F7-90BF-EF6BE624F492}"/>
    <hyperlink ref="AL14" r:id="rId3" display="https://steelworkspower-my.sharepoint.com/:b:/g/personal/utkarsh_kashyap_steelworks_in/IQAHrV8I8XImQq5O4nuYFviFAQe9kLvmFikZA_5IjBjDgQ4?e=eZvpM8" xr:uid="{A7B359A7-1671-4EA2-A454-4F2BD0D28C7C}"/>
    <hyperlink ref="AL12" r:id="rId4" display="https://steelworkspower-my.sharepoint.com/:b:/g/personal/utkarsh_kashyap_steelworks_in/IQAKYkqa6SpCSq-9naKniZkXAbX1VFyPPdr7D8MiF1MO3Og?e=fK77Gx" xr:uid="{F21C7F99-A1F9-4260-88B0-353849EB64D8}"/>
    <hyperlink ref="H2" r:id="rId5" xr:uid="{25EA9C94-A85A-4638-9A5F-EE637445ABD5}"/>
    <hyperlink ref="H3" r:id="rId6" xr:uid="{7A7702CB-E9F5-450F-95F7-DFFEEB39FDB7}"/>
    <hyperlink ref="H4" r:id="rId7" xr:uid="{41CA229E-0B73-47C4-9A9B-2EBE4F2DECC1}"/>
    <hyperlink ref="H5" r:id="rId8" xr:uid="{50AA91D5-B662-4C16-B7E5-6EDD608E131C}"/>
    <hyperlink ref="H6" r:id="rId9" xr:uid="{FAF478A3-5E84-4206-ADAA-B248424EDDD7}"/>
    <hyperlink ref="H7" r:id="rId10" xr:uid="{E6884203-9E9C-409E-9A2C-8C0D2A543757}"/>
    <hyperlink ref="H8" r:id="rId11" xr:uid="{9BB33A22-BC7B-41E3-BA4E-3142B44DEA69}"/>
    <hyperlink ref="H9" r:id="rId12" xr:uid="{9050F3FA-7342-4FE4-90F6-B5944CFA51FF}"/>
    <hyperlink ref="H10" r:id="rId13" xr:uid="{7028C4E9-0515-4922-BE4C-513DDBAD74AA}"/>
    <hyperlink ref="H11" r:id="rId14" xr:uid="{BD7A647D-B306-4509-AF3F-3C98FFCADFFD}"/>
    <hyperlink ref="H12" r:id="rId15" xr:uid="{F878BBDB-9B92-4CA7-A61D-A928EBF14B58}"/>
    <hyperlink ref="H13" r:id="rId16" xr:uid="{8840A6BF-6451-46A7-9A36-A6CE1C2D1605}"/>
    <hyperlink ref="H14" r:id="rId17" xr:uid="{07836BD7-33A4-4214-A8E4-22F9F56E092D}"/>
    <hyperlink ref="H15" r:id="rId18" xr:uid="{49B9185B-6CE8-40E0-BF09-E87618A76C1B}"/>
    <hyperlink ref="H16" r:id="rId19" xr:uid="{B6AA00EF-DF46-44F7-83AD-AE361D344EB8}"/>
    <hyperlink ref="Q2" r:id="rId20" xr:uid="{D0453FD2-7721-45D0-A573-BCEAC031955C}"/>
    <hyperlink ref="Q3" r:id="rId21" xr:uid="{EBA00F13-3421-41CA-99D4-B9BE51ED2EAA}"/>
    <hyperlink ref="Q4" r:id="rId22" xr:uid="{0C222B09-E88C-46C0-BF35-8BF4117E646A}"/>
    <hyperlink ref="Q5" r:id="rId23" xr:uid="{BAC8BC6B-67E3-4D20-82A3-A16A44CE817C}"/>
    <hyperlink ref="Q6" r:id="rId24" xr:uid="{DF284A0E-9061-4202-B43E-099F0449E331}"/>
    <hyperlink ref="Q7" r:id="rId25" xr:uid="{2A7F309F-610A-4B38-BD84-62CF1F00B891}"/>
    <hyperlink ref="Q8" r:id="rId26" xr:uid="{D11A0CDD-B8DD-4C07-96E7-EF91D470EA90}"/>
    <hyperlink ref="Q9" r:id="rId27" xr:uid="{6B254499-68E3-4BED-A3AA-60BEDB608509}"/>
    <hyperlink ref="Q10" r:id="rId28" xr:uid="{0E6FFBB4-FD0D-4A0B-9806-BDC5D973D13F}"/>
    <hyperlink ref="Q11" r:id="rId29" xr:uid="{8B5664F8-BA34-437D-88C0-A1B30A18A3B9}"/>
    <hyperlink ref="Q12" r:id="rId30" xr:uid="{0F784417-F6D8-4C77-B1F9-F83F79A387FA}"/>
    <hyperlink ref="Q13" r:id="rId31" xr:uid="{9D4D9C22-6F05-42EC-B053-97FC303A17A5}"/>
    <hyperlink ref="Q14" r:id="rId32" xr:uid="{9600A31A-CEE7-4734-BD59-E562158D94B8}"/>
    <hyperlink ref="Q15" r:id="rId33" xr:uid="{50C70629-A3F9-4799-AC61-23515A164D35}"/>
    <hyperlink ref="Q16" r:id="rId34" xr:uid="{60351D5B-9E7C-4A5A-8DD0-74FB8A34A217}"/>
  </hyperlinks>
  <pageMargins left="0.7" right="0.7" top="0.75" bottom="0.75" header="0.3" footer="0.3"/>
  <pageSetup paperSize="9" orientation="portrait" verticalDpi="0" r:id="rId35"/>
  <legacyDrawing r:id="rId3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9BEB9-B721-40E1-9ABD-FF17774B33A8}">
  <sheetPr codeName="Sheet1"/>
  <dimension ref="A1:M10000"/>
  <sheetViews>
    <sheetView showGridLines="0" zoomScale="80" zoomScaleNormal="80" workbookViewId="0">
      <selection activeCell="C5" sqref="C5"/>
    </sheetView>
  </sheetViews>
  <sheetFormatPr defaultColWidth="9.140625" defaultRowHeight="15" x14ac:dyDescent="0.25"/>
  <cols>
    <col min="1" max="1" width="20.85546875" style="9" customWidth="1"/>
    <col min="2" max="2" width="25.140625" bestFit="1" customWidth="1"/>
    <col min="3" max="3" width="15.7109375" customWidth="1"/>
    <col min="4" max="4" width="32.7109375" customWidth="1"/>
    <col min="5" max="5" width="14.7109375" style="8" customWidth="1"/>
    <col min="6" max="6" width="16.7109375" style="2" customWidth="1"/>
    <col min="7" max="7" width="12.7109375" style="11" customWidth="1"/>
    <col min="8" max="10" width="12.7109375" style="10" customWidth="1"/>
    <col min="11" max="11" width="5.5703125" bestFit="1" customWidth="1"/>
    <col min="12" max="12" width="10.85546875" bestFit="1" customWidth="1"/>
  </cols>
  <sheetData>
    <row r="1" spans="1:13" s="7" customFormat="1" ht="15" customHeight="1" thickTop="1" x14ac:dyDescent="0.25">
      <c r="A1" s="157" t="s">
        <v>295</v>
      </c>
      <c r="B1" s="158"/>
      <c r="C1" s="161" t="s">
        <v>358</v>
      </c>
      <c r="D1" s="162"/>
      <c r="E1" s="162"/>
      <c r="F1" s="162"/>
      <c r="G1" s="162"/>
      <c r="H1" s="163"/>
      <c r="I1" s="60"/>
      <c r="J1" s="59"/>
    </row>
    <row r="2" spans="1:13" ht="15" customHeight="1" thickBot="1" x14ac:dyDescent="0.3">
      <c r="A2" s="159"/>
      <c r="B2" s="160"/>
      <c r="C2" s="164"/>
      <c r="D2" s="165"/>
      <c r="E2" s="165"/>
      <c r="F2" s="165"/>
      <c r="G2" s="165"/>
      <c r="H2" s="166"/>
      <c r="I2" s="60"/>
      <c r="J2" s="63"/>
      <c r="K2" s="64">
        <v>2026</v>
      </c>
      <c r="L2" s="64" t="s">
        <v>296</v>
      </c>
      <c r="M2" s="8"/>
    </row>
    <row r="3" spans="1:13" s="7" customFormat="1" ht="15.75" thickTop="1" x14ac:dyDescent="0.25">
      <c r="A3" s="16"/>
      <c r="B3" s="13"/>
      <c r="C3" s="19" t="s">
        <v>297</v>
      </c>
      <c r="D3" s="20" t="s">
        <v>298</v>
      </c>
      <c r="E3" s="20" t="s">
        <v>299</v>
      </c>
      <c r="F3" s="21" t="s">
        <v>300</v>
      </c>
      <c r="G3" s="21" t="s">
        <v>301</v>
      </c>
      <c r="H3" s="58" t="s">
        <v>302</v>
      </c>
      <c r="I3" s="61"/>
      <c r="J3" s="65"/>
      <c r="K3" s="64">
        <v>2027</v>
      </c>
      <c r="L3" s="64" t="s">
        <v>303</v>
      </c>
      <c r="M3" s="65"/>
    </row>
    <row r="4" spans="1:13" ht="20.100000000000001" customHeight="1" x14ac:dyDescent="0.25">
      <c r="A4" s="17"/>
      <c r="B4" s="53" t="s">
        <v>349</v>
      </c>
      <c r="E4"/>
      <c r="F4"/>
      <c r="G4"/>
      <c r="H4"/>
      <c r="I4" s="62"/>
      <c r="J4" s="66"/>
      <c r="K4" s="64">
        <v>2028</v>
      </c>
      <c r="L4" s="64" t="s">
        <v>304</v>
      </c>
      <c r="M4" s="8"/>
    </row>
    <row r="5" spans="1:13" ht="20.100000000000001" customHeight="1" x14ac:dyDescent="0.25">
      <c r="A5" s="56"/>
      <c r="B5" s="13"/>
      <c r="E5"/>
      <c r="F5"/>
      <c r="G5"/>
      <c r="H5"/>
      <c r="I5" s="62"/>
      <c r="J5" s="66"/>
      <c r="K5" s="64">
        <v>2029</v>
      </c>
      <c r="L5" s="64" t="s">
        <v>305</v>
      </c>
      <c r="M5" s="8"/>
    </row>
    <row r="6" spans="1:13" ht="20.100000000000001" customHeight="1" x14ac:dyDescent="0.25">
      <c r="A6" s="57" t="s">
        <v>306</v>
      </c>
      <c r="B6" s="55"/>
      <c r="E6"/>
      <c r="F6"/>
      <c r="G6"/>
      <c r="H6"/>
      <c r="I6" s="62"/>
      <c r="J6" s="66"/>
      <c r="K6" s="64">
        <v>2030</v>
      </c>
      <c r="L6" s="64" t="s">
        <v>307</v>
      </c>
      <c r="M6" s="8"/>
    </row>
    <row r="7" spans="1:13" ht="20.100000000000001" customHeight="1" x14ac:dyDescent="0.25">
      <c r="A7" s="56"/>
      <c r="B7" s="55"/>
      <c r="E7"/>
      <c r="F7"/>
      <c r="G7"/>
      <c r="H7"/>
      <c r="I7" s="62"/>
      <c r="J7" s="66"/>
      <c r="K7" s="67"/>
      <c r="L7" s="64" t="s">
        <v>308</v>
      </c>
      <c r="M7" s="8"/>
    </row>
    <row r="8" spans="1:13" ht="20.100000000000001" customHeight="1" x14ac:dyDescent="0.25">
      <c r="A8" s="16"/>
      <c r="B8" s="55"/>
      <c r="E8"/>
      <c r="F8"/>
      <c r="G8"/>
      <c r="H8"/>
      <c r="I8" s="62"/>
      <c r="J8" s="66"/>
      <c r="K8" s="67"/>
      <c r="L8" s="64" t="s">
        <v>309</v>
      </c>
      <c r="M8" s="8"/>
    </row>
    <row r="9" spans="1:13" ht="20.100000000000001" customHeight="1" x14ac:dyDescent="0.25">
      <c r="A9" s="56"/>
      <c r="B9" s="55"/>
      <c r="E9"/>
      <c r="F9"/>
      <c r="G9"/>
      <c r="H9"/>
      <c r="I9" s="62"/>
      <c r="J9" s="66"/>
      <c r="K9" s="67"/>
      <c r="L9" s="64" t="s">
        <v>310</v>
      </c>
      <c r="M9" s="8"/>
    </row>
    <row r="10" spans="1:13" ht="20.100000000000001" customHeight="1" x14ac:dyDescent="0.25">
      <c r="A10" s="56"/>
      <c r="B10" s="55"/>
      <c r="E10"/>
      <c r="F10"/>
      <c r="G10"/>
      <c r="H10"/>
      <c r="I10" s="62"/>
      <c r="J10" s="66"/>
      <c r="K10" s="67"/>
      <c r="L10" s="64" t="s">
        <v>311</v>
      </c>
      <c r="M10" s="8"/>
    </row>
    <row r="11" spans="1:13" ht="20.100000000000001" customHeight="1" x14ac:dyDescent="0.25">
      <c r="A11" s="56"/>
      <c r="B11" s="55"/>
      <c r="E11"/>
      <c r="F11"/>
      <c r="G11"/>
      <c r="H11"/>
      <c r="I11" s="62"/>
      <c r="J11" s="66"/>
      <c r="K11" s="67"/>
      <c r="L11" s="64" t="s">
        <v>312</v>
      </c>
      <c r="M11" s="8"/>
    </row>
    <row r="12" spans="1:13" ht="20.100000000000001" customHeight="1" x14ac:dyDescent="0.25">
      <c r="A12" s="68" t="s">
        <v>313</v>
      </c>
      <c r="B12" s="69"/>
      <c r="E12"/>
      <c r="F12"/>
      <c r="G12"/>
      <c r="H12"/>
      <c r="I12" s="62"/>
      <c r="J12" s="66"/>
      <c r="K12" s="67"/>
      <c r="L12" s="64" t="s">
        <v>314</v>
      </c>
      <c r="M12" s="8"/>
    </row>
    <row r="13" spans="1:13" ht="20.100000000000001" customHeight="1" x14ac:dyDescent="0.25">
      <c r="A13" s="70"/>
      <c r="B13" s="69"/>
      <c r="E13"/>
      <c r="F13"/>
      <c r="G13"/>
      <c r="H13"/>
      <c r="I13" s="62"/>
      <c r="J13" s="66"/>
      <c r="K13" s="67"/>
      <c r="L13" s="64" t="s">
        <v>315</v>
      </c>
      <c r="M13" s="8"/>
    </row>
    <row r="14" spans="1:13" ht="20.100000000000001" customHeight="1" x14ac:dyDescent="0.25">
      <c r="A14" s="71"/>
      <c r="B14" s="69"/>
      <c r="E14"/>
      <c r="F14"/>
      <c r="G14"/>
      <c r="H14"/>
      <c r="I14" s="62"/>
      <c r="J14" s="66"/>
      <c r="K14" s="67"/>
      <c r="L14" s="64" t="s">
        <v>296</v>
      </c>
      <c r="M14" s="8"/>
    </row>
    <row r="15" spans="1:13" ht="20.100000000000001" customHeight="1" x14ac:dyDescent="0.25">
      <c r="A15" s="70"/>
      <c r="B15" s="69"/>
      <c r="E15"/>
      <c r="F15"/>
      <c r="G15"/>
      <c r="H15"/>
      <c r="I15" s="62"/>
      <c r="J15" s="66"/>
      <c r="K15" s="67"/>
      <c r="L15" s="64" t="s">
        <v>303</v>
      </c>
      <c r="M15" s="8"/>
    </row>
    <row r="16" spans="1:13" ht="20.100000000000001" customHeight="1" x14ac:dyDescent="0.25">
      <c r="A16" s="71"/>
      <c r="B16" s="69"/>
      <c r="E16"/>
      <c r="F16"/>
      <c r="G16"/>
      <c r="H16"/>
      <c r="I16" s="18"/>
      <c r="J16"/>
    </row>
    <row r="17" spans="1:10" ht="20.100000000000001" customHeight="1" x14ac:dyDescent="0.25">
      <c r="A17" s="71"/>
      <c r="B17" s="69"/>
      <c r="E17"/>
      <c r="F17"/>
      <c r="G17"/>
      <c r="H17"/>
      <c r="I17" s="18"/>
      <c r="J17"/>
    </row>
    <row r="18" spans="1:10" ht="20.100000000000001" customHeight="1" x14ac:dyDescent="0.25">
      <c r="A18" s="71"/>
      <c r="B18" s="69"/>
      <c r="E18"/>
      <c r="F18"/>
      <c r="G18"/>
      <c r="H18"/>
      <c r="I18" s="18"/>
      <c r="J18"/>
    </row>
    <row r="19" spans="1:10" ht="20.100000000000001" customHeight="1" x14ac:dyDescent="0.25">
      <c r="A19" s="71"/>
      <c r="B19" s="69"/>
      <c r="E19"/>
      <c r="F19"/>
      <c r="G19"/>
      <c r="H19"/>
      <c r="I19" s="18"/>
      <c r="J19"/>
    </row>
    <row r="20" spans="1:10" ht="20.100000000000001" customHeight="1" x14ac:dyDescent="0.25">
      <c r="A20" s="71"/>
      <c r="B20" s="69"/>
      <c r="E20"/>
      <c r="F20"/>
      <c r="G20"/>
      <c r="H20"/>
      <c r="I20" s="18"/>
      <c r="J20"/>
    </row>
    <row r="21" spans="1:10" ht="20.100000000000001" customHeight="1" x14ac:dyDescent="0.25">
      <c r="A21" s="68" t="s">
        <v>316</v>
      </c>
      <c r="B21" s="72"/>
      <c r="E21"/>
      <c r="F21"/>
      <c r="G21"/>
      <c r="H21"/>
      <c r="I21" s="18"/>
      <c r="J21"/>
    </row>
    <row r="22" spans="1:10" ht="20.100000000000001" customHeight="1" x14ac:dyDescent="0.25">
      <c r="A22" s="70"/>
      <c r="B22" s="72"/>
      <c r="E22"/>
      <c r="F22"/>
      <c r="G22"/>
      <c r="H22"/>
      <c r="I22" s="18"/>
      <c r="J22"/>
    </row>
    <row r="23" spans="1:10" ht="20.100000000000001" customHeight="1" x14ac:dyDescent="0.25">
      <c r="A23" s="70"/>
      <c r="B23" s="73"/>
      <c r="E23"/>
      <c r="F23"/>
      <c r="G23"/>
      <c r="H23"/>
      <c r="I23" s="18"/>
      <c r="J23"/>
    </row>
    <row r="24" spans="1:10" ht="20.100000000000001" customHeight="1" x14ac:dyDescent="0.25">
      <c r="A24" s="70"/>
      <c r="B24" s="72"/>
      <c r="E24"/>
      <c r="F24"/>
      <c r="G24"/>
      <c r="H24"/>
      <c r="I24" s="18"/>
      <c r="J24"/>
    </row>
    <row r="25" spans="1:10" ht="20.100000000000001" customHeight="1" x14ac:dyDescent="0.25">
      <c r="A25" s="70"/>
      <c r="B25" s="73"/>
      <c r="E25"/>
      <c r="F25"/>
      <c r="G25"/>
      <c r="H25"/>
      <c r="I25" s="18"/>
      <c r="J25"/>
    </row>
    <row r="26" spans="1:10" ht="20.100000000000001" customHeight="1" x14ac:dyDescent="0.25">
      <c r="A26" s="70"/>
      <c r="B26" s="72"/>
      <c r="E26"/>
      <c r="F26"/>
      <c r="G26"/>
      <c r="H26"/>
      <c r="I26" s="18"/>
      <c r="J26"/>
    </row>
    <row r="27" spans="1:10" ht="20.100000000000001" customHeight="1" x14ac:dyDescent="0.25">
      <c r="A27" s="70"/>
      <c r="B27" s="74"/>
      <c r="E27"/>
      <c r="F27"/>
      <c r="G27"/>
      <c r="H27"/>
      <c r="I27" s="18"/>
      <c r="J27"/>
    </row>
    <row r="28" spans="1:10" ht="20.100000000000001" customHeight="1" x14ac:dyDescent="0.25">
      <c r="A28" s="70"/>
      <c r="B28" s="75"/>
      <c r="E28"/>
      <c r="F28"/>
      <c r="G28"/>
      <c r="H28"/>
      <c r="I28" s="18"/>
      <c r="J28"/>
    </row>
    <row r="29" spans="1:10" ht="20.100000000000001" customHeight="1" x14ac:dyDescent="0.25">
      <c r="A29" s="70"/>
      <c r="B29" s="74"/>
      <c r="E29"/>
      <c r="F29"/>
      <c r="G29"/>
      <c r="H29"/>
      <c r="I29" s="18"/>
      <c r="J29"/>
    </row>
    <row r="30" spans="1:10" ht="20.100000000000001" customHeight="1" thickBot="1" x14ac:dyDescent="0.3">
      <c r="A30" s="70"/>
      <c r="B30" s="74"/>
      <c r="E30"/>
      <c r="F30"/>
      <c r="G30"/>
      <c r="H30"/>
      <c r="I30" s="18"/>
      <c r="J30"/>
    </row>
    <row r="31" spans="1:10" ht="20.100000000000001" customHeight="1" thickTop="1" x14ac:dyDescent="0.25">
      <c r="A31" s="153" t="s">
        <v>317</v>
      </c>
      <c r="B31" s="154"/>
      <c r="C31" s="155"/>
      <c r="D31" s="156"/>
      <c r="E31" s="137"/>
      <c r="F31" s="137"/>
      <c r="G31" s="138"/>
      <c r="H31" s="138"/>
      <c r="I31" s="18"/>
      <c r="J31"/>
    </row>
    <row r="32" spans="1:10" ht="20.100000000000001" customHeight="1" x14ac:dyDescent="0.25">
      <c r="A32" s="140" t="s">
        <v>336</v>
      </c>
      <c r="B32" s="141" t="s">
        <v>332</v>
      </c>
      <c r="C32" s="147" t="s">
        <v>165</v>
      </c>
      <c r="D32" s="148" t="s">
        <v>166</v>
      </c>
      <c r="E32" s="167" t="s">
        <v>350</v>
      </c>
      <c r="F32" s="168"/>
      <c r="G32" s="168"/>
      <c r="H32" s="169"/>
      <c r="I32" s="18"/>
      <c r="J32"/>
    </row>
    <row r="33" spans="1:10" ht="20.100000000000001" customHeight="1" x14ac:dyDescent="0.25">
      <c r="A33" s="140" t="s">
        <v>336</v>
      </c>
      <c r="B33" s="141" t="s">
        <v>332</v>
      </c>
      <c r="C33" s="147" t="s">
        <v>171</v>
      </c>
      <c r="D33" s="148" t="s">
        <v>172</v>
      </c>
      <c r="E33" s="149" t="s">
        <v>10</v>
      </c>
      <c r="F33" s="150"/>
      <c r="G33" s="150"/>
      <c r="H33" s="139" t="s">
        <v>351</v>
      </c>
      <c r="I33" s="18"/>
      <c r="J33"/>
    </row>
    <row r="34" spans="1:10" ht="20.100000000000001" customHeight="1" x14ac:dyDescent="0.25">
      <c r="A34" s="140" t="s">
        <v>335</v>
      </c>
      <c r="B34" s="141" t="s">
        <v>332</v>
      </c>
      <c r="C34" s="147" t="s">
        <v>289</v>
      </c>
      <c r="D34" s="148" t="s">
        <v>290</v>
      </c>
      <c r="E34" s="151"/>
      <c r="F34" s="152"/>
      <c r="G34" s="152"/>
      <c r="H34" s="85" t="s">
        <v>357</v>
      </c>
      <c r="I34" s="18"/>
      <c r="J34"/>
    </row>
    <row r="35" spans="1:10" ht="20.100000000000001" customHeight="1" thickBot="1" x14ac:dyDescent="0.3">
      <c r="A35" s="142"/>
      <c r="B35" s="143"/>
      <c r="C35" s="144"/>
      <c r="D35" s="145"/>
      <c r="E35" s="86"/>
      <c r="F35" s="86"/>
      <c r="G35" s="87"/>
      <c r="H35" s="87"/>
      <c r="I35" s="18"/>
      <c r="J35"/>
    </row>
    <row r="36" spans="1:10" ht="20.100000000000001" customHeight="1" thickTop="1" x14ac:dyDescent="0.25">
      <c r="A36" s="146"/>
      <c r="B36" s="141"/>
      <c r="C36" s="147"/>
      <c r="D36" s="147"/>
      <c r="E36" s="84"/>
      <c r="F36" s="84"/>
      <c r="G36" s="85"/>
      <c r="H36" s="85"/>
      <c r="I36" s="1"/>
      <c r="J36" s="1"/>
    </row>
    <row r="37" spans="1:10" ht="20.100000000000001" customHeight="1" x14ac:dyDescent="0.25">
      <c r="A37" s="146"/>
      <c r="B37" s="141"/>
      <c r="C37" s="147"/>
      <c r="D37" s="147"/>
      <c r="E37" s="84"/>
      <c r="F37" s="84"/>
      <c r="G37" s="85"/>
      <c r="H37" s="85"/>
      <c r="I37" s="1"/>
      <c r="J37" s="1"/>
    </row>
    <row r="38" spans="1:10" ht="20.100000000000001" customHeight="1" x14ac:dyDescent="0.25">
      <c r="C38" s="54"/>
      <c r="D38" s="54"/>
      <c r="E38" s="54"/>
      <c r="F38" s="54"/>
      <c r="G38" s="1"/>
      <c r="H38" s="1"/>
      <c r="I38" s="1"/>
      <c r="J38" s="1"/>
    </row>
    <row r="39" spans="1:10" ht="20.100000000000001" customHeight="1" x14ac:dyDescent="0.25">
      <c r="C39" s="54"/>
      <c r="D39" s="54"/>
      <c r="E39" s="54"/>
      <c r="F39" s="54"/>
      <c r="G39" s="1"/>
      <c r="H39" s="1"/>
      <c r="I39" s="1"/>
      <c r="J39" s="1"/>
    </row>
    <row r="40" spans="1:10" ht="20.100000000000001" customHeight="1" x14ac:dyDescent="0.25">
      <c r="C40" s="54"/>
      <c r="D40" s="14"/>
      <c r="E40" s="14"/>
      <c r="F40" s="14"/>
      <c r="G40" s="15"/>
      <c r="H40" s="15"/>
      <c r="I40" s="15"/>
      <c r="J40" s="15"/>
    </row>
    <row r="41" spans="1:10" ht="20.100000000000001" customHeight="1" x14ac:dyDescent="0.25">
      <c r="C41" s="54"/>
      <c r="D41" s="14"/>
      <c r="E41" s="14"/>
      <c r="F41" s="14"/>
      <c r="G41" s="15"/>
      <c r="H41" s="15"/>
      <c r="I41" s="15"/>
      <c r="J41" s="15"/>
    </row>
    <row r="42" spans="1:10" ht="20.100000000000001" customHeight="1" x14ac:dyDescent="0.25">
      <c r="C42" s="54"/>
      <c r="D42" s="14"/>
      <c r="E42" s="14"/>
      <c r="F42" s="14"/>
      <c r="G42" s="15"/>
      <c r="H42" s="15"/>
      <c r="I42" s="15"/>
      <c r="J42" s="15"/>
    </row>
    <row r="43" spans="1:10" ht="20.100000000000001" customHeight="1" x14ac:dyDescent="0.25">
      <c r="C43" s="54"/>
      <c r="D43" s="14"/>
      <c r="E43" s="14"/>
      <c r="F43" s="14"/>
      <c r="G43" s="15"/>
      <c r="H43" s="15"/>
      <c r="I43" s="15"/>
      <c r="J43" s="15"/>
    </row>
    <row r="44" spans="1:10" ht="20.100000000000001" customHeight="1" x14ac:dyDescent="0.25">
      <c r="C44" s="54"/>
      <c r="D44" s="14"/>
      <c r="E44" s="14"/>
      <c r="F44" s="14"/>
      <c r="G44" s="15"/>
      <c r="H44" s="15"/>
      <c r="I44" s="15"/>
      <c r="J44" s="15"/>
    </row>
    <row r="45" spans="1:10" ht="20.100000000000001" customHeight="1" x14ac:dyDescent="0.25">
      <c r="C45" s="54"/>
      <c r="D45" s="14"/>
      <c r="E45" s="14"/>
      <c r="F45" s="14"/>
      <c r="G45" s="15"/>
      <c r="H45" s="15"/>
      <c r="I45" s="15"/>
      <c r="J45" s="15"/>
    </row>
    <row r="46" spans="1:10" ht="20.100000000000001" customHeight="1" x14ac:dyDescent="0.25">
      <c r="C46" s="14"/>
      <c r="D46" s="14"/>
      <c r="E46" s="14"/>
      <c r="F46" s="14"/>
      <c r="G46" s="15"/>
      <c r="H46" s="15"/>
      <c r="I46" s="15"/>
      <c r="J46" s="15"/>
    </row>
    <row r="47" spans="1:10" ht="20.100000000000001" customHeight="1" x14ac:dyDescent="0.25">
      <c r="C47" s="14"/>
      <c r="D47" s="14"/>
      <c r="E47" s="14"/>
      <c r="F47" s="14"/>
      <c r="G47" s="15"/>
      <c r="H47" s="15"/>
      <c r="I47" s="15"/>
      <c r="J47" s="15"/>
    </row>
    <row r="48" spans="1:10" ht="20.100000000000001" customHeight="1" x14ac:dyDescent="0.25">
      <c r="C48" s="14"/>
      <c r="D48" s="14"/>
      <c r="E48" s="14"/>
      <c r="F48" s="14"/>
      <c r="G48" s="15"/>
      <c r="H48" s="15"/>
      <c r="I48" s="15"/>
      <c r="J48" s="15"/>
    </row>
    <row r="49" spans="3:10" ht="20.100000000000001" customHeight="1" x14ac:dyDescent="0.25">
      <c r="C49" s="14"/>
      <c r="D49" s="14"/>
      <c r="E49" s="14"/>
      <c r="F49" s="14"/>
      <c r="G49" s="15"/>
      <c r="H49" s="15"/>
      <c r="I49" s="15"/>
      <c r="J49" s="15"/>
    </row>
    <row r="50" spans="3:10" ht="20.100000000000001" customHeight="1" x14ac:dyDescent="0.25">
      <c r="C50" s="14"/>
      <c r="D50" s="14"/>
      <c r="E50" s="14"/>
      <c r="F50" s="14"/>
      <c r="G50" s="15"/>
      <c r="H50" s="15"/>
      <c r="I50" s="15"/>
      <c r="J50" s="15"/>
    </row>
    <row r="51" spans="3:10" ht="20.100000000000001" customHeight="1" x14ac:dyDescent="0.25">
      <c r="C51" s="14"/>
      <c r="D51" s="14"/>
      <c r="E51" s="14"/>
      <c r="F51" s="14"/>
      <c r="G51" s="15"/>
      <c r="H51" s="15"/>
      <c r="I51" s="15"/>
      <c r="J51" s="15"/>
    </row>
    <row r="52" spans="3:10" ht="20.100000000000001" customHeight="1" x14ac:dyDescent="0.25">
      <c r="C52" s="14"/>
      <c r="D52" s="14"/>
      <c r="E52" s="14"/>
      <c r="F52" s="14"/>
      <c r="G52" s="15"/>
      <c r="H52" s="15"/>
      <c r="I52" s="15"/>
      <c r="J52" s="15"/>
    </row>
    <row r="53" spans="3:10" ht="20.100000000000001" customHeight="1" x14ac:dyDescent="0.25">
      <c r="C53" s="14"/>
      <c r="D53" s="14"/>
      <c r="E53" s="14"/>
      <c r="F53" s="14"/>
      <c r="G53" s="15"/>
      <c r="H53" s="15"/>
      <c r="I53" s="15"/>
      <c r="J53" s="15"/>
    </row>
    <row r="54" spans="3:10" ht="20.100000000000001" customHeight="1" x14ac:dyDescent="0.25">
      <c r="C54" s="14"/>
      <c r="D54" s="14"/>
      <c r="E54" s="14"/>
      <c r="F54" s="14"/>
      <c r="G54" s="15"/>
      <c r="H54" s="15"/>
      <c r="I54" s="15"/>
      <c r="J54" s="15"/>
    </row>
    <row r="55" spans="3:10" ht="20.100000000000001" customHeight="1" x14ac:dyDescent="0.25">
      <c r="C55" s="14"/>
      <c r="D55" s="14"/>
      <c r="E55" s="14"/>
      <c r="F55" s="14"/>
      <c r="G55" s="15"/>
      <c r="H55" s="15"/>
      <c r="I55" s="15"/>
      <c r="J55" s="15"/>
    </row>
    <row r="56" spans="3:10" ht="20.100000000000001" customHeight="1" x14ac:dyDescent="0.25">
      <c r="C56" s="14"/>
      <c r="D56" s="14"/>
      <c r="E56" s="14"/>
      <c r="F56" s="14"/>
      <c r="G56" s="15"/>
      <c r="H56" s="15"/>
      <c r="I56" s="15"/>
      <c r="J56" s="15"/>
    </row>
    <row r="57" spans="3:10" ht="20.100000000000001" customHeight="1" x14ac:dyDescent="0.25">
      <c r="C57" s="14"/>
      <c r="D57" s="14"/>
      <c r="E57" s="14"/>
      <c r="F57" s="14"/>
      <c r="G57" s="15"/>
      <c r="H57" s="15"/>
      <c r="I57" s="15"/>
      <c r="J57" s="15"/>
    </row>
    <row r="58" spans="3:10" ht="20.100000000000001" customHeight="1" x14ac:dyDescent="0.25">
      <c r="C58" s="14"/>
      <c r="D58" s="14"/>
      <c r="E58" s="14"/>
      <c r="F58" s="14"/>
      <c r="G58" s="15"/>
      <c r="H58" s="15"/>
      <c r="I58" s="15"/>
      <c r="J58" s="15"/>
    </row>
    <row r="59" spans="3:10" ht="20.100000000000001" customHeight="1" x14ac:dyDescent="0.25">
      <c r="C59" s="14"/>
      <c r="D59" s="14"/>
      <c r="E59" s="14"/>
      <c r="F59" s="14"/>
      <c r="G59" s="15"/>
      <c r="H59" s="15"/>
      <c r="I59" s="15"/>
      <c r="J59" s="15"/>
    </row>
    <row r="60" spans="3:10" ht="20.100000000000001" customHeight="1" x14ac:dyDescent="0.25">
      <c r="C60" s="14"/>
      <c r="D60" s="14"/>
      <c r="E60" s="14"/>
      <c r="F60" s="14"/>
      <c r="G60" s="15"/>
      <c r="H60" s="15"/>
      <c r="I60" s="15"/>
      <c r="J60" s="15"/>
    </row>
    <row r="61" spans="3:10" ht="20.100000000000001" customHeight="1" x14ac:dyDescent="0.25">
      <c r="C61" s="14"/>
      <c r="D61" s="14"/>
      <c r="E61" s="14"/>
      <c r="F61" s="14"/>
      <c r="G61" s="15"/>
      <c r="H61" s="15"/>
      <c r="I61" s="15"/>
      <c r="J61" s="15"/>
    </row>
    <row r="62" spans="3:10" ht="20.100000000000001" customHeight="1" x14ac:dyDescent="0.25">
      <c r="C62" s="14"/>
      <c r="D62" s="14"/>
      <c r="E62" s="14"/>
      <c r="F62" s="14"/>
      <c r="G62" s="15"/>
      <c r="H62" s="15"/>
      <c r="I62" s="15"/>
      <c r="J62" s="15"/>
    </row>
    <row r="63" spans="3:10" ht="20.100000000000001" customHeight="1" x14ac:dyDescent="0.25">
      <c r="C63" s="14"/>
      <c r="D63" s="14"/>
      <c r="E63" s="14"/>
      <c r="F63" s="14"/>
      <c r="G63" s="15"/>
      <c r="H63" s="15"/>
      <c r="I63" s="15"/>
      <c r="J63" s="15"/>
    </row>
    <row r="64" spans="3:10" ht="20.100000000000001" customHeight="1" x14ac:dyDescent="0.25">
      <c r="C64" s="14"/>
      <c r="D64" s="14"/>
      <c r="E64" s="14"/>
      <c r="F64" s="14"/>
      <c r="G64" s="15"/>
      <c r="H64" s="15"/>
      <c r="I64" s="15"/>
      <c r="J64" s="15"/>
    </row>
    <row r="65" spans="3:10" ht="20.100000000000001" customHeight="1" x14ac:dyDescent="0.25">
      <c r="C65" s="14"/>
      <c r="D65" s="14"/>
      <c r="E65" s="14"/>
      <c r="F65" s="14"/>
      <c r="G65" s="15"/>
      <c r="H65" s="15"/>
      <c r="I65" s="15"/>
      <c r="J65" s="15"/>
    </row>
    <row r="66" spans="3:10" ht="20.100000000000001" customHeight="1" x14ac:dyDescent="0.25">
      <c r="C66" s="14"/>
      <c r="D66" s="14"/>
      <c r="E66" s="14"/>
      <c r="F66" s="14"/>
      <c r="G66" s="15"/>
      <c r="H66" s="15"/>
      <c r="I66" s="15"/>
      <c r="J66" s="15"/>
    </row>
    <row r="67" spans="3:10" ht="20.100000000000001" customHeight="1" x14ac:dyDescent="0.25">
      <c r="C67" s="14"/>
      <c r="D67" s="14"/>
      <c r="E67" s="14"/>
      <c r="F67" s="14"/>
      <c r="G67" s="15"/>
      <c r="H67" s="15"/>
      <c r="I67" s="15"/>
      <c r="J67" s="15"/>
    </row>
    <row r="68" spans="3:10" ht="20.100000000000001" customHeight="1" x14ac:dyDescent="0.25">
      <c r="C68" s="14"/>
      <c r="D68" s="14"/>
      <c r="E68" s="14"/>
      <c r="F68" s="14"/>
      <c r="G68" s="15"/>
      <c r="H68" s="15"/>
      <c r="I68" s="15"/>
      <c r="J68" s="15"/>
    </row>
    <row r="69" spans="3:10" ht="20.100000000000001" customHeight="1" x14ac:dyDescent="0.25">
      <c r="C69" s="14"/>
      <c r="D69" s="14"/>
      <c r="E69" s="14"/>
      <c r="F69" s="14"/>
      <c r="G69" s="15"/>
      <c r="H69" s="15"/>
      <c r="I69" s="15"/>
      <c r="J69" s="15"/>
    </row>
    <row r="70" spans="3:10" ht="20.100000000000001" customHeight="1" x14ac:dyDescent="0.25">
      <c r="C70" s="14"/>
      <c r="D70" s="14"/>
      <c r="E70" s="14"/>
      <c r="F70" s="14"/>
      <c r="G70" s="15"/>
      <c r="H70" s="15"/>
      <c r="I70" s="15"/>
      <c r="J70" s="15"/>
    </row>
    <row r="71" spans="3:10" ht="20.100000000000001" customHeight="1" x14ac:dyDescent="0.25">
      <c r="C71" s="14"/>
      <c r="D71" s="14"/>
      <c r="E71" s="14"/>
      <c r="F71" s="14"/>
      <c r="G71" s="15"/>
      <c r="H71" s="15"/>
      <c r="I71" s="15"/>
      <c r="J71" s="15"/>
    </row>
    <row r="72" spans="3:10" ht="20.100000000000001" customHeight="1" x14ac:dyDescent="0.25">
      <c r="C72" s="14"/>
      <c r="D72" s="14"/>
      <c r="E72" s="14"/>
      <c r="F72" s="14"/>
      <c r="G72" s="15"/>
      <c r="H72" s="15"/>
      <c r="I72" s="15"/>
      <c r="J72" s="15"/>
    </row>
    <row r="73" spans="3:10" ht="20.100000000000001" customHeight="1" x14ac:dyDescent="0.25">
      <c r="C73" s="14"/>
      <c r="D73" s="14"/>
      <c r="E73" s="14"/>
      <c r="F73" s="14"/>
      <c r="G73" s="15"/>
      <c r="H73" s="15"/>
      <c r="I73" s="15"/>
      <c r="J73" s="15"/>
    </row>
    <row r="74" spans="3:10" ht="20.100000000000001" customHeight="1" x14ac:dyDescent="0.25">
      <c r="C74" s="14"/>
      <c r="D74" s="14"/>
      <c r="E74" s="14"/>
      <c r="F74" s="14"/>
      <c r="G74" s="15"/>
      <c r="H74" s="15"/>
      <c r="I74" s="15"/>
      <c r="J74" s="15"/>
    </row>
    <row r="75" spans="3:10" ht="20.100000000000001" customHeight="1" x14ac:dyDescent="0.25">
      <c r="C75" s="14"/>
      <c r="D75" s="14"/>
      <c r="E75" s="14"/>
      <c r="F75" s="14"/>
      <c r="G75" s="15"/>
      <c r="H75" s="15"/>
      <c r="I75" s="15"/>
      <c r="J75" s="15"/>
    </row>
    <row r="76" spans="3:10" ht="20.100000000000001" customHeight="1" x14ac:dyDescent="0.25">
      <c r="C76" s="14"/>
      <c r="D76" s="14"/>
      <c r="E76" s="14"/>
      <c r="F76" s="14"/>
      <c r="G76" s="15"/>
      <c r="H76" s="15"/>
      <c r="I76" s="15"/>
      <c r="J76" s="15"/>
    </row>
    <row r="77" spans="3:10" ht="20.100000000000001" customHeight="1" x14ac:dyDescent="0.25">
      <c r="C77" s="14"/>
      <c r="D77" s="14"/>
      <c r="E77" s="14"/>
      <c r="F77" s="14"/>
      <c r="G77" s="15"/>
      <c r="H77" s="15"/>
      <c r="I77" s="15"/>
      <c r="J77" s="15"/>
    </row>
    <row r="78" spans="3:10" ht="20.100000000000001" customHeight="1" x14ac:dyDescent="0.25">
      <c r="C78" s="14"/>
      <c r="D78" s="14"/>
      <c r="E78" s="14"/>
      <c r="F78" s="14"/>
      <c r="G78" s="15"/>
      <c r="H78" s="15"/>
      <c r="I78" s="15"/>
      <c r="J78" s="15"/>
    </row>
    <row r="79" spans="3:10" ht="20.100000000000001" customHeight="1" x14ac:dyDescent="0.25">
      <c r="C79" s="14"/>
      <c r="D79" s="14"/>
      <c r="E79" s="14"/>
      <c r="F79" s="14"/>
      <c r="G79" s="15"/>
      <c r="H79" s="15"/>
      <c r="I79" s="15"/>
      <c r="J79" s="15"/>
    </row>
    <row r="80" spans="3:10" ht="20.100000000000001" customHeight="1" x14ac:dyDescent="0.25">
      <c r="C80" s="14"/>
      <c r="D80" s="14"/>
      <c r="E80" s="14"/>
      <c r="F80" s="14"/>
      <c r="G80" s="15"/>
      <c r="H80" s="15"/>
      <c r="I80" s="15"/>
      <c r="J80" s="15"/>
    </row>
    <row r="81" spans="3:10" ht="20.100000000000001" customHeight="1" x14ac:dyDescent="0.25">
      <c r="C81" s="14"/>
      <c r="D81" s="14"/>
      <c r="E81" s="14"/>
      <c r="F81" s="14"/>
      <c r="G81" s="15"/>
      <c r="H81" s="15"/>
      <c r="I81" s="15"/>
      <c r="J81" s="15"/>
    </row>
    <row r="82" spans="3:10" ht="20.100000000000001" customHeight="1" x14ac:dyDescent="0.25">
      <c r="C82" s="14"/>
      <c r="D82" s="14"/>
      <c r="E82" s="14"/>
      <c r="F82" s="14"/>
      <c r="G82" s="15"/>
      <c r="H82" s="15"/>
      <c r="I82" s="15"/>
      <c r="J82" s="15"/>
    </row>
    <row r="83" spans="3:10" ht="20.100000000000001" customHeight="1" x14ac:dyDescent="0.25">
      <c r="C83" s="14"/>
      <c r="D83" s="14"/>
      <c r="E83" s="14"/>
      <c r="F83" s="14"/>
      <c r="G83" s="15"/>
      <c r="H83" s="15"/>
      <c r="I83" s="15"/>
      <c r="J83" s="15"/>
    </row>
    <row r="84" spans="3:10" ht="20.100000000000001" customHeight="1" x14ac:dyDescent="0.25">
      <c r="C84" s="14"/>
      <c r="D84" s="14"/>
      <c r="E84" s="14"/>
      <c r="F84" s="14"/>
      <c r="G84" s="15"/>
      <c r="H84" s="15"/>
      <c r="I84" s="15"/>
      <c r="J84" s="15"/>
    </row>
    <row r="85" spans="3:10" ht="20.100000000000001" customHeight="1" x14ac:dyDescent="0.25">
      <c r="C85" s="14"/>
      <c r="D85" s="14"/>
      <c r="E85" s="14"/>
      <c r="F85" s="14"/>
      <c r="G85" s="15"/>
      <c r="H85" s="15"/>
      <c r="I85" s="15"/>
      <c r="J85" s="15"/>
    </row>
    <row r="86" spans="3:10" ht="20.100000000000001" customHeight="1" x14ac:dyDescent="0.25">
      <c r="C86" s="14"/>
      <c r="D86" s="14"/>
      <c r="E86" s="14"/>
      <c r="F86" s="14"/>
      <c r="G86" s="15"/>
      <c r="H86" s="15"/>
      <c r="I86" s="15"/>
      <c r="J86" s="15"/>
    </row>
    <row r="87" spans="3:10" ht="20.100000000000001" customHeight="1" x14ac:dyDescent="0.25">
      <c r="C87" s="14"/>
      <c r="D87" s="14"/>
      <c r="E87" s="14"/>
      <c r="F87" s="14"/>
      <c r="G87" s="15"/>
      <c r="H87" s="15"/>
      <c r="I87" s="15"/>
      <c r="J87" s="15"/>
    </row>
    <row r="88" spans="3:10" ht="20.100000000000001" customHeight="1" x14ac:dyDescent="0.25">
      <c r="C88" s="14"/>
      <c r="D88" s="14"/>
      <c r="E88" s="14"/>
      <c r="F88" s="14"/>
      <c r="G88" s="15"/>
      <c r="H88" s="15"/>
      <c r="I88" s="15"/>
      <c r="J88" s="15"/>
    </row>
    <row r="89" spans="3:10" ht="20.100000000000001" customHeight="1" x14ac:dyDescent="0.25">
      <c r="C89" s="14"/>
      <c r="D89" s="14"/>
      <c r="E89" s="14"/>
      <c r="F89" s="14"/>
      <c r="G89" s="15"/>
      <c r="H89" s="15"/>
      <c r="I89" s="15"/>
      <c r="J89" s="15"/>
    </row>
    <row r="90" spans="3:10" ht="20.100000000000001" customHeight="1" x14ac:dyDescent="0.25">
      <c r="C90" s="14"/>
      <c r="D90" s="14"/>
      <c r="E90" s="14"/>
      <c r="F90" s="14"/>
      <c r="G90" s="15"/>
      <c r="H90" s="15"/>
      <c r="I90" s="15"/>
      <c r="J90" s="15"/>
    </row>
    <row r="91" spans="3:10" ht="20.100000000000001" customHeight="1" x14ac:dyDescent="0.25">
      <c r="C91" s="14"/>
      <c r="D91" s="14"/>
      <c r="E91" s="14"/>
      <c r="F91" s="14"/>
      <c r="G91" s="15"/>
      <c r="H91" s="15"/>
      <c r="I91" s="15"/>
      <c r="J91" s="15"/>
    </row>
    <row r="92" spans="3:10" ht="20.100000000000001" customHeight="1" x14ac:dyDescent="0.25">
      <c r="C92" s="14"/>
      <c r="D92" s="14"/>
      <c r="E92" s="14"/>
      <c r="F92" s="14"/>
      <c r="G92" s="15"/>
      <c r="H92" s="15"/>
      <c r="I92" s="15"/>
      <c r="J92" s="15"/>
    </row>
    <row r="93" spans="3:10" ht="20.100000000000001" customHeight="1" x14ac:dyDescent="0.25">
      <c r="C93" s="14"/>
      <c r="D93" s="14"/>
      <c r="E93" s="14"/>
      <c r="F93" s="14"/>
      <c r="G93" s="15"/>
      <c r="H93" s="15"/>
      <c r="I93" s="15"/>
      <c r="J93" s="15"/>
    </row>
    <row r="94" spans="3:10" ht="20.100000000000001" customHeight="1" x14ac:dyDescent="0.25">
      <c r="C94" s="14"/>
      <c r="D94" s="14"/>
      <c r="E94" s="14"/>
      <c r="F94" s="14"/>
      <c r="G94" s="15"/>
      <c r="H94" s="15"/>
      <c r="I94" s="15"/>
      <c r="J94" s="15"/>
    </row>
    <row r="95" spans="3:10" ht="20.100000000000001" customHeight="1" x14ac:dyDescent="0.25">
      <c r="C95" s="14"/>
      <c r="D95" s="14"/>
      <c r="E95" s="14"/>
      <c r="F95" s="14"/>
      <c r="G95" s="15"/>
      <c r="H95" s="15"/>
      <c r="I95" s="15"/>
      <c r="J95" s="15"/>
    </row>
    <row r="96" spans="3:10" ht="20.100000000000001" customHeight="1" x14ac:dyDescent="0.25">
      <c r="C96" s="14"/>
      <c r="D96" s="14"/>
      <c r="E96" s="14"/>
      <c r="F96" s="14"/>
      <c r="G96" s="15"/>
      <c r="H96" s="15"/>
      <c r="I96" s="15"/>
      <c r="J96" s="15"/>
    </row>
    <row r="97" spans="3:10" ht="20.100000000000001" customHeight="1" x14ac:dyDescent="0.25">
      <c r="C97" s="14"/>
      <c r="D97" s="14"/>
      <c r="E97" s="14"/>
      <c r="F97" s="14"/>
      <c r="G97" s="15"/>
      <c r="H97" s="15"/>
      <c r="I97" s="15"/>
      <c r="J97" s="15"/>
    </row>
    <row r="98" spans="3:10" ht="20.100000000000001" customHeight="1" x14ac:dyDescent="0.25">
      <c r="C98" s="14"/>
      <c r="D98" s="14"/>
      <c r="E98" s="14"/>
      <c r="F98" s="14"/>
      <c r="G98" s="15"/>
      <c r="H98" s="15"/>
      <c r="I98" s="15"/>
      <c r="J98" s="15"/>
    </row>
    <row r="99" spans="3:10" ht="20.100000000000001" customHeight="1" x14ac:dyDescent="0.25">
      <c r="C99" s="14"/>
      <c r="D99" s="14"/>
      <c r="E99" s="14"/>
      <c r="F99" s="14"/>
      <c r="G99" s="15"/>
      <c r="H99" s="15"/>
      <c r="I99" s="15"/>
      <c r="J99" s="15"/>
    </row>
    <row r="100" spans="3:10" ht="20.100000000000001" customHeight="1" x14ac:dyDescent="0.25">
      <c r="C100" s="14"/>
      <c r="D100" s="14"/>
      <c r="E100" s="14"/>
      <c r="F100" s="14"/>
      <c r="G100" s="15"/>
      <c r="H100" s="15"/>
      <c r="I100" s="15"/>
      <c r="J100" s="15"/>
    </row>
    <row r="101" spans="3:10" ht="20.100000000000001" customHeight="1" x14ac:dyDescent="0.25">
      <c r="C101" s="14"/>
      <c r="D101" s="14"/>
      <c r="E101" s="14"/>
      <c r="F101" s="14"/>
      <c r="G101" s="15"/>
      <c r="H101" s="15"/>
      <c r="I101" s="15"/>
      <c r="J101" s="15"/>
    </row>
    <row r="102" spans="3:10" ht="20.100000000000001" customHeight="1" x14ac:dyDescent="0.25">
      <c r="C102" s="14"/>
      <c r="D102" s="14"/>
      <c r="E102" s="14"/>
      <c r="F102" s="14"/>
      <c r="G102" s="15"/>
      <c r="H102" s="15"/>
      <c r="I102" s="15"/>
      <c r="J102" s="15"/>
    </row>
    <row r="103" spans="3:10" ht="20.100000000000001" customHeight="1" x14ac:dyDescent="0.25">
      <c r="C103" s="14"/>
      <c r="D103" s="14"/>
      <c r="E103" s="14"/>
      <c r="F103" s="14"/>
      <c r="G103" s="15"/>
      <c r="H103" s="15"/>
      <c r="I103" s="15"/>
      <c r="J103" s="15"/>
    </row>
    <row r="104" spans="3:10" ht="20.100000000000001" customHeight="1" x14ac:dyDescent="0.25">
      <c r="C104" s="14"/>
      <c r="D104" s="14"/>
      <c r="E104" s="14"/>
      <c r="F104" s="14"/>
      <c r="G104" s="15"/>
      <c r="H104" s="15"/>
      <c r="I104" s="15"/>
      <c r="J104" s="15"/>
    </row>
    <row r="105" spans="3:10" ht="20.100000000000001" customHeight="1" x14ac:dyDescent="0.25">
      <c r="C105" s="14"/>
      <c r="D105" s="14"/>
      <c r="E105" s="14"/>
      <c r="F105" s="14"/>
      <c r="G105" s="15"/>
      <c r="H105" s="15"/>
      <c r="I105" s="15"/>
      <c r="J105" s="15"/>
    </row>
    <row r="106" spans="3:10" ht="20.100000000000001" customHeight="1" x14ac:dyDescent="0.25">
      <c r="C106" s="14"/>
      <c r="D106" s="14"/>
      <c r="E106" s="14"/>
      <c r="F106" s="14"/>
      <c r="G106" s="15"/>
      <c r="H106" s="15"/>
      <c r="I106" s="15"/>
      <c r="J106" s="15"/>
    </row>
    <row r="107" spans="3:10" ht="20.100000000000001" customHeight="1" x14ac:dyDescent="0.25">
      <c r="C107" s="14"/>
      <c r="D107" s="14"/>
      <c r="E107" s="14"/>
      <c r="F107" s="14"/>
      <c r="G107" s="15"/>
      <c r="H107" s="15"/>
      <c r="I107" s="15"/>
      <c r="J107" s="15"/>
    </row>
    <row r="108" spans="3:10" ht="20.100000000000001" customHeight="1" x14ac:dyDescent="0.25">
      <c r="C108" s="14"/>
      <c r="D108" s="14"/>
      <c r="E108" s="14"/>
      <c r="F108" s="14"/>
      <c r="G108" s="15"/>
      <c r="H108" s="15"/>
      <c r="I108" s="15"/>
      <c r="J108" s="15"/>
    </row>
    <row r="109" spans="3:10" ht="20.100000000000001" customHeight="1" x14ac:dyDescent="0.25">
      <c r="C109" s="14"/>
      <c r="D109" s="14"/>
      <c r="E109" s="14"/>
      <c r="F109" s="14"/>
      <c r="G109" s="15"/>
      <c r="H109" s="15"/>
      <c r="I109" s="15"/>
      <c r="J109" s="15"/>
    </row>
    <row r="110" spans="3:10" ht="20.100000000000001" customHeight="1" x14ac:dyDescent="0.25">
      <c r="C110" s="14"/>
      <c r="D110" s="14"/>
      <c r="E110" s="14"/>
      <c r="F110" s="14"/>
      <c r="G110" s="15"/>
      <c r="H110" s="15"/>
      <c r="I110" s="15"/>
      <c r="J110" s="15"/>
    </row>
    <row r="111" spans="3:10" ht="20.100000000000001" customHeight="1" x14ac:dyDescent="0.25">
      <c r="C111" s="14"/>
      <c r="D111" s="14"/>
      <c r="E111" s="14"/>
      <c r="F111" s="14"/>
      <c r="G111" s="15"/>
      <c r="H111" s="15"/>
      <c r="I111" s="15"/>
      <c r="J111" s="15"/>
    </row>
    <row r="112" spans="3:10" ht="20.100000000000001" customHeight="1" x14ac:dyDescent="0.25">
      <c r="C112" s="14"/>
      <c r="D112" s="14"/>
      <c r="E112" s="14"/>
      <c r="F112" s="14"/>
      <c r="G112" s="15"/>
      <c r="H112" s="15"/>
      <c r="I112" s="15"/>
      <c r="J112" s="15"/>
    </row>
    <row r="113" spans="3:10" ht="20.100000000000001" customHeight="1" x14ac:dyDescent="0.25">
      <c r="C113" s="14"/>
      <c r="D113" s="14"/>
      <c r="E113" s="14"/>
      <c r="F113" s="14"/>
      <c r="G113" s="15"/>
      <c r="H113" s="15"/>
      <c r="I113" s="15"/>
      <c r="J113" s="15"/>
    </row>
    <row r="114" spans="3:10" ht="20.100000000000001" customHeight="1" x14ac:dyDescent="0.25">
      <c r="C114" s="14"/>
      <c r="D114" s="14"/>
      <c r="E114" s="14"/>
      <c r="F114" s="14"/>
      <c r="G114" s="15"/>
      <c r="H114" s="15"/>
      <c r="I114" s="15"/>
      <c r="J114" s="15"/>
    </row>
    <row r="115" spans="3:10" ht="20.100000000000001" customHeight="1" x14ac:dyDescent="0.25">
      <c r="C115" s="14"/>
      <c r="D115" s="14"/>
      <c r="E115" s="14"/>
      <c r="F115" s="14"/>
      <c r="G115" s="15"/>
      <c r="H115" s="15"/>
      <c r="I115" s="15"/>
      <c r="J115" s="15"/>
    </row>
    <row r="116" spans="3:10" ht="20.100000000000001" customHeight="1" x14ac:dyDescent="0.25">
      <c r="C116" s="14"/>
      <c r="D116" s="14"/>
      <c r="E116" s="14"/>
      <c r="F116" s="14"/>
      <c r="G116" s="15"/>
      <c r="H116" s="15"/>
      <c r="I116" s="15"/>
      <c r="J116" s="15"/>
    </row>
    <row r="117" spans="3:10" ht="20.100000000000001" customHeight="1" x14ac:dyDescent="0.25">
      <c r="C117" s="14"/>
      <c r="D117" s="14"/>
      <c r="E117" s="14"/>
      <c r="F117" s="14"/>
      <c r="G117" s="15"/>
      <c r="H117" s="15"/>
      <c r="I117" s="15"/>
      <c r="J117" s="15"/>
    </row>
    <row r="118" spans="3:10" ht="20.100000000000001" customHeight="1" x14ac:dyDescent="0.25">
      <c r="C118" s="14"/>
      <c r="D118" s="14"/>
      <c r="E118" s="14"/>
      <c r="F118" s="14"/>
      <c r="G118" s="15"/>
      <c r="H118" s="15"/>
      <c r="I118" s="15"/>
      <c r="J118" s="15"/>
    </row>
    <row r="119" spans="3:10" ht="20.100000000000001" customHeight="1" x14ac:dyDescent="0.25">
      <c r="C119" s="14"/>
      <c r="D119" s="14"/>
      <c r="E119" s="14"/>
      <c r="F119" s="14"/>
      <c r="G119" s="15"/>
      <c r="H119" s="15"/>
      <c r="I119" s="15"/>
      <c r="J119" s="15"/>
    </row>
    <row r="120" spans="3:10" ht="20.100000000000001" customHeight="1" x14ac:dyDescent="0.25">
      <c r="C120" s="14"/>
      <c r="D120" s="14"/>
      <c r="E120" s="14"/>
      <c r="F120" s="14"/>
      <c r="G120" s="15"/>
      <c r="H120" s="15"/>
      <c r="I120" s="15"/>
      <c r="J120" s="15"/>
    </row>
    <row r="121" spans="3:10" ht="20.100000000000001" customHeight="1" x14ac:dyDescent="0.25">
      <c r="C121" s="14"/>
      <c r="D121" s="14"/>
      <c r="E121" s="14"/>
      <c r="F121" s="14"/>
      <c r="G121" s="15"/>
      <c r="H121" s="15"/>
      <c r="I121" s="15"/>
      <c r="J121" s="15"/>
    </row>
    <row r="122" spans="3:10" ht="20.100000000000001" customHeight="1" x14ac:dyDescent="0.25">
      <c r="C122" s="14"/>
      <c r="D122" s="14"/>
      <c r="E122" s="14"/>
      <c r="F122" s="14"/>
      <c r="G122" s="15"/>
      <c r="H122" s="15"/>
      <c r="I122" s="15"/>
      <c r="J122" s="15"/>
    </row>
    <row r="123" spans="3:10" ht="20.100000000000001" customHeight="1" x14ac:dyDescent="0.25">
      <c r="C123" s="14"/>
      <c r="D123" s="14"/>
      <c r="E123" s="14"/>
      <c r="F123" s="14"/>
      <c r="G123" s="15"/>
      <c r="H123" s="15"/>
      <c r="I123" s="15"/>
      <c r="J123" s="15"/>
    </row>
    <row r="124" spans="3:10" ht="20.100000000000001" customHeight="1" x14ac:dyDescent="0.25">
      <c r="C124" s="14"/>
      <c r="D124" s="14"/>
      <c r="E124" s="14"/>
      <c r="F124" s="14"/>
      <c r="G124" s="15"/>
      <c r="H124" s="15"/>
      <c r="I124" s="15"/>
      <c r="J124" s="15"/>
    </row>
    <row r="125" spans="3:10" ht="20.100000000000001" customHeight="1" x14ac:dyDescent="0.25">
      <c r="C125" s="14"/>
      <c r="D125" s="14"/>
      <c r="E125" s="14"/>
      <c r="F125" s="14"/>
      <c r="G125" s="15"/>
      <c r="H125" s="15"/>
      <c r="I125" s="15"/>
      <c r="J125" s="15"/>
    </row>
    <row r="126" spans="3:10" ht="20.100000000000001" customHeight="1" x14ac:dyDescent="0.25">
      <c r="C126" s="14"/>
      <c r="D126" s="14"/>
      <c r="E126" s="14"/>
      <c r="F126" s="14"/>
      <c r="G126" s="15"/>
      <c r="H126" s="15"/>
      <c r="I126" s="15"/>
      <c r="J126" s="15"/>
    </row>
    <row r="127" spans="3:10" ht="20.100000000000001" customHeight="1" x14ac:dyDescent="0.25">
      <c r="C127" s="14"/>
      <c r="D127" s="14"/>
      <c r="E127" s="14"/>
      <c r="F127" s="14"/>
      <c r="G127" s="15"/>
      <c r="H127" s="15"/>
      <c r="I127" s="15"/>
      <c r="J127" s="15"/>
    </row>
    <row r="128" spans="3:10" ht="20.100000000000001" customHeight="1" x14ac:dyDescent="0.25">
      <c r="C128" s="14"/>
      <c r="D128" s="14"/>
      <c r="E128" s="14"/>
      <c r="F128" s="14"/>
      <c r="G128" s="15"/>
      <c r="H128" s="15"/>
      <c r="I128" s="15"/>
      <c r="J128" s="15"/>
    </row>
    <row r="129" spans="3:10" ht="20.100000000000001" customHeight="1" x14ac:dyDescent="0.25">
      <c r="C129" s="14"/>
      <c r="D129" s="14"/>
      <c r="E129" s="14"/>
      <c r="F129" s="14"/>
      <c r="G129" s="15"/>
      <c r="H129" s="15"/>
      <c r="I129" s="15"/>
      <c r="J129" s="15"/>
    </row>
    <row r="130" spans="3:10" ht="20.100000000000001" customHeight="1" x14ac:dyDescent="0.25">
      <c r="C130" s="14"/>
      <c r="D130" s="14"/>
      <c r="E130" s="14"/>
      <c r="F130" s="14"/>
      <c r="G130" s="15"/>
      <c r="H130" s="15"/>
      <c r="I130" s="15"/>
      <c r="J130" s="15"/>
    </row>
    <row r="131" spans="3:10" ht="20.100000000000001" customHeight="1" x14ac:dyDescent="0.25">
      <c r="C131" s="14"/>
      <c r="D131" s="14"/>
      <c r="E131" s="14"/>
      <c r="F131" s="14"/>
      <c r="G131" s="15"/>
      <c r="H131" s="15"/>
      <c r="I131" s="15"/>
      <c r="J131" s="15"/>
    </row>
    <row r="132" spans="3:10" ht="20.100000000000001" customHeight="1" x14ac:dyDescent="0.25">
      <c r="C132" s="14"/>
      <c r="D132" s="14"/>
      <c r="E132" s="14"/>
      <c r="F132" s="14"/>
      <c r="G132" s="15"/>
      <c r="H132" s="15"/>
      <c r="I132" s="15"/>
      <c r="J132" s="15"/>
    </row>
    <row r="133" spans="3:10" ht="20.100000000000001" customHeight="1" x14ac:dyDescent="0.25">
      <c r="C133" s="14"/>
      <c r="D133" s="14"/>
      <c r="E133" s="14"/>
      <c r="F133" s="14"/>
      <c r="G133" s="15"/>
      <c r="H133" s="15"/>
      <c r="I133" s="15"/>
      <c r="J133" s="15"/>
    </row>
    <row r="134" spans="3:10" ht="20.100000000000001" customHeight="1" x14ac:dyDescent="0.25">
      <c r="C134" s="14"/>
      <c r="D134" s="14"/>
      <c r="E134" s="14"/>
      <c r="F134" s="14"/>
      <c r="G134" s="15"/>
      <c r="H134" s="15"/>
      <c r="I134" s="15"/>
      <c r="J134" s="15"/>
    </row>
    <row r="135" spans="3:10" ht="20.100000000000001" customHeight="1" x14ac:dyDescent="0.25">
      <c r="C135" s="14"/>
      <c r="D135" s="14"/>
      <c r="E135" s="14"/>
      <c r="F135" s="14"/>
      <c r="G135" s="15"/>
      <c r="H135" s="15"/>
      <c r="I135" s="15"/>
      <c r="J135" s="15"/>
    </row>
    <row r="136" spans="3:10" ht="20.100000000000001" customHeight="1" x14ac:dyDescent="0.25">
      <c r="C136" s="14"/>
      <c r="D136" s="14"/>
      <c r="E136" s="14"/>
      <c r="F136" s="14"/>
      <c r="G136" s="15"/>
      <c r="H136" s="15"/>
      <c r="I136" s="15"/>
      <c r="J136" s="15"/>
    </row>
    <row r="137" spans="3:10" ht="20.100000000000001" customHeight="1" x14ac:dyDescent="0.25">
      <c r="C137" s="14"/>
      <c r="D137" s="14"/>
      <c r="E137" s="14"/>
      <c r="F137" s="14"/>
      <c r="G137" s="15"/>
      <c r="H137" s="15"/>
      <c r="I137" s="15"/>
      <c r="J137" s="15"/>
    </row>
    <row r="138" spans="3:10" ht="20.100000000000001" customHeight="1" x14ac:dyDescent="0.25">
      <c r="C138" s="14"/>
      <c r="D138" s="14"/>
      <c r="E138" s="14"/>
      <c r="F138" s="14"/>
      <c r="G138" s="15"/>
      <c r="H138" s="15"/>
      <c r="I138" s="15"/>
      <c r="J138" s="15"/>
    </row>
    <row r="139" spans="3:10" ht="20.100000000000001" customHeight="1" x14ac:dyDescent="0.25">
      <c r="C139" s="14"/>
      <c r="D139" s="14"/>
      <c r="E139" s="14"/>
      <c r="F139" s="14"/>
      <c r="G139" s="15"/>
      <c r="H139" s="15"/>
      <c r="I139" s="15"/>
      <c r="J139" s="15"/>
    </row>
    <row r="140" spans="3:10" ht="20.100000000000001" customHeight="1" x14ac:dyDescent="0.25">
      <c r="C140" s="14"/>
      <c r="D140" s="14"/>
      <c r="E140" s="14"/>
      <c r="F140" s="14"/>
      <c r="G140" s="15"/>
      <c r="H140" s="15"/>
      <c r="I140" s="15"/>
      <c r="J140" s="15"/>
    </row>
    <row r="141" spans="3:10" ht="20.100000000000001" customHeight="1" x14ac:dyDescent="0.25">
      <c r="C141" s="14"/>
      <c r="D141" s="14"/>
      <c r="E141" s="14"/>
      <c r="F141" s="14"/>
      <c r="G141" s="15"/>
      <c r="H141" s="15"/>
      <c r="I141" s="15"/>
      <c r="J141" s="15"/>
    </row>
    <row r="142" spans="3:10" ht="20.100000000000001" customHeight="1" x14ac:dyDescent="0.25">
      <c r="C142" s="14"/>
      <c r="D142" s="14"/>
      <c r="E142" s="14"/>
      <c r="F142" s="14"/>
      <c r="G142" s="15"/>
      <c r="H142" s="15"/>
      <c r="I142" s="15"/>
      <c r="J142" s="15"/>
    </row>
    <row r="143" spans="3:10" ht="20.100000000000001" customHeight="1" x14ac:dyDescent="0.25">
      <c r="C143" s="14"/>
      <c r="D143" s="14"/>
      <c r="E143" s="14"/>
      <c r="F143" s="14"/>
      <c r="G143" s="15"/>
      <c r="H143" s="15"/>
      <c r="I143" s="15"/>
      <c r="J143" s="15"/>
    </row>
    <row r="144" spans="3:10" ht="20.100000000000001" customHeight="1" x14ac:dyDescent="0.25">
      <c r="C144" s="14"/>
      <c r="D144" s="14"/>
      <c r="E144" s="14"/>
      <c r="F144" s="14"/>
      <c r="G144" s="15"/>
      <c r="H144" s="15"/>
      <c r="I144" s="15"/>
      <c r="J144" s="15"/>
    </row>
    <row r="145" spans="3:10" ht="20.100000000000001" customHeight="1" x14ac:dyDescent="0.25">
      <c r="C145" s="14"/>
      <c r="D145" s="14"/>
      <c r="E145" s="14"/>
      <c r="F145" s="14"/>
      <c r="G145" s="15"/>
      <c r="H145" s="15"/>
      <c r="I145" s="15"/>
      <c r="J145" s="15"/>
    </row>
    <row r="146" spans="3:10" ht="20.100000000000001" customHeight="1" x14ac:dyDescent="0.25">
      <c r="C146" s="14"/>
      <c r="D146" s="14"/>
      <c r="E146" s="14"/>
      <c r="F146" s="14"/>
      <c r="G146" s="15"/>
      <c r="H146" s="15"/>
      <c r="I146" s="15"/>
      <c r="J146" s="15"/>
    </row>
    <row r="147" spans="3:10" ht="20.100000000000001" customHeight="1" x14ac:dyDescent="0.25">
      <c r="C147" s="14"/>
      <c r="D147" s="14"/>
      <c r="E147" s="14"/>
      <c r="F147" s="14"/>
      <c r="G147" s="15"/>
      <c r="H147" s="15"/>
      <c r="I147" s="15"/>
      <c r="J147" s="15"/>
    </row>
    <row r="148" spans="3:10" ht="20.100000000000001" customHeight="1" x14ac:dyDescent="0.25">
      <c r="C148" s="14"/>
      <c r="D148" s="14"/>
      <c r="E148" s="14"/>
      <c r="F148" s="14"/>
      <c r="G148" s="15"/>
      <c r="H148" s="15"/>
      <c r="I148" s="15"/>
      <c r="J148" s="15"/>
    </row>
    <row r="149" spans="3:10" ht="20.100000000000001" customHeight="1" x14ac:dyDescent="0.25">
      <c r="C149" s="14"/>
      <c r="D149" s="14"/>
      <c r="E149" s="14"/>
      <c r="F149" s="14"/>
      <c r="G149" s="15"/>
      <c r="H149" s="15"/>
      <c r="I149" s="15"/>
      <c r="J149" s="15"/>
    </row>
    <row r="150" spans="3:10" ht="20.100000000000001" customHeight="1" x14ac:dyDescent="0.25">
      <c r="C150" s="14"/>
      <c r="D150" s="14"/>
      <c r="E150" s="14"/>
      <c r="F150" s="14"/>
      <c r="G150" s="15"/>
      <c r="H150" s="15"/>
      <c r="I150" s="15"/>
      <c r="J150" s="15"/>
    </row>
    <row r="151" spans="3:10" ht="20.100000000000001" customHeight="1" x14ac:dyDescent="0.25">
      <c r="C151" s="14"/>
      <c r="D151" s="14"/>
      <c r="E151" s="14"/>
      <c r="F151" s="14"/>
      <c r="G151" s="15"/>
      <c r="H151" s="15"/>
      <c r="I151" s="15"/>
      <c r="J151" s="15"/>
    </row>
    <row r="152" spans="3:10" ht="20.100000000000001" customHeight="1" x14ac:dyDescent="0.25">
      <c r="C152" s="14"/>
      <c r="D152" s="14"/>
      <c r="E152" s="14"/>
      <c r="F152" s="14"/>
      <c r="G152" s="15"/>
      <c r="H152" s="15"/>
      <c r="I152" s="15"/>
      <c r="J152" s="15"/>
    </row>
    <row r="153" spans="3:10" ht="20.100000000000001" customHeight="1" x14ac:dyDescent="0.25">
      <c r="C153" s="14"/>
      <c r="D153" s="14"/>
      <c r="E153" s="14"/>
      <c r="F153" s="14"/>
      <c r="G153" s="15"/>
      <c r="H153" s="15"/>
      <c r="I153" s="15"/>
      <c r="J153" s="15"/>
    </row>
    <row r="154" spans="3:10" ht="20.100000000000001" customHeight="1" x14ac:dyDescent="0.25">
      <c r="C154" s="14"/>
      <c r="D154" s="14"/>
      <c r="E154" s="14"/>
      <c r="F154" s="14"/>
      <c r="G154" s="15"/>
      <c r="H154" s="15"/>
      <c r="I154" s="15"/>
      <c r="J154" s="15"/>
    </row>
    <row r="155" spans="3:10" ht="20.100000000000001" customHeight="1" x14ac:dyDescent="0.25">
      <c r="C155" s="14"/>
      <c r="D155" s="14"/>
      <c r="E155" s="14"/>
      <c r="F155" s="14"/>
      <c r="G155" s="15"/>
      <c r="H155" s="15"/>
      <c r="I155" s="15"/>
      <c r="J155" s="15"/>
    </row>
    <row r="156" spans="3:10" ht="20.100000000000001" customHeight="1" x14ac:dyDescent="0.25">
      <c r="C156" s="14"/>
      <c r="D156" s="14"/>
      <c r="E156" s="14"/>
      <c r="F156" s="14"/>
      <c r="G156" s="15"/>
      <c r="H156" s="15"/>
      <c r="I156" s="15"/>
      <c r="J156" s="15"/>
    </row>
    <row r="157" spans="3:10" ht="20.100000000000001" customHeight="1" x14ac:dyDescent="0.25">
      <c r="C157" s="14"/>
      <c r="D157" s="14"/>
      <c r="E157" s="14"/>
      <c r="F157" s="14"/>
      <c r="G157" s="15"/>
      <c r="H157" s="15"/>
      <c r="I157" s="15"/>
      <c r="J157" s="15"/>
    </row>
    <row r="158" spans="3:10" ht="20.100000000000001" customHeight="1" x14ac:dyDescent="0.25">
      <c r="C158" s="14"/>
      <c r="D158" s="14"/>
      <c r="E158" s="14"/>
      <c r="F158" s="14"/>
      <c r="G158" s="15"/>
      <c r="H158" s="15"/>
      <c r="I158" s="15"/>
      <c r="J158" s="15"/>
    </row>
    <row r="159" spans="3:10" ht="20.100000000000001" customHeight="1" x14ac:dyDescent="0.25">
      <c r="C159" s="14"/>
      <c r="D159" s="14"/>
      <c r="E159" s="14"/>
      <c r="F159" s="14"/>
      <c r="G159" s="15"/>
      <c r="H159" s="15"/>
      <c r="I159" s="15"/>
      <c r="J159" s="15"/>
    </row>
    <row r="160" spans="3:10" ht="20.100000000000001" customHeight="1" x14ac:dyDescent="0.25">
      <c r="C160" s="14"/>
      <c r="D160" s="14"/>
      <c r="E160" s="14"/>
      <c r="F160" s="14"/>
      <c r="G160" s="15"/>
      <c r="H160" s="15"/>
      <c r="I160" s="15"/>
      <c r="J160" s="15"/>
    </row>
    <row r="161" spans="3:10" ht="20.100000000000001" customHeight="1" x14ac:dyDescent="0.25">
      <c r="C161" s="14"/>
      <c r="D161" s="14"/>
      <c r="E161" s="14"/>
      <c r="F161" s="14"/>
      <c r="G161" s="15"/>
      <c r="H161" s="15"/>
      <c r="I161" s="15"/>
      <c r="J161" s="15"/>
    </row>
    <row r="162" spans="3:10" ht="20.100000000000001" customHeight="1" x14ac:dyDescent="0.25">
      <c r="C162" s="14"/>
      <c r="D162" s="14"/>
      <c r="E162" s="14"/>
      <c r="F162" s="14"/>
      <c r="G162" s="15"/>
      <c r="H162" s="15"/>
      <c r="I162" s="15"/>
      <c r="J162" s="15"/>
    </row>
    <row r="163" spans="3:10" ht="20.100000000000001" customHeight="1" x14ac:dyDescent="0.25">
      <c r="C163" s="14"/>
      <c r="D163" s="14"/>
      <c r="E163" s="14"/>
      <c r="F163" s="14"/>
      <c r="G163" s="15"/>
      <c r="H163" s="15"/>
      <c r="I163" s="15"/>
      <c r="J163" s="15"/>
    </row>
    <row r="164" spans="3:10" ht="20.100000000000001" customHeight="1" x14ac:dyDescent="0.25">
      <c r="C164" s="14"/>
      <c r="D164" s="14"/>
      <c r="E164" s="14"/>
      <c r="F164" s="14"/>
      <c r="G164" s="15"/>
      <c r="H164" s="15"/>
      <c r="I164" s="15"/>
      <c r="J164" s="15"/>
    </row>
    <row r="165" spans="3:10" ht="20.100000000000001" customHeight="1" x14ac:dyDescent="0.25">
      <c r="C165" s="14"/>
      <c r="D165" s="14"/>
      <c r="E165" s="14"/>
      <c r="F165" s="14"/>
      <c r="G165" s="15"/>
      <c r="H165" s="15"/>
      <c r="I165" s="15"/>
      <c r="J165" s="15"/>
    </row>
    <row r="166" spans="3:10" ht="20.100000000000001" customHeight="1" x14ac:dyDescent="0.25">
      <c r="C166" s="14"/>
      <c r="D166" s="14"/>
      <c r="E166" s="14"/>
      <c r="F166" s="14"/>
      <c r="G166" s="15"/>
      <c r="H166" s="15"/>
      <c r="I166" s="15"/>
      <c r="J166" s="15"/>
    </row>
    <row r="167" spans="3:10" ht="20.100000000000001" customHeight="1" x14ac:dyDescent="0.25">
      <c r="C167" s="14"/>
      <c r="D167" s="14"/>
      <c r="E167" s="14"/>
      <c r="F167" s="14"/>
      <c r="G167" s="15"/>
      <c r="H167" s="15"/>
      <c r="I167" s="15"/>
      <c r="J167" s="15"/>
    </row>
    <row r="168" spans="3:10" ht="20.100000000000001" customHeight="1" x14ac:dyDescent="0.25">
      <c r="C168" s="14"/>
      <c r="D168" s="14"/>
      <c r="E168" s="14"/>
      <c r="F168" s="14"/>
      <c r="G168" s="15"/>
      <c r="H168" s="15"/>
      <c r="I168" s="15"/>
      <c r="J168" s="15"/>
    </row>
    <row r="169" spans="3:10" ht="20.100000000000001" customHeight="1" x14ac:dyDescent="0.25">
      <c r="C169" s="14"/>
      <c r="D169" s="14"/>
      <c r="E169" s="14"/>
      <c r="F169" s="14"/>
      <c r="G169" s="15"/>
      <c r="H169" s="15"/>
      <c r="I169" s="15"/>
      <c r="J169" s="15"/>
    </row>
    <row r="170" spans="3:10" ht="20.100000000000001" customHeight="1" x14ac:dyDescent="0.25">
      <c r="C170" s="14"/>
      <c r="D170" s="14"/>
      <c r="E170" s="14"/>
      <c r="F170" s="14"/>
      <c r="G170" s="15"/>
      <c r="H170" s="15"/>
      <c r="I170" s="15"/>
      <c r="J170" s="15"/>
    </row>
    <row r="171" spans="3:10" ht="20.100000000000001" customHeight="1" x14ac:dyDescent="0.25">
      <c r="C171" s="14"/>
      <c r="D171" s="14"/>
      <c r="E171" s="14"/>
      <c r="F171" s="14"/>
      <c r="G171" s="15"/>
      <c r="H171" s="15"/>
      <c r="I171" s="15"/>
      <c r="J171" s="15"/>
    </row>
    <row r="172" spans="3:10" ht="20.100000000000001" customHeight="1" x14ac:dyDescent="0.25">
      <c r="C172" s="14"/>
      <c r="D172" s="14"/>
      <c r="E172" s="14"/>
      <c r="F172" s="14"/>
      <c r="G172" s="15"/>
      <c r="H172" s="15"/>
      <c r="I172" s="15"/>
      <c r="J172" s="15"/>
    </row>
    <row r="173" spans="3:10" ht="20.100000000000001" customHeight="1" x14ac:dyDescent="0.25">
      <c r="C173" s="14"/>
      <c r="D173" s="14"/>
      <c r="E173" s="14"/>
      <c r="F173" s="14"/>
      <c r="G173" s="15"/>
      <c r="H173" s="15"/>
      <c r="I173" s="15"/>
      <c r="J173" s="15"/>
    </row>
    <row r="174" spans="3:10" ht="20.100000000000001" customHeight="1" x14ac:dyDescent="0.25">
      <c r="C174" s="14"/>
      <c r="D174" s="14"/>
      <c r="E174" s="14"/>
      <c r="F174" s="14"/>
      <c r="G174" s="15"/>
      <c r="H174" s="15"/>
      <c r="I174" s="15"/>
      <c r="J174" s="15"/>
    </row>
    <row r="175" spans="3:10" ht="20.100000000000001" customHeight="1" x14ac:dyDescent="0.25">
      <c r="C175" s="14"/>
      <c r="D175" s="14"/>
      <c r="E175" s="14"/>
      <c r="F175" s="14"/>
      <c r="G175" s="15"/>
      <c r="H175" s="15"/>
      <c r="I175" s="15"/>
      <c r="J175" s="15"/>
    </row>
    <row r="176" spans="3:10" ht="20.100000000000001" customHeight="1" x14ac:dyDescent="0.25">
      <c r="C176" s="14"/>
      <c r="D176" s="14"/>
      <c r="E176" s="14"/>
      <c r="F176" s="14"/>
      <c r="G176" s="15"/>
      <c r="H176" s="15"/>
      <c r="I176" s="15"/>
      <c r="J176" s="15"/>
    </row>
    <row r="177" spans="3:10" ht="20.100000000000001" customHeight="1" x14ac:dyDescent="0.25">
      <c r="C177" s="14"/>
      <c r="D177" s="14"/>
      <c r="E177" s="14"/>
      <c r="F177" s="14"/>
      <c r="G177" s="15"/>
      <c r="H177" s="15"/>
      <c r="I177" s="15"/>
      <c r="J177" s="15"/>
    </row>
    <row r="178" spans="3:10" ht="20.100000000000001" customHeight="1" x14ac:dyDescent="0.25">
      <c r="C178" s="14"/>
      <c r="D178" s="14"/>
      <c r="E178" s="14"/>
      <c r="F178" s="14"/>
      <c r="G178" s="15"/>
      <c r="H178" s="15"/>
      <c r="I178" s="15"/>
      <c r="J178" s="15"/>
    </row>
    <row r="179" spans="3:10" ht="20.100000000000001" customHeight="1" x14ac:dyDescent="0.25">
      <c r="C179" s="14"/>
      <c r="D179" s="14"/>
      <c r="E179" s="14"/>
      <c r="F179" s="14"/>
      <c r="G179" s="15"/>
      <c r="H179" s="15"/>
      <c r="I179" s="15"/>
      <c r="J179" s="15"/>
    </row>
    <row r="180" spans="3:10" ht="20.100000000000001" customHeight="1" x14ac:dyDescent="0.25">
      <c r="C180" s="14"/>
      <c r="D180" s="14"/>
      <c r="E180" s="14"/>
      <c r="F180" s="14"/>
      <c r="G180" s="15"/>
      <c r="H180" s="15"/>
      <c r="I180" s="15"/>
      <c r="J180" s="15"/>
    </row>
    <row r="181" spans="3:10" ht="20.100000000000001" customHeight="1" x14ac:dyDescent="0.25">
      <c r="C181" s="14"/>
      <c r="D181" s="14"/>
      <c r="E181" s="14"/>
      <c r="F181" s="14"/>
      <c r="G181" s="15"/>
      <c r="H181" s="15"/>
      <c r="I181" s="15"/>
      <c r="J181" s="15"/>
    </row>
    <row r="182" spans="3:10" ht="20.100000000000001" customHeight="1" x14ac:dyDescent="0.25">
      <c r="C182" s="14"/>
      <c r="D182" s="14"/>
      <c r="E182" s="14"/>
      <c r="F182" s="14"/>
      <c r="G182" s="15"/>
      <c r="H182" s="15"/>
      <c r="I182" s="15"/>
      <c r="J182" s="15"/>
    </row>
    <row r="183" spans="3:10" ht="20.100000000000001" customHeight="1" x14ac:dyDescent="0.25">
      <c r="C183" s="14"/>
      <c r="D183" s="14"/>
      <c r="E183" s="14"/>
      <c r="F183" s="14"/>
      <c r="G183" s="15"/>
      <c r="H183" s="15"/>
      <c r="I183" s="15"/>
      <c r="J183" s="15"/>
    </row>
    <row r="184" spans="3:10" ht="20.100000000000001" customHeight="1" x14ac:dyDescent="0.25">
      <c r="C184" s="14"/>
      <c r="D184" s="14"/>
      <c r="E184" s="14"/>
      <c r="F184" s="14"/>
      <c r="G184" s="15"/>
      <c r="H184" s="15"/>
      <c r="I184" s="15"/>
      <c r="J184" s="15"/>
    </row>
    <row r="185" spans="3:10" ht="20.100000000000001" customHeight="1" x14ac:dyDescent="0.25">
      <c r="C185" s="14"/>
      <c r="D185" s="14"/>
      <c r="E185" s="14"/>
      <c r="F185" s="14"/>
      <c r="G185" s="15"/>
      <c r="H185" s="15"/>
      <c r="I185" s="15"/>
      <c r="J185" s="15"/>
    </row>
    <row r="186" spans="3:10" ht="20.100000000000001" customHeight="1" x14ac:dyDescent="0.25">
      <c r="C186" s="14"/>
      <c r="D186" s="14"/>
      <c r="E186" s="14"/>
      <c r="F186" s="14"/>
      <c r="G186" s="15"/>
      <c r="H186" s="15"/>
      <c r="I186" s="15"/>
      <c r="J186" s="15"/>
    </row>
    <row r="187" spans="3:10" ht="20.100000000000001" customHeight="1" x14ac:dyDescent="0.25">
      <c r="C187" s="14"/>
      <c r="D187" s="14"/>
      <c r="E187" s="14"/>
      <c r="F187" s="14"/>
      <c r="G187" s="15"/>
      <c r="H187" s="15"/>
      <c r="I187" s="15"/>
      <c r="J187" s="15"/>
    </row>
    <row r="188" spans="3:10" ht="20.100000000000001" customHeight="1" x14ac:dyDescent="0.25">
      <c r="C188" s="14"/>
      <c r="D188" s="14"/>
      <c r="E188" s="14"/>
      <c r="F188" s="14"/>
      <c r="G188" s="15"/>
      <c r="H188" s="15"/>
      <c r="I188" s="15"/>
      <c r="J188" s="15"/>
    </row>
    <row r="189" spans="3:10" ht="20.100000000000001" customHeight="1" x14ac:dyDescent="0.25">
      <c r="C189" s="14"/>
      <c r="D189" s="14"/>
      <c r="E189" s="14"/>
      <c r="F189" s="14"/>
      <c r="G189" s="15"/>
      <c r="H189" s="15"/>
      <c r="I189" s="15"/>
      <c r="J189" s="15"/>
    </row>
    <row r="190" spans="3:10" ht="20.100000000000001" customHeight="1" x14ac:dyDescent="0.25">
      <c r="C190" s="14"/>
      <c r="D190" s="14"/>
      <c r="E190" s="14"/>
      <c r="F190" s="14"/>
      <c r="G190" s="15"/>
      <c r="H190" s="15"/>
      <c r="I190" s="15"/>
      <c r="J190" s="15"/>
    </row>
    <row r="191" spans="3:10" ht="20.100000000000001" customHeight="1" x14ac:dyDescent="0.25">
      <c r="C191" s="14"/>
      <c r="D191" s="14"/>
      <c r="E191" s="14"/>
      <c r="F191" s="14"/>
      <c r="G191" s="15"/>
      <c r="H191" s="15"/>
      <c r="I191" s="15"/>
      <c r="J191" s="15"/>
    </row>
    <row r="192" spans="3:10" ht="20.100000000000001" customHeight="1" x14ac:dyDescent="0.25">
      <c r="C192" s="14"/>
      <c r="D192" s="14"/>
      <c r="E192" s="14"/>
      <c r="F192" s="14"/>
      <c r="G192" s="15"/>
      <c r="H192" s="15"/>
      <c r="I192" s="15"/>
      <c r="J192" s="15"/>
    </row>
    <row r="193" spans="3:10" ht="20.100000000000001" customHeight="1" x14ac:dyDescent="0.25">
      <c r="C193" s="14"/>
      <c r="D193" s="14"/>
      <c r="E193" s="14"/>
      <c r="F193" s="14"/>
      <c r="G193" s="15"/>
      <c r="H193" s="15"/>
      <c r="I193" s="15"/>
      <c r="J193" s="15"/>
    </row>
    <row r="194" spans="3:10" ht="20.100000000000001" customHeight="1" x14ac:dyDescent="0.25">
      <c r="C194" s="14"/>
      <c r="D194" s="14"/>
      <c r="E194" s="14"/>
      <c r="F194" s="14"/>
      <c r="G194" s="15"/>
      <c r="H194" s="15"/>
      <c r="I194" s="15"/>
      <c r="J194" s="15"/>
    </row>
    <row r="195" spans="3:10" ht="20.100000000000001" customHeight="1" x14ac:dyDescent="0.25">
      <c r="C195" s="14"/>
      <c r="D195" s="14"/>
      <c r="E195" s="14"/>
      <c r="F195" s="14"/>
      <c r="G195" s="15"/>
      <c r="H195" s="15"/>
      <c r="I195" s="15"/>
      <c r="J195" s="15"/>
    </row>
    <row r="196" spans="3:10" ht="20.100000000000001" customHeight="1" x14ac:dyDescent="0.25">
      <c r="C196" s="14"/>
      <c r="D196" s="14"/>
      <c r="E196" s="14"/>
      <c r="F196" s="14"/>
      <c r="G196" s="15"/>
      <c r="H196" s="15"/>
      <c r="I196" s="15"/>
      <c r="J196" s="15"/>
    </row>
    <row r="197" spans="3:10" ht="20.100000000000001" customHeight="1" x14ac:dyDescent="0.25">
      <c r="C197" s="14"/>
      <c r="D197" s="14"/>
      <c r="E197" s="14"/>
      <c r="F197" s="14"/>
      <c r="G197" s="15"/>
      <c r="H197" s="15"/>
      <c r="I197" s="15"/>
      <c r="J197" s="15"/>
    </row>
    <row r="198" spans="3:10" ht="20.100000000000001" customHeight="1" x14ac:dyDescent="0.25">
      <c r="C198" s="14"/>
      <c r="D198" s="14"/>
      <c r="E198" s="14"/>
      <c r="F198" s="14"/>
      <c r="G198" s="15"/>
      <c r="H198" s="15"/>
      <c r="I198" s="15"/>
      <c r="J198" s="15"/>
    </row>
    <row r="199" spans="3:10" ht="20.100000000000001" customHeight="1" x14ac:dyDescent="0.25">
      <c r="C199" s="14"/>
      <c r="D199" s="14"/>
      <c r="E199" s="14"/>
      <c r="F199" s="14"/>
      <c r="G199" s="15"/>
      <c r="H199" s="15"/>
      <c r="I199" s="15"/>
      <c r="J199" s="15"/>
    </row>
    <row r="200" spans="3:10" ht="20.100000000000001" customHeight="1" x14ac:dyDescent="0.25">
      <c r="C200" s="14"/>
      <c r="D200" s="14"/>
      <c r="E200" s="14"/>
      <c r="F200" s="14"/>
      <c r="G200" s="15"/>
      <c r="H200" s="15"/>
      <c r="I200" s="15"/>
      <c r="J200" s="15"/>
    </row>
    <row r="201" spans="3:10" ht="20.100000000000001" customHeight="1" x14ac:dyDescent="0.25">
      <c r="C201" s="14"/>
      <c r="D201" s="14"/>
      <c r="E201" s="14"/>
      <c r="F201" s="14"/>
      <c r="G201" s="15"/>
      <c r="H201" s="15"/>
      <c r="I201" s="15"/>
      <c r="J201" s="15"/>
    </row>
    <row r="202" spans="3:10" ht="20.100000000000001" customHeight="1" x14ac:dyDescent="0.25">
      <c r="C202" s="14"/>
      <c r="D202" s="14"/>
      <c r="E202" s="14"/>
      <c r="F202" s="14"/>
      <c r="G202" s="15"/>
      <c r="H202" s="15"/>
      <c r="I202" s="15"/>
      <c r="J202" s="15"/>
    </row>
    <row r="203" spans="3:10" ht="20.100000000000001" customHeight="1" x14ac:dyDescent="0.25">
      <c r="C203" s="14"/>
      <c r="D203" s="14"/>
      <c r="E203" s="14"/>
      <c r="F203" s="14"/>
      <c r="G203" s="15"/>
      <c r="H203" s="15"/>
      <c r="I203" s="15"/>
      <c r="J203" s="15"/>
    </row>
    <row r="204" spans="3:10" ht="20.100000000000001" customHeight="1" x14ac:dyDescent="0.25">
      <c r="C204" s="14"/>
      <c r="D204" s="14"/>
      <c r="E204" s="14"/>
      <c r="F204" s="14"/>
      <c r="G204" s="15"/>
      <c r="H204" s="15"/>
      <c r="I204" s="15"/>
      <c r="J204" s="15"/>
    </row>
    <row r="205" spans="3:10" ht="20.100000000000001" customHeight="1" x14ac:dyDescent="0.25">
      <c r="C205" s="14"/>
      <c r="D205" s="14"/>
      <c r="E205" s="14"/>
      <c r="F205" s="14"/>
      <c r="G205" s="15"/>
      <c r="H205" s="15"/>
      <c r="I205" s="15"/>
      <c r="J205" s="15"/>
    </row>
    <row r="206" spans="3:10" ht="20.100000000000001" customHeight="1" x14ac:dyDescent="0.25">
      <c r="C206" s="14"/>
      <c r="D206" s="14"/>
      <c r="E206" s="14"/>
      <c r="F206" s="14"/>
      <c r="G206" s="15"/>
      <c r="H206" s="15"/>
      <c r="I206" s="15"/>
      <c r="J206" s="15"/>
    </row>
    <row r="207" spans="3:10" ht="20.100000000000001" customHeight="1" x14ac:dyDescent="0.25">
      <c r="C207" s="14"/>
      <c r="D207" s="14"/>
      <c r="E207" s="14"/>
      <c r="F207" s="14"/>
      <c r="G207" s="15"/>
      <c r="H207" s="15"/>
      <c r="I207" s="15"/>
      <c r="J207" s="15"/>
    </row>
    <row r="208" spans="3:10" ht="20.100000000000001" customHeight="1" x14ac:dyDescent="0.25">
      <c r="C208" s="14"/>
      <c r="D208" s="14"/>
      <c r="E208" s="14"/>
      <c r="F208" s="14"/>
      <c r="G208" s="15"/>
      <c r="H208" s="15"/>
      <c r="I208" s="15"/>
      <c r="J208" s="15"/>
    </row>
    <row r="209" spans="3:10" ht="20.100000000000001" customHeight="1" x14ac:dyDescent="0.25">
      <c r="C209" s="14"/>
      <c r="D209" s="14"/>
      <c r="E209" s="14"/>
      <c r="F209" s="14"/>
      <c r="G209" s="15"/>
      <c r="H209" s="15"/>
      <c r="I209" s="15"/>
      <c r="J209" s="15"/>
    </row>
    <row r="210" spans="3:10" ht="20.100000000000001" customHeight="1" x14ac:dyDescent="0.25">
      <c r="C210" s="14"/>
      <c r="D210" s="14"/>
      <c r="E210" s="14"/>
      <c r="F210" s="14"/>
      <c r="G210" s="15"/>
      <c r="H210" s="15"/>
      <c r="I210" s="15"/>
      <c r="J210" s="15"/>
    </row>
    <row r="211" spans="3:10" ht="20.100000000000001" customHeight="1" x14ac:dyDescent="0.25">
      <c r="C211" s="14"/>
      <c r="D211" s="14"/>
      <c r="E211" s="14"/>
      <c r="F211" s="14"/>
      <c r="G211" s="15"/>
      <c r="H211" s="15"/>
      <c r="I211" s="15"/>
      <c r="J211" s="15"/>
    </row>
    <row r="212" spans="3:10" ht="20.100000000000001" customHeight="1" x14ac:dyDescent="0.25">
      <c r="C212" s="14"/>
      <c r="D212" s="14"/>
      <c r="E212" s="14"/>
      <c r="F212" s="14"/>
      <c r="G212" s="15"/>
      <c r="H212" s="15"/>
      <c r="I212" s="15"/>
      <c r="J212" s="15"/>
    </row>
    <row r="213" spans="3:10" ht="20.100000000000001" customHeight="1" x14ac:dyDescent="0.25">
      <c r="C213" s="14"/>
      <c r="D213" s="14"/>
      <c r="E213" s="14"/>
      <c r="F213" s="14"/>
      <c r="G213" s="15"/>
      <c r="H213" s="15"/>
      <c r="I213" s="15"/>
      <c r="J213" s="15"/>
    </row>
    <row r="214" spans="3:10" ht="20.100000000000001" customHeight="1" x14ac:dyDescent="0.25">
      <c r="C214" s="14"/>
      <c r="D214" s="14"/>
      <c r="E214" s="14"/>
      <c r="F214" s="14"/>
      <c r="G214" s="15"/>
      <c r="H214" s="15"/>
      <c r="I214" s="15"/>
      <c r="J214" s="15"/>
    </row>
    <row r="215" spans="3:10" ht="20.100000000000001" customHeight="1" x14ac:dyDescent="0.25">
      <c r="C215" s="14"/>
      <c r="D215" s="14"/>
      <c r="E215" s="14"/>
      <c r="F215" s="14"/>
      <c r="G215" s="15"/>
      <c r="H215" s="15"/>
      <c r="I215" s="15"/>
      <c r="J215" s="15"/>
    </row>
    <row r="216" spans="3:10" ht="20.100000000000001" customHeight="1" x14ac:dyDescent="0.25">
      <c r="C216" s="14"/>
      <c r="D216" s="14"/>
      <c r="E216" s="14"/>
      <c r="F216" s="14"/>
      <c r="G216" s="15"/>
      <c r="H216" s="15"/>
      <c r="I216" s="15"/>
      <c r="J216" s="15"/>
    </row>
    <row r="217" spans="3:10" ht="20.100000000000001" customHeight="1" x14ac:dyDescent="0.25">
      <c r="C217" s="14"/>
      <c r="D217" s="14"/>
      <c r="E217" s="14"/>
      <c r="F217" s="14"/>
      <c r="G217" s="15"/>
      <c r="H217" s="15"/>
      <c r="I217" s="15"/>
      <c r="J217" s="15"/>
    </row>
    <row r="218" spans="3:10" ht="20.100000000000001" customHeight="1" x14ac:dyDescent="0.25">
      <c r="C218" s="14"/>
      <c r="D218" s="14"/>
      <c r="E218" s="14"/>
      <c r="F218" s="14"/>
      <c r="G218" s="15"/>
      <c r="H218" s="15"/>
      <c r="I218" s="15"/>
      <c r="J218" s="15"/>
    </row>
    <row r="219" spans="3:10" ht="20.100000000000001" customHeight="1" x14ac:dyDescent="0.25">
      <c r="C219" s="14"/>
      <c r="D219" s="14"/>
      <c r="E219" s="14"/>
      <c r="F219" s="14"/>
      <c r="G219" s="15"/>
      <c r="H219" s="15"/>
      <c r="I219" s="15"/>
      <c r="J219" s="15"/>
    </row>
    <row r="220" spans="3:10" ht="20.100000000000001" customHeight="1" x14ac:dyDescent="0.25">
      <c r="C220" s="14"/>
      <c r="D220" s="14"/>
      <c r="E220" s="14"/>
      <c r="F220" s="14"/>
      <c r="G220" s="15"/>
      <c r="H220" s="15"/>
      <c r="I220" s="15"/>
      <c r="J220" s="15"/>
    </row>
    <row r="221" spans="3:10" ht="20.100000000000001" customHeight="1" x14ac:dyDescent="0.25">
      <c r="C221" s="14"/>
      <c r="D221" s="14"/>
      <c r="E221" s="14"/>
      <c r="F221" s="14"/>
      <c r="G221" s="15"/>
      <c r="H221" s="15"/>
      <c r="I221" s="15"/>
      <c r="J221" s="15"/>
    </row>
    <row r="222" spans="3:10" ht="20.100000000000001" customHeight="1" x14ac:dyDescent="0.25">
      <c r="C222" s="14"/>
      <c r="D222" s="14"/>
      <c r="E222" s="14"/>
      <c r="F222" s="14"/>
      <c r="G222" s="15"/>
      <c r="H222" s="15"/>
      <c r="I222" s="15"/>
      <c r="J222" s="15"/>
    </row>
    <row r="223" spans="3:10" ht="20.100000000000001" customHeight="1" x14ac:dyDescent="0.25">
      <c r="C223" s="14"/>
      <c r="D223" s="14"/>
      <c r="E223" s="14"/>
      <c r="F223" s="14"/>
      <c r="G223" s="15"/>
      <c r="H223" s="15"/>
      <c r="I223" s="15"/>
      <c r="J223" s="15"/>
    </row>
    <row r="224" spans="3:10" ht="20.100000000000001" customHeight="1" x14ac:dyDescent="0.25">
      <c r="C224" s="14"/>
      <c r="D224" s="14"/>
      <c r="E224" s="14"/>
      <c r="F224" s="14"/>
      <c r="G224" s="15"/>
      <c r="H224" s="15"/>
      <c r="I224" s="15"/>
      <c r="J224" s="15"/>
    </row>
    <row r="225" spans="3:10" ht="20.100000000000001" customHeight="1" x14ac:dyDescent="0.25">
      <c r="C225" s="14"/>
      <c r="D225" s="14"/>
      <c r="E225" s="14"/>
      <c r="F225" s="14"/>
      <c r="G225" s="15"/>
      <c r="H225" s="15"/>
      <c r="I225" s="15"/>
      <c r="J225" s="15"/>
    </row>
    <row r="226" spans="3:10" ht="20.100000000000001" customHeight="1" x14ac:dyDescent="0.25">
      <c r="C226" s="14"/>
      <c r="D226" s="14"/>
      <c r="E226" s="14"/>
      <c r="F226" s="14"/>
      <c r="G226" s="15"/>
      <c r="H226" s="15"/>
      <c r="I226" s="15"/>
      <c r="J226" s="15"/>
    </row>
    <row r="227" spans="3:10" ht="20.100000000000001" customHeight="1" x14ac:dyDescent="0.25">
      <c r="C227" s="14"/>
      <c r="D227" s="14"/>
      <c r="E227" s="14"/>
      <c r="F227" s="14"/>
      <c r="G227" s="15"/>
      <c r="H227" s="15"/>
      <c r="I227" s="15"/>
      <c r="J227" s="15"/>
    </row>
    <row r="228" spans="3:10" ht="20.100000000000001" customHeight="1" x14ac:dyDescent="0.25">
      <c r="C228" s="14"/>
      <c r="D228" s="14"/>
      <c r="E228" s="14"/>
      <c r="F228" s="14"/>
      <c r="G228" s="15"/>
      <c r="H228" s="15"/>
      <c r="I228" s="15"/>
      <c r="J228" s="15"/>
    </row>
    <row r="229" spans="3:10" ht="20.100000000000001" customHeight="1" x14ac:dyDescent="0.25">
      <c r="C229" s="14"/>
      <c r="D229" s="14"/>
      <c r="E229" s="14"/>
      <c r="F229" s="14"/>
      <c r="G229" s="15"/>
      <c r="H229" s="15"/>
      <c r="I229" s="15"/>
      <c r="J229" s="15"/>
    </row>
    <row r="230" spans="3:10" ht="20.100000000000001" customHeight="1" x14ac:dyDescent="0.25">
      <c r="C230" s="14"/>
      <c r="D230" s="14"/>
      <c r="E230" s="14"/>
      <c r="F230" s="14"/>
      <c r="G230" s="15"/>
      <c r="H230" s="15"/>
      <c r="I230" s="15"/>
      <c r="J230" s="15"/>
    </row>
    <row r="231" spans="3:10" ht="20.100000000000001" customHeight="1" x14ac:dyDescent="0.25">
      <c r="C231" s="14"/>
      <c r="D231" s="14"/>
      <c r="E231" s="14"/>
      <c r="F231" s="14"/>
      <c r="G231" s="15"/>
      <c r="H231" s="15"/>
      <c r="I231" s="15"/>
      <c r="J231" s="15"/>
    </row>
    <row r="232" spans="3:10" ht="20.100000000000001" customHeight="1" x14ac:dyDescent="0.25">
      <c r="C232" s="14"/>
      <c r="D232" s="14"/>
      <c r="E232" s="14"/>
      <c r="F232" s="14"/>
      <c r="G232" s="15"/>
      <c r="H232" s="15"/>
      <c r="I232" s="15"/>
      <c r="J232" s="15"/>
    </row>
    <row r="233" spans="3:10" ht="20.100000000000001" customHeight="1" x14ac:dyDescent="0.25">
      <c r="C233" s="14"/>
      <c r="D233" s="14"/>
      <c r="E233" s="14"/>
      <c r="F233" s="14"/>
      <c r="G233" s="15"/>
      <c r="H233" s="15"/>
      <c r="I233" s="15"/>
      <c r="J233" s="15"/>
    </row>
    <row r="234" spans="3:10" ht="20.100000000000001" customHeight="1" x14ac:dyDescent="0.25">
      <c r="C234" s="14"/>
      <c r="D234" s="14"/>
      <c r="E234" s="14"/>
      <c r="F234" s="14"/>
      <c r="G234" s="15"/>
      <c r="H234" s="15"/>
      <c r="I234" s="15"/>
      <c r="J234" s="15"/>
    </row>
    <row r="235" spans="3:10" ht="20.100000000000001" customHeight="1" x14ac:dyDescent="0.25">
      <c r="C235" s="14"/>
      <c r="D235" s="14"/>
      <c r="E235" s="14"/>
      <c r="F235" s="14"/>
      <c r="G235" s="15"/>
      <c r="H235" s="15"/>
      <c r="I235" s="15"/>
      <c r="J235" s="15"/>
    </row>
    <row r="236" spans="3:10" ht="20.100000000000001" customHeight="1" x14ac:dyDescent="0.25">
      <c r="C236" s="14"/>
      <c r="D236" s="14"/>
      <c r="E236" s="14"/>
      <c r="F236" s="14"/>
      <c r="G236" s="15"/>
      <c r="H236" s="15"/>
      <c r="I236" s="15"/>
      <c r="J236" s="15"/>
    </row>
    <row r="237" spans="3:10" ht="20.100000000000001" customHeight="1" x14ac:dyDescent="0.25">
      <c r="C237" s="14"/>
      <c r="D237" s="14"/>
      <c r="E237" s="14"/>
      <c r="F237" s="14"/>
      <c r="G237" s="15"/>
      <c r="H237" s="15"/>
      <c r="I237" s="15"/>
      <c r="J237" s="15"/>
    </row>
    <row r="238" spans="3:10" ht="20.100000000000001" customHeight="1" x14ac:dyDescent="0.25">
      <c r="C238" s="14"/>
      <c r="D238" s="14"/>
      <c r="E238" s="14"/>
      <c r="F238" s="14"/>
      <c r="G238" s="15"/>
      <c r="H238" s="15"/>
      <c r="I238" s="15"/>
      <c r="J238" s="15"/>
    </row>
    <row r="239" spans="3:10" ht="20.100000000000001" customHeight="1" x14ac:dyDescent="0.25">
      <c r="C239" s="14"/>
      <c r="D239" s="14"/>
      <c r="E239" s="14"/>
      <c r="F239" s="14"/>
      <c r="G239" s="15"/>
      <c r="H239" s="15"/>
      <c r="I239" s="15"/>
      <c r="J239" s="15"/>
    </row>
    <row r="240" spans="3:10" ht="20.100000000000001" customHeight="1" x14ac:dyDescent="0.25">
      <c r="C240" s="14"/>
      <c r="D240" s="14"/>
      <c r="E240" s="14"/>
      <c r="F240" s="14"/>
      <c r="G240" s="15"/>
      <c r="H240" s="15"/>
      <c r="I240" s="15"/>
      <c r="J240" s="15"/>
    </row>
    <row r="241" spans="3:10" ht="20.100000000000001" customHeight="1" x14ac:dyDescent="0.25">
      <c r="C241" s="14"/>
      <c r="D241" s="14"/>
      <c r="E241" s="14"/>
      <c r="F241" s="14"/>
      <c r="G241" s="15"/>
      <c r="H241" s="15"/>
      <c r="I241" s="15"/>
      <c r="J241" s="15"/>
    </row>
    <row r="242" spans="3:10" ht="20.100000000000001" customHeight="1" x14ac:dyDescent="0.25">
      <c r="C242" s="14"/>
      <c r="D242" s="14"/>
      <c r="E242" s="14"/>
      <c r="F242" s="14"/>
      <c r="G242" s="15"/>
      <c r="H242" s="15"/>
      <c r="I242" s="15"/>
      <c r="J242" s="15"/>
    </row>
    <row r="243" spans="3:10" ht="20.100000000000001" customHeight="1" x14ac:dyDescent="0.25">
      <c r="C243" s="14"/>
      <c r="D243" s="14"/>
      <c r="E243" s="14"/>
      <c r="F243" s="14"/>
      <c r="G243" s="15"/>
      <c r="H243" s="15"/>
      <c r="I243" s="15"/>
      <c r="J243" s="15"/>
    </row>
    <row r="244" spans="3:10" ht="20.100000000000001" customHeight="1" x14ac:dyDescent="0.25">
      <c r="C244" s="14"/>
      <c r="D244" s="14"/>
      <c r="E244" s="14"/>
      <c r="F244" s="14"/>
      <c r="G244" s="15"/>
      <c r="H244" s="15"/>
      <c r="I244" s="15"/>
      <c r="J244" s="15"/>
    </row>
    <row r="245" spans="3:10" ht="20.100000000000001" customHeight="1" x14ac:dyDescent="0.25">
      <c r="C245" s="14"/>
      <c r="D245" s="14"/>
      <c r="E245" s="14"/>
      <c r="F245" s="14"/>
      <c r="G245" s="15"/>
      <c r="H245" s="15"/>
      <c r="I245" s="15"/>
      <c r="J245" s="15"/>
    </row>
    <row r="246" spans="3:10" ht="20.100000000000001" customHeight="1" x14ac:dyDescent="0.25">
      <c r="C246" s="14"/>
      <c r="D246" s="14"/>
      <c r="E246" s="14"/>
      <c r="F246" s="14"/>
      <c r="G246" s="15"/>
      <c r="H246" s="15"/>
      <c r="I246" s="15"/>
      <c r="J246" s="15"/>
    </row>
    <row r="247" spans="3:10" ht="20.100000000000001" customHeight="1" x14ac:dyDescent="0.25">
      <c r="C247" s="14"/>
      <c r="D247" s="14"/>
      <c r="E247" s="14"/>
      <c r="F247" s="14"/>
      <c r="G247" s="15"/>
      <c r="H247" s="15"/>
      <c r="I247" s="15"/>
      <c r="J247" s="15"/>
    </row>
    <row r="248" spans="3:10" ht="20.100000000000001" customHeight="1" x14ac:dyDescent="0.25">
      <c r="C248" s="14"/>
      <c r="D248" s="14"/>
      <c r="E248" s="14"/>
      <c r="F248" s="14"/>
      <c r="G248" s="15"/>
      <c r="H248" s="15"/>
      <c r="I248" s="15"/>
      <c r="J248" s="15"/>
    </row>
    <row r="249" spans="3:10" ht="20.100000000000001" customHeight="1" x14ac:dyDescent="0.25">
      <c r="C249" s="14"/>
      <c r="D249" s="14"/>
      <c r="E249" s="14"/>
      <c r="F249" s="14"/>
      <c r="G249" s="15"/>
      <c r="H249" s="15"/>
      <c r="I249" s="15"/>
      <c r="J249" s="15"/>
    </row>
    <row r="250" spans="3:10" ht="20.100000000000001" customHeight="1" x14ac:dyDescent="0.25">
      <c r="C250" s="14"/>
      <c r="D250" s="14"/>
      <c r="E250" s="14"/>
      <c r="F250" s="14"/>
      <c r="G250" s="15"/>
      <c r="H250" s="15"/>
      <c r="I250" s="15"/>
      <c r="J250" s="15"/>
    </row>
    <row r="251" spans="3:10" ht="20.100000000000001" customHeight="1" x14ac:dyDescent="0.25">
      <c r="C251" s="14"/>
      <c r="D251" s="14"/>
      <c r="E251" s="14"/>
      <c r="F251" s="14"/>
      <c r="G251" s="15"/>
      <c r="H251" s="15"/>
      <c r="I251" s="15"/>
      <c r="J251" s="15"/>
    </row>
    <row r="252" spans="3:10" ht="20.100000000000001" customHeight="1" x14ac:dyDescent="0.25">
      <c r="C252" s="14"/>
      <c r="D252" s="14"/>
      <c r="E252" s="14"/>
      <c r="F252" s="14"/>
      <c r="G252" s="15"/>
      <c r="H252" s="15"/>
      <c r="I252" s="15"/>
      <c r="J252" s="15"/>
    </row>
    <row r="253" spans="3:10" ht="20.100000000000001" customHeight="1" x14ac:dyDescent="0.25">
      <c r="C253" s="14"/>
      <c r="D253" s="14"/>
      <c r="E253" s="14"/>
      <c r="F253" s="14"/>
      <c r="G253" s="15"/>
      <c r="H253" s="15"/>
      <c r="I253" s="15"/>
      <c r="J253" s="15"/>
    </row>
    <row r="254" spans="3:10" ht="20.100000000000001" customHeight="1" x14ac:dyDescent="0.25">
      <c r="C254" s="14"/>
      <c r="D254" s="14"/>
      <c r="E254" s="14"/>
      <c r="F254" s="14"/>
      <c r="G254" s="15"/>
      <c r="H254" s="15"/>
      <c r="I254" s="15"/>
      <c r="J254" s="15"/>
    </row>
    <row r="255" spans="3:10" ht="20.100000000000001" customHeight="1" x14ac:dyDescent="0.25">
      <c r="C255" s="14"/>
      <c r="D255" s="14"/>
      <c r="E255" s="14"/>
      <c r="F255" s="14"/>
      <c r="G255" s="15"/>
      <c r="H255" s="15"/>
      <c r="I255" s="15"/>
      <c r="J255" s="15"/>
    </row>
    <row r="256" spans="3:10" ht="20.100000000000001" customHeight="1" x14ac:dyDescent="0.25">
      <c r="C256" s="14"/>
      <c r="D256" s="14"/>
      <c r="E256" s="14"/>
      <c r="F256" s="14"/>
      <c r="G256" s="15"/>
      <c r="H256" s="15"/>
      <c r="I256" s="15"/>
      <c r="J256" s="15"/>
    </row>
    <row r="257" spans="3:10" ht="20.100000000000001" customHeight="1" x14ac:dyDescent="0.25">
      <c r="C257" s="14"/>
      <c r="D257" s="14"/>
      <c r="E257" s="14"/>
      <c r="F257" s="14"/>
      <c r="G257" s="15"/>
      <c r="H257" s="15"/>
      <c r="I257" s="15"/>
      <c r="J257" s="15"/>
    </row>
    <row r="258" spans="3:10" ht="20.100000000000001" customHeight="1" x14ac:dyDescent="0.25">
      <c r="C258" s="14"/>
      <c r="D258" s="14"/>
      <c r="E258" s="14"/>
      <c r="F258" s="14"/>
      <c r="G258" s="15"/>
      <c r="H258" s="15"/>
      <c r="I258" s="15"/>
      <c r="J258" s="15"/>
    </row>
    <row r="259" spans="3:10" ht="20.100000000000001" customHeight="1" x14ac:dyDescent="0.25">
      <c r="C259" s="14"/>
      <c r="D259" s="14"/>
      <c r="E259" s="14"/>
      <c r="F259" s="14"/>
      <c r="G259" s="15"/>
      <c r="H259" s="15"/>
      <c r="I259" s="15"/>
      <c r="J259" s="15"/>
    </row>
    <row r="260" spans="3:10" ht="20.100000000000001" customHeight="1" x14ac:dyDescent="0.25">
      <c r="C260" s="14"/>
      <c r="D260" s="14"/>
      <c r="E260" s="14"/>
      <c r="F260" s="14"/>
      <c r="G260" s="15"/>
      <c r="H260" s="15"/>
      <c r="I260" s="15"/>
      <c r="J260" s="15"/>
    </row>
    <row r="261" spans="3:10" ht="20.100000000000001" customHeight="1" x14ac:dyDescent="0.25">
      <c r="C261" s="14"/>
      <c r="D261" s="14"/>
      <c r="E261" s="14"/>
      <c r="F261" s="14"/>
      <c r="G261" s="15"/>
      <c r="H261" s="15"/>
      <c r="I261" s="15"/>
      <c r="J261" s="15"/>
    </row>
    <row r="262" spans="3:10" ht="20.100000000000001" customHeight="1" x14ac:dyDescent="0.25">
      <c r="C262" s="14"/>
      <c r="D262" s="14"/>
      <c r="E262" s="14"/>
      <c r="F262" s="14"/>
      <c r="G262" s="15"/>
      <c r="H262" s="15"/>
      <c r="I262" s="15"/>
      <c r="J262" s="15"/>
    </row>
    <row r="263" spans="3:10" ht="20.100000000000001" customHeight="1" x14ac:dyDescent="0.25">
      <c r="C263" s="14"/>
      <c r="D263" s="14"/>
      <c r="E263" s="14"/>
      <c r="F263" s="14"/>
      <c r="G263" s="15"/>
      <c r="H263" s="15"/>
      <c r="I263" s="15"/>
      <c r="J263" s="15"/>
    </row>
    <row r="264" spans="3:10" ht="20.100000000000001" customHeight="1" x14ac:dyDescent="0.25">
      <c r="C264" s="14"/>
      <c r="D264" s="14"/>
      <c r="E264" s="14"/>
      <c r="F264" s="14"/>
      <c r="G264" s="15"/>
      <c r="H264" s="15"/>
      <c r="I264" s="15"/>
      <c r="J264" s="15"/>
    </row>
    <row r="265" spans="3:10" ht="20.100000000000001" customHeight="1" x14ac:dyDescent="0.25">
      <c r="C265" s="14"/>
      <c r="D265" s="14"/>
      <c r="E265" s="14"/>
      <c r="F265" s="14"/>
      <c r="G265" s="15"/>
      <c r="H265" s="15"/>
      <c r="I265" s="15"/>
      <c r="J265" s="15"/>
    </row>
    <row r="266" spans="3:10" ht="20.100000000000001" customHeight="1" x14ac:dyDescent="0.25">
      <c r="C266" s="14"/>
      <c r="D266" s="14"/>
      <c r="E266" s="14"/>
      <c r="F266" s="14"/>
      <c r="G266" s="15"/>
      <c r="H266" s="15"/>
      <c r="I266" s="15"/>
      <c r="J266" s="15"/>
    </row>
    <row r="267" spans="3:10" ht="20.100000000000001" customHeight="1" x14ac:dyDescent="0.25">
      <c r="C267" s="14"/>
      <c r="D267" s="14"/>
      <c r="E267" s="14"/>
      <c r="F267" s="14"/>
      <c r="G267" s="15"/>
      <c r="H267" s="15"/>
      <c r="I267" s="15"/>
      <c r="J267" s="15"/>
    </row>
    <row r="268" spans="3:10" ht="20.100000000000001" customHeight="1" x14ac:dyDescent="0.25">
      <c r="C268" s="14"/>
      <c r="D268" s="14"/>
      <c r="E268" s="14"/>
      <c r="F268" s="14"/>
      <c r="G268" s="15"/>
      <c r="H268" s="15"/>
      <c r="I268" s="15"/>
      <c r="J268" s="15"/>
    </row>
    <row r="269" spans="3:10" ht="20.100000000000001" customHeight="1" x14ac:dyDescent="0.25">
      <c r="C269" s="14"/>
      <c r="D269" s="14"/>
      <c r="E269" s="14"/>
      <c r="F269" s="14"/>
      <c r="G269" s="15"/>
      <c r="H269" s="15"/>
      <c r="I269" s="15"/>
      <c r="J269" s="15"/>
    </row>
    <row r="270" spans="3:10" ht="20.100000000000001" customHeight="1" x14ac:dyDescent="0.25">
      <c r="C270" s="14"/>
      <c r="D270" s="14"/>
      <c r="E270" s="14"/>
      <c r="F270" s="14"/>
      <c r="G270" s="15"/>
      <c r="H270" s="15"/>
      <c r="I270" s="15"/>
      <c r="J270" s="15"/>
    </row>
    <row r="271" spans="3:10" ht="20.100000000000001" customHeight="1" x14ac:dyDescent="0.25">
      <c r="C271" s="14"/>
      <c r="D271" s="14"/>
      <c r="E271" s="14"/>
      <c r="F271" s="14"/>
      <c r="G271" s="15"/>
      <c r="H271" s="15"/>
      <c r="I271" s="15"/>
      <c r="J271" s="15"/>
    </row>
    <row r="272" spans="3:10" ht="20.100000000000001" customHeight="1" x14ac:dyDescent="0.25">
      <c r="C272" s="14"/>
      <c r="D272" s="14"/>
      <c r="E272" s="14"/>
      <c r="F272" s="14"/>
      <c r="G272" s="15"/>
      <c r="H272" s="15"/>
      <c r="I272" s="15"/>
      <c r="J272" s="15"/>
    </row>
    <row r="273" spans="3:10" ht="20.100000000000001" customHeight="1" x14ac:dyDescent="0.25">
      <c r="C273" s="14"/>
      <c r="D273" s="14"/>
      <c r="E273" s="14"/>
      <c r="F273" s="14"/>
      <c r="G273" s="15"/>
      <c r="H273" s="15"/>
      <c r="I273" s="15"/>
      <c r="J273" s="15"/>
    </row>
    <row r="274" spans="3:10" ht="20.100000000000001" customHeight="1" x14ac:dyDescent="0.25">
      <c r="C274" s="14"/>
      <c r="D274" s="14"/>
      <c r="E274" s="14"/>
      <c r="F274" s="14"/>
      <c r="G274" s="15"/>
      <c r="H274" s="15"/>
      <c r="I274" s="15"/>
      <c r="J274" s="15"/>
    </row>
    <row r="275" spans="3:10" ht="20.100000000000001" customHeight="1" x14ac:dyDescent="0.25">
      <c r="C275" s="14"/>
      <c r="D275" s="14"/>
      <c r="E275" s="14"/>
      <c r="F275" s="14"/>
      <c r="G275" s="15"/>
      <c r="H275" s="15"/>
      <c r="I275" s="15"/>
      <c r="J275" s="15"/>
    </row>
    <row r="276" spans="3:10" ht="20.100000000000001" customHeight="1" x14ac:dyDescent="0.25">
      <c r="C276" s="14"/>
      <c r="D276" s="14"/>
      <c r="E276" s="14"/>
      <c r="F276" s="14"/>
      <c r="G276" s="15"/>
      <c r="H276" s="15"/>
      <c r="I276" s="15"/>
      <c r="J276" s="15"/>
    </row>
    <row r="277" spans="3:10" ht="20.100000000000001" customHeight="1" x14ac:dyDescent="0.25">
      <c r="C277" s="14"/>
      <c r="D277" s="14"/>
      <c r="E277" s="14"/>
      <c r="F277" s="14"/>
      <c r="G277" s="15"/>
      <c r="H277" s="15"/>
      <c r="I277" s="15"/>
      <c r="J277" s="15"/>
    </row>
    <row r="278" spans="3:10" ht="20.100000000000001" customHeight="1" x14ac:dyDescent="0.25">
      <c r="C278" s="14"/>
      <c r="D278" s="14"/>
      <c r="E278" s="14"/>
      <c r="F278" s="14"/>
      <c r="G278" s="15"/>
      <c r="H278" s="15"/>
      <c r="I278" s="15"/>
      <c r="J278" s="15"/>
    </row>
    <row r="279" spans="3:10" ht="20.100000000000001" customHeight="1" x14ac:dyDescent="0.25">
      <c r="C279" s="14"/>
      <c r="D279" s="14"/>
      <c r="E279" s="14"/>
      <c r="F279" s="14"/>
      <c r="G279" s="15"/>
      <c r="H279" s="15"/>
      <c r="I279" s="15"/>
      <c r="J279" s="15"/>
    </row>
    <row r="280" spans="3:10" ht="20.100000000000001" customHeight="1" x14ac:dyDescent="0.25">
      <c r="C280" s="14"/>
      <c r="D280" s="14"/>
      <c r="E280" s="14"/>
      <c r="F280" s="14"/>
      <c r="G280" s="15"/>
      <c r="H280" s="15"/>
      <c r="I280" s="15"/>
      <c r="J280" s="15"/>
    </row>
    <row r="281" spans="3:10" ht="20.100000000000001" customHeight="1" x14ac:dyDescent="0.25">
      <c r="C281" s="14"/>
      <c r="D281" s="14"/>
      <c r="E281" s="14"/>
      <c r="F281" s="14"/>
      <c r="G281" s="15"/>
      <c r="H281" s="15"/>
      <c r="I281" s="15"/>
      <c r="J281" s="15"/>
    </row>
    <row r="282" spans="3:10" ht="20.100000000000001" customHeight="1" x14ac:dyDescent="0.25">
      <c r="C282" s="14"/>
      <c r="D282" s="14"/>
      <c r="E282" s="14"/>
      <c r="F282" s="14"/>
      <c r="G282" s="15"/>
      <c r="H282" s="15"/>
      <c r="I282" s="15"/>
      <c r="J282" s="15"/>
    </row>
    <row r="283" spans="3:10" ht="20.100000000000001" customHeight="1" x14ac:dyDescent="0.25">
      <c r="C283" s="14"/>
      <c r="D283" s="14"/>
      <c r="E283" s="14"/>
      <c r="F283" s="14"/>
      <c r="G283" s="15"/>
      <c r="H283" s="15"/>
      <c r="I283" s="15"/>
      <c r="J283" s="15"/>
    </row>
    <row r="284" spans="3:10" ht="20.100000000000001" customHeight="1" x14ac:dyDescent="0.25">
      <c r="C284" s="14"/>
      <c r="D284" s="14"/>
      <c r="E284" s="14"/>
      <c r="F284" s="14"/>
      <c r="G284" s="15"/>
      <c r="H284" s="15"/>
      <c r="I284" s="15"/>
      <c r="J284" s="15"/>
    </row>
    <row r="285" spans="3:10" ht="20.100000000000001" customHeight="1" x14ac:dyDescent="0.25">
      <c r="C285" s="14"/>
      <c r="D285" s="14"/>
      <c r="E285" s="14"/>
      <c r="F285" s="14"/>
      <c r="G285" s="15"/>
      <c r="H285" s="15"/>
      <c r="I285" s="15"/>
      <c r="J285" s="15"/>
    </row>
    <row r="286" spans="3:10" ht="20.100000000000001" customHeight="1" x14ac:dyDescent="0.25">
      <c r="C286" s="14"/>
      <c r="D286" s="14"/>
      <c r="E286" s="14"/>
      <c r="F286" s="14"/>
      <c r="G286" s="15"/>
      <c r="H286" s="15"/>
      <c r="I286" s="15"/>
      <c r="J286" s="15"/>
    </row>
    <row r="287" spans="3:10" ht="20.100000000000001" customHeight="1" x14ac:dyDescent="0.25">
      <c r="C287" s="14"/>
      <c r="D287" s="14"/>
      <c r="E287" s="14"/>
      <c r="F287" s="14"/>
      <c r="G287" s="15"/>
      <c r="H287" s="15"/>
      <c r="I287" s="15"/>
      <c r="J287" s="15"/>
    </row>
    <row r="288" spans="3:10" ht="20.100000000000001" customHeight="1" x14ac:dyDescent="0.25">
      <c r="C288" s="14"/>
      <c r="D288" s="14"/>
      <c r="E288" s="14"/>
      <c r="F288" s="14"/>
      <c r="G288" s="15"/>
      <c r="H288" s="15"/>
      <c r="I288" s="15"/>
      <c r="J288" s="15"/>
    </row>
    <row r="289" spans="3:10" ht="20.100000000000001" customHeight="1" x14ac:dyDescent="0.25">
      <c r="C289" s="14"/>
      <c r="D289" s="14"/>
      <c r="E289" s="14"/>
      <c r="F289" s="14"/>
      <c r="G289" s="15"/>
      <c r="H289" s="15"/>
      <c r="I289" s="15"/>
      <c r="J289" s="15"/>
    </row>
    <row r="290" spans="3:10" ht="20.100000000000001" customHeight="1" x14ac:dyDescent="0.25">
      <c r="C290" s="14"/>
      <c r="D290" s="14"/>
      <c r="E290" s="14"/>
      <c r="F290" s="14"/>
      <c r="G290" s="15"/>
      <c r="H290" s="15"/>
      <c r="I290" s="15"/>
      <c r="J290" s="15"/>
    </row>
    <row r="291" spans="3:10" ht="20.100000000000001" customHeight="1" x14ac:dyDescent="0.25">
      <c r="C291" s="14"/>
      <c r="D291" s="14"/>
      <c r="E291" s="14"/>
      <c r="F291" s="14"/>
      <c r="G291" s="15"/>
      <c r="H291" s="15"/>
      <c r="I291" s="15"/>
      <c r="J291" s="15"/>
    </row>
    <row r="292" spans="3:10" ht="20.100000000000001" customHeight="1" x14ac:dyDescent="0.25">
      <c r="C292" s="14"/>
      <c r="D292" s="14"/>
      <c r="E292" s="14"/>
      <c r="F292" s="14"/>
      <c r="G292" s="15"/>
      <c r="H292" s="15"/>
      <c r="I292" s="15"/>
      <c r="J292" s="15"/>
    </row>
    <row r="293" spans="3:10" ht="20.100000000000001" customHeight="1" x14ac:dyDescent="0.25">
      <c r="C293" s="14"/>
      <c r="D293" s="14"/>
      <c r="E293" s="14"/>
      <c r="F293" s="14"/>
      <c r="G293" s="15"/>
      <c r="H293" s="15"/>
      <c r="I293" s="15"/>
      <c r="J293" s="15"/>
    </row>
    <row r="294" spans="3:10" ht="20.100000000000001" customHeight="1" x14ac:dyDescent="0.25">
      <c r="C294" s="14"/>
      <c r="D294" s="14"/>
      <c r="E294" s="14"/>
      <c r="F294" s="14"/>
      <c r="G294" s="15"/>
      <c r="H294" s="15"/>
      <c r="I294" s="15"/>
      <c r="J294" s="15"/>
    </row>
    <row r="295" spans="3:10" ht="20.100000000000001" customHeight="1" x14ac:dyDescent="0.25">
      <c r="C295" s="14"/>
      <c r="D295" s="14"/>
      <c r="E295" s="14"/>
      <c r="F295" s="14"/>
      <c r="G295" s="15"/>
      <c r="H295" s="15"/>
      <c r="I295" s="15"/>
      <c r="J295" s="15"/>
    </row>
    <row r="296" spans="3:10" ht="20.100000000000001" customHeight="1" x14ac:dyDescent="0.25">
      <c r="C296" s="14"/>
      <c r="D296" s="14"/>
      <c r="E296" s="14"/>
      <c r="F296" s="14"/>
      <c r="G296" s="15"/>
      <c r="H296" s="15"/>
      <c r="I296" s="15"/>
      <c r="J296" s="15"/>
    </row>
    <row r="297" spans="3:10" ht="20.100000000000001" customHeight="1" x14ac:dyDescent="0.25">
      <c r="C297" s="14"/>
      <c r="D297" s="14"/>
      <c r="E297" s="14"/>
      <c r="F297" s="14"/>
      <c r="G297" s="15"/>
      <c r="H297" s="15"/>
      <c r="I297" s="15"/>
      <c r="J297" s="15"/>
    </row>
    <row r="298" spans="3:10" ht="20.100000000000001" customHeight="1" x14ac:dyDescent="0.25">
      <c r="C298" s="14"/>
      <c r="D298" s="14"/>
      <c r="E298" s="14"/>
      <c r="F298" s="14"/>
      <c r="G298" s="15"/>
      <c r="H298" s="15"/>
      <c r="I298" s="15"/>
      <c r="J298" s="15"/>
    </row>
    <row r="299" spans="3:10" ht="20.100000000000001" customHeight="1" x14ac:dyDescent="0.25">
      <c r="C299" s="14"/>
      <c r="D299" s="14"/>
      <c r="E299" s="14"/>
      <c r="F299" s="14"/>
      <c r="G299" s="15"/>
      <c r="H299" s="15"/>
      <c r="I299" s="15"/>
      <c r="J299" s="15"/>
    </row>
    <row r="300" spans="3:10" ht="20.100000000000001" customHeight="1" x14ac:dyDescent="0.25">
      <c r="C300" s="14"/>
      <c r="D300" s="14"/>
      <c r="E300" s="14"/>
      <c r="F300" s="14"/>
      <c r="G300" s="15"/>
      <c r="H300" s="15"/>
      <c r="I300" s="15"/>
      <c r="J300" s="15"/>
    </row>
    <row r="301" spans="3:10" ht="20.100000000000001" customHeight="1" x14ac:dyDescent="0.25">
      <c r="C301" s="14"/>
      <c r="D301" s="14"/>
      <c r="E301" s="14"/>
      <c r="F301" s="14"/>
      <c r="G301" s="15"/>
      <c r="H301" s="15"/>
      <c r="I301" s="15"/>
      <c r="J301" s="15"/>
    </row>
    <row r="302" spans="3:10" ht="20.100000000000001" customHeight="1" x14ac:dyDescent="0.25">
      <c r="C302" s="14"/>
      <c r="D302" s="14"/>
      <c r="E302" s="14"/>
      <c r="F302" s="14"/>
      <c r="G302" s="15"/>
      <c r="H302" s="15"/>
      <c r="I302" s="15"/>
      <c r="J302" s="15"/>
    </row>
    <row r="303" spans="3:10" ht="20.100000000000001" customHeight="1" x14ac:dyDescent="0.25">
      <c r="C303" s="14"/>
      <c r="D303" s="14"/>
      <c r="E303" s="14"/>
      <c r="F303" s="14"/>
      <c r="G303" s="15"/>
      <c r="H303" s="15"/>
      <c r="I303" s="15"/>
      <c r="J303" s="15"/>
    </row>
    <row r="304" spans="3:10" ht="20.100000000000001" customHeight="1" x14ac:dyDescent="0.25">
      <c r="C304" s="14"/>
      <c r="D304" s="14"/>
      <c r="E304" s="14"/>
      <c r="F304" s="14"/>
      <c r="G304" s="15"/>
      <c r="H304" s="15"/>
      <c r="I304" s="15"/>
      <c r="J304" s="15"/>
    </row>
    <row r="305" spans="3:10" ht="20.100000000000001" customHeight="1" x14ac:dyDescent="0.25">
      <c r="C305" s="14"/>
      <c r="D305" s="14"/>
      <c r="E305" s="14"/>
      <c r="F305" s="14"/>
      <c r="G305" s="15"/>
      <c r="H305" s="15"/>
      <c r="I305" s="15"/>
      <c r="J305" s="15"/>
    </row>
    <row r="306" spans="3:10" ht="20.100000000000001" customHeight="1" x14ac:dyDescent="0.25">
      <c r="C306" s="14"/>
      <c r="D306" s="14"/>
      <c r="E306" s="14"/>
      <c r="F306" s="14"/>
      <c r="G306" s="15"/>
      <c r="H306" s="15"/>
      <c r="I306" s="15"/>
      <c r="J306" s="15"/>
    </row>
    <row r="307" spans="3:10" ht="20.100000000000001" customHeight="1" x14ac:dyDescent="0.25">
      <c r="C307" s="14"/>
      <c r="D307" s="14"/>
      <c r="E307" s="14"/>
      <c r="F307" s="14"/>
      <c r="G307" s="15"/>
      <c r="H307" s="15"/>
      <c r="I307" s="15"/>
      <c r="J307" s="15"/>
    </row>
    <row r="308" spans="3:10" ht="20.100000000000001" customHeight="1" x14ac:dyDescent="0.25">
      <c r="C308" s="14"/>
      <c r="D308" s="14"/>
      <c r="E308" s="14"/>
      <c r="F308" s="14"/>
      <c r="G308" s="15"/>
      <c r="H308" s="15"/>
      <c r="I308" s="15"/>
      <c r="J308" s="15"/>
    </row>
    <row r="309" spans="3:10" ht="20.100000000000001" customHeight="1" x14ac:dyDescent="0.25">
      <c r="C309" s="14"/>
      <c r="D309" s="14"/>
      <c r="E309" s="14"/>
      <c r="F309" s="14"/>
      <c r="G309" s="15"/>
      <c r="H309" s="15"/>
      <c r="I309" s="15"/>
      <c r="J309" s="15"/>
    </row>
    <row r="310" spans="3:10" ht="20.100000000000001" customHeight="1" x14ac:dyDescent="0.25">
      <c r="C310" s="14"/>
      <c r="D310" s="14"/>
      <c r="E310" s="14"/>
      <c r="F310" s="14"/>
      <c r="G310" s="15"/>
      <c r="H310" s="15"/>
      <c r="I310" s="15"/>
      <c r="J310" s="15"/>
    </row>
    <row r="311" spans="3:10" ht="20.100000000000001" customHeight="1" x14ac:dyDescent="0.25">
      <c r="C311" s="14"/>
      <c r="D311" s="14"/>
      <c r="E311" s="14"/>
      <c r="F311" s="14"/>
      <c r="G311" s="15"/>
      <c r="H311" s="15"/>
      <c r="I311" s="15"/>
      <c r="J311" s="15"/>
    </row>
    <row r="312" spans="3:10" ht="20.100000000000001" customHeight="1" x14ac:dyDescent="0.25">
      <c r="C312" s="14"/>
      <c r="D312" s="14"/>
      <c r="E312" s="14"/>
      <c r="F312" s="14"/>
      <c r="G312" s="15"/>
      <c r="H312" s="15"/>
      <c r="I312" s="15"/>
      <c r="J312" s="15"/>
    </row>
    <row r="313" spans="3:10" ht="20.100000000000001" customHeight="1" x14ac:dyDescent="0.25">
      <c r="C313" s="14"/>
      <c r="D313" s="14"/>
      <c r="E313" s="14"/>
      <c r="F313" s="14"/>
      <c r="G313" s="15"/>
      <c r="H313" s="15"/>
      <c r="I313" s="15"/>
      <c r="J313" s="15"/>
    </row>
    <row r="314" spans="3:10" ht="20.100000000000001" customHeight="1" x14ac:dyDescent="0.25">
      <c r="C314" s="14"/>
      <c r="D314" s="14"/>
      <c r="E314" s="14"/>
      <c r="F314" s="14"/>
      <c r="G314" s="15"/>
      <c r="H314" s="15"/>
      <c r="I314" s="15"/>
      <c r="J314" s="15"/>
    </row>
    <row r="315" spans="3:10" ht="20.100000000000001" customHeight="1" x14ac:dyDescent="0.25">
      <c r="C315" s="14"/>
      <c r="D315" s="14"/>
      <c r="E315" s="14"/>
      <c r="F315" s="14"/>
      <c r="G315" s="15"/>
      <c r="H315" s="15"/>
      <c r="I315" s="15"/>
      <c r="J315" s="15"/>
    </row>
    <row r="316" spans="3:10" ht="20.100000000000001" customHeight="1" x14ac:dyDescent="0.25">
      <c r="C316" s="14"/>
      <c r="D316" s="14"/>
      <c r="E316" s="14"/>
      <c r="F316" s="14"/>
      <c r="G316" s="15"/>
      <c r="H316" s="15"/>
      <c r="I316" s="15"/>
      <c r="J316" s="15"/>
    </row>
    <row r="317" spans="3:10" ht="20.100000000000001" customHeight="1" x14ac:dyDescent="0.25">
      <c r="C317" s="14"/>
      <c r="D317" s="14"/>
      <c r="E317" s="14"/>
      <c r="F317" s="14"/>
      <c r="G317" s="15"/>
      <c r="H317" s="15"/>
      <c r="I317" s="15"/>
      <c r="J317" s="15"/>
    </row>
    <row r="318" spans="3:10" ht="20.100000000000001" customHeight="1" x14ac:dyDescent="0.25">
      <c r="C318" s="14"/>
      <c r="D318" s="14"/>
      <c r="E318" s="14"/>
      <c r="F318" s="14"/>
      <c r="G318" s="15"/>
      <c r="H318" s="15"/>
      <c r="I318" s="15"/>
      <c r="J318" s="15"/>
    </row>
    <row r="319" spans="3:10" ht="20.100000000000001" customHeight="1" x14ac:dyDescent="0.25">
      <c r="C319" s="14"/>
      <c r="D319" s="14"/>
      <c r="E319" s="14"/>
      <c r="F319" s="14"/>
      <c r="G319" s="15"/>
      <c r="H319" s="15"/>
      <c r="I319" s="15"/>
      <c r="J319" s="15"/>
    </row>
    <row r="320" spans="3:10" ht="20.100000000000001" customHeight="1" x14ac:dyDescent="0.25">
      <c r="C320" s="14"/>
      <c r="D320" s="14"/>
      <c r="E320" s="14"/>
      <c r="F320" s="14"/>
      <c r="G320" s="15"/>
      <c r="H320" s="15"/>
      <c r="I320" s="15"/>
      <c r="J320" s="15"/>
    </row>
    <row r="321" spans="3:10" ht="20.100000000000001" customHeight="1" x14ac:dyDescent="0.25">
      <c r="C321" s="14"/>
      <c r="D321" s="14"/>
      <c r="E321" s="14"/>
      <c r="F321" s="14"/>
      <c r="G321" s="15"/>
      <c r="H321" s="15"/>
      <c r="I321" s="15"/>
      <c r="J321" s="15"/>
    </row>
    <row r="322" spans="3:10" ht="20.100000000000001" customHeight="1" x14ac:dyDescent="0.25">
      <c r="C322" s="14"/>
      <c r="D322" s="14"/>
      <c r="E322" s="14"/>
      <c r="F322" s="14"/>
      <c r="G322" s="15"/>
      <c r="H322" s="15"/>
      <c r="I322" s="15"/>
      <c r="J322" s="15"/>
    </row>
    <row r="323" spans="3:10" ht="20.100000000000001" customHeight="1" x14ac:dyDescent="0.25">
      <c r="C323" s="14"/>
      <c r="D323" s="14"/>
      <c r="E323" s="14"/>
      <c r="F323" s="14"/>
      <c r="G323" s="15"/>
      <c r="H323" s="15"/>
      <c r="I323" s="15"/>
      <c r="J323" s="15"/>
    </row>
    <row r="324" spans="3:10" ht="20.100000000000001" customHeight="1" x14ac:dyDescent="0.25">
      <c r="C324" s="14"/>
      <c r="D324" s="14"/>
      <c r="E324" s="14"/>
      <c r="F324" s="14"/>
      <c r="G324" s="15"/>
      <c r="H324" s="15"/>
      <c r="I324" s="15"/>
      <c r="J324" s="15"/>
    </row>
    <row r="325" spans="3:10" ht="20.100000000000001" customHeight="1" x14ac:dyDescent="0.25">
      <c r="C325" s="14"/>
      <c r="D325" s="14"/>
      <c r="E325" s="14"/>
      <c r="F325" s="14"/>
      <c r="G325" s="15"/>
      <c r="H325" s="15"/>
      <c r="I325" s="15"/>
      <c r="J325" s="15"/>
    </row>
    <row r="326" spans="3:10" ht="20.100000000000001" customHeight="1" x14ac:dyDescent="0.25">
      <c r="C326" s="14"/>
      <c r="D326" s="14"/>
      <c r="E326" s="14"/>
      <c r="F326" s="14"/>
      <c r="G326" s="15"/>
      <c r="H326" s="15"/>
      <c r="I326" s="15"/>
      <c r="J326" s="15"/>
    </row>
    <row r="327" spans="3:10" ht="20.100000000000001" customHeight="1" x14ac:dyDescent="0.25">
      <c r="C327" s="14"/>
      <c r="D327" s="14"/>
      <c r="E327" s="14"/>
      <c r="F327" s="14"/>
      <c r="G327" s="15"/>
      <c r="H327" s="15"/>
      <c r="I327" s="15"/>
      <c r="J327" s="15"/>
    </row>
    <row r="328" spans="3:10" ht="20.100000000000001" customHeight="1" x14ac:dyDescent="0.25">
      <c r="C328" s="14"/>
      <c r="D328" s="14"/>
      <c r="E328" s="14"/>
      <c r="F328" s="14"/>
      <c r="G328" s="15"/>
      <c r="H328" s="15"/>
      <c r="I328" s="15"/>
      <c r="J328" s="15"/>
    </row>
    <row r="329" spans="3:10" ht="20.100000000000001" customHeight="1" x14ac:dyDescent="0.25">
      <c r="C329" s="14"/>
      <c r="D329" s="14"/>
      <c r="E329" s="14"/>
      <c r="F329" s="14"/>
      <c r="G329" s="15"/>
      <c r="H329" s="15"/>
      <c r="I329" s="15"/>
      <c r="J329" s="15"/>
    </row>
    <row r="330" spans="3:10" ht="20.100000000000001" customHeight="1" x14ac:dyDescent="0.25">
      <c r="C330" s="14"/>
      <c r="D330" s="14"/>
      <c r="E330" s="14"/>
      <c r="F330" s="14"/>
      <c r="G330" s="15"/>
      <c r="H330" s="15"/>
      <c r="I330" s="15"/>
      <c r="J330" s="15"/>
    </row>
    <row r="331" spans="3:10" ht="20.100000000000001" customHeight="1" x14ac:dyDescent="0.25">
      <c r="C331" s="14"/>
      <c r="D331" s="14"/>
      <c r="E331" s="14"/>
      <c r="F331" s="14"/>
      <c r="G331" s="15"/>
      <c r="H331" s="15"/>
      <c r="I331" s="15"/>
      <c r="J331" s="15"/>
    </row>
    <row r="332" spans="3:10" ht="20.100000000000001" customHeight="1" x14ac:dyDescent="0.25">
      <c r="C332" s="14"/>
      <c r="D332" s="14"/>
      <c r="E332" s="14"/>
      <c r="F332" s="14"/>
      <c r="G332" s="15"/>
      <c r="H332" s="15"/>
      <c r="I332" s="15"/>
      <c r="J332" s="15"/>
    </row>
    <row r="333" spans="3:10" ht="20.100000000000001" customHeight="1" x14ac:dyDescent="0.25">
      <c r="C333" s="14"/>
      <c r="D333" s="14"/>
      <c r="E333" s="14"/>
      <c r="F333" s="14"/>
      <c r="G333" s="15"/>
      <c r="H333" s="15"/>
      <c r="I333" s="15"/>
      <c r="J333" s="15"/>
    </row>
    <row r="334" spans="3:10" ht="20.100000000000001" customHeight="1" x14ac:dyDescent="0.25">
      <c r="C334" s="14"/>
      <c r="D334" s="14"/>
      <c r="E334" s="14"/>
      <c r="F334" s="14"/>
      <c r="G334" s="15"/>
      <c r="H334" s="15"/>
      <c r="I334" s="15"/>
      <c r="J334" s="15"/>
    </row>
    <row r="335" spans="3:10" ht="20.100000000000001" customHeight="1" x14ac:dyDescent="0.25">
      <c r="C335" s="14"/>
      <c r="D335" s="14"/>
      <c r="E335" s="14"/>
      <c r="F335" s="14"/>
      <c r="G335" s="15"/>
      <c r="H335" s="15"/>
      <c r="I335" s="15"/>
      <c r="J335" s="15"/>
    </row>
    <row r="336" spans="3:10" ht="20.100000000000001" customHeight="1" x14ac:dyDescent="0.25">
      <c r="C336" s="14"/>
      <c r="D336" s="14"/>
      <c r="E336" s="14"/>
      <c r="F336" s="14"/>
      <c r="G336" s="15"/>
      <c r="H336" s="15"/>
      <c r="I336" s="15"/>
      <c r="J336" s="15"/>
    </row>
    <row r="337" spans="3:10" ht="20.100000000000001" customHeight="1" x14ac:dyDescent="0.25">
      <c r="C337" s="14"/>
      <c r="D337" s="14"/>
      <c r="E337" s="14"/>
      <c r="F337" s="14"/>
      <c r="G337" s="15"/>
      <c r="H337" s="15"/>
      <c r="I337" s="15"/>
      <c r="J337" s="15"/>
    </row>
    <row r="338" spans="3:10" ht="20.100000000000001" customHeight="1" x14ac:dyDescent="0.25">
      <c r="C338" s="14"/>
      <c r="D338" s="14"/>
      <c r="E338" s="14"/>
      <c r="F338" s="14"/>
      <c r="G338" s="15"/>
      <c r="H338" s="15"/>
      <c r="I338" s="15"/>
      <c r="J338" s="15"/>
    </row>
    <row r="339" spans="3:10" ht="20.100000000000001" customHeight="1" x14ac:dyDescent="0.25">
      <c r="C339" s="14"/>
      <c r="D339" s="14"/>
      <c r="E339" s="14"/>
      <c r="F339" s="14"/>
      <c r="G339" s="15"/>
      <c r="H339" s="15"/>
      <c r="I339" s="15"/>
      <c r="J339" s="15"/>
    </row>
    <row r="340" spans="3:10" ht="20.100000000000001" customHeight="1" x14ac:dyDescent="0.25">
      <c r="C340" s="14"/>
      <c r="D340" s="14"/>
      <c r="E340" s="14"/>
      <c r="F340" s="14"/>
      <c r="G340" s="15"/>
      <c r="H340" s="15"/>
      <c r="I340" s="15"/>
      <c r="J340" s="15"/>
    </row>
    <row r="341" spans="3:10" ht="20.100000000000001" customHeight="1" x14ac:dyDescent="0.25">
      <c r="C341" s="14"/>
      <c r="D341" s="14"/>
      <c r="E341" s="14"/>
      <c r="F341" s="14"/>
      <c r="G341" s="15"/>
      <c r="H341" s="15"/>
      <c r="I341" s="15"/>
      <c r="J341" s="15"/>
    </row>
    <row r="342" spans="3:10" ht="20.100000000000001" customHeight="1" x14ac:dyDescent="0.25">
      <c r="C342" s="14"/>
      <c r="D342" s="14"/>
      <c r="E342" s="14"/>
      <c r="F342" s="14"/>
      <c r="G342" s="15"/>
      <c r="H342" s="15"/>
      <c r="I342" s="15"/>
      <c r="J342" s="15"/>
    </row>
    <row r="343" spans="3:10" ht="20.100000000000001" customHeight="1" x14ac:dyDescent="0.25">
      <c r="C343" s="14"/>
      <c r="D343" s="14"/>
      <c r="E343" s="14"/>
      <c r="F343" s="14"/>
      <c r="G343" s="15"/>
      <c r="H343" s="15"/>
      <c r="I343" s="15"/>
      <c r="J343" s="15"/>
    </row>
    <row r="344" spans="3:10" ht="20.100000000000001" customHeight="1" x14ac:dyDescent="0.25">
      <c r="C344" s="14"/>
      <c r="D344" s="14"/>
      <c r="E344" s="14"/>
      <c r="F344" s="14"/>
      <c r="G344" s="15"/>
      <c r="H344" s="15"/>
      <c r="I344" s="15"/>
      <c r="J344" s="15"/>
    </row>
    <row r="345" spans="3:10" ht="20.100000000000001" customHeight="1" x14ac:dyDescent="0.25">
      <c r="C345" s="14"/>
      <c r="D345" s="14"/>
      <c r="E345" s="14"/>
      <c r="F345" s="14"/>
      <c r="G345" s="15"/>
      <c r="H345" s="15"/>
      <c r="I345" s="15"/>
      <c r="J345" s="15"/>
    </row>
    <row r="346" spans="3:10" ht="20.100000000000001" customHeight="1" x14ac:dyDescent="0.25">
      <c r="C346" s="14"/>
      <c r="D346" s="14"/>
      <c r="E346" s="14"/>
      <c r="F346" s="14"/>
      <c r="G346" s="15"/>
      <c r="H346" s="15"/>
      <c r="I346" s="15"/>
      <c r="J346" s="15"/>
    </row>
    <row r="347" spans="3:10" ht="20.100000000000001" customHeight="1" x14ac:dyDescent="0.25">
      <c r="C347" s="14"/>
      <c r="D347" s="14"/>
      <c r="E347" s="14"/>
      <c r="F347" s="14"/>
      <c r="G347" s="15"/>
      <c r="H347" s="15"/>
      <c r="I347" s="15"/>
      <c r="J347" s="15"/>
    </row>
    <row r="348" spans="3:10" ht="20.100000000000001" customHeight="1" x14ac:dyDescent="0.25">
      <c r="C348" s="14"/>
      <c r="D348" s="14"/>
      <c r="E348" s="14"/>
      <c r="F348" s="14"/>
      <c r="G348" s="15"/>
      <c r="H348" s="15"/>
      <c r="I348" s="15"/>
      <c r="J348" s="15"/>
    </row>
    <row r="349" spans="3:10" ht="20.100000000000001" customHeight="1" x14ac:dyDescent="0.25">
      <c r="C349" s="14"/>
      <c r="D349" s="14"/>
      <c r="E349" s="14"/>
      <c r="F349" s="14"/>
      <c r="G349" s="15"/>
      <c r="H349" s="15"/>
      <c r="I349" s="15"/>
      <c r="J349" s="15"/>
    </row>
    <row r="350" spans="3:10" ht="20.100000000000001" customHeight="1" x14ac:dyDescent="0.25">
      <c r="C350" s="14"/>
      <c r="D350" s="14"/>
      <c r="E350" s="14"/>
      <c r="F350" s="14"/>
      <c r="G350" s="15"/>
      <c r="H350" s="15"/>
      <c r="I350" s="15"/>
      <c r="J350" s="15"/>
    </row>
    <row r="351" spans="3:10" ht="20.100000000000001" customHeight="1" x14ac:dyDescent="0.25">
      <c r="C351" s="14"/>
      <c r="D351" s="14"/>
      <c r="E351" s="14"/>
      <c r="F351" s="14"/>
      <c r="G351" s="15"/>
      <c r="H351" s="15"/>
      <c r="I351" s="15"/>
      <c r="J351" s="15"/>
    </row>
    <row r="352" spans="3:10" ht="20.100000000000001" customHeight="1" x14ac:dyDescent="0.25">
      <c r="C352" s="14"/>
      <c r="D352" s="14"/>
      <c r="E352" s="14"/>
      <c r="F352" s="14"/>
      <c r="G352" s="15"/>
      <c r="H352" s="15"/>
      <c r="I352" s="15"/>
      <c r="J352" s="15"/>
    </row>
    <row r="353" spans="3:10" ht="20.100000000000001" customHeight="1" x14ac:dyDescent="0.25">
      <c r="C353" s="14"/>
      <c r="D353" s="14"/>
      <c r="E353" s="14"/>
      <c r="F353" s="14"/>
      <c r="G353" s="15"/>
      <c r="H353" s="15"/>
      <c r="I353" s="15"/>
      <c r="J353" s="15"/>
    </row>
    <row r="354" spans="3:10" ht="20.100000000000001" customHeight="1" x14ac:dyDescent="0.25">
      <c r="C354" s="14"/>
      <c r="D354" s="14"/>
      <c r="E354" s="14"/>
      <c r="F354" s="14"/>
      <c r="G354" s="15"/>
      <c r="H354" s="15"/>
      <c r="I354" s="15"/>
      <c r="J354" s="15"/>
    </row>
    <row r="355" spans="3:10" ht="20.100000000000001" customHeight="1" x14ac:dyDescent="0.25">
      <c r="C355" s="14"/>
      <c r="D355" s="14"/>
      <c r="E355" s="14"/>
      <c r="F355" s="14"/>
      <c r="G355" s="15"/>
      <c r="H355" s="15"/>
      <c r="I355" s="15"/>
      <c r="J355" s="15"/>
    </row>
    <row r="356" spans="3:10" ht="20.100000000000001" customHeight="1" x14ac:dyDescent="0.25">
      <c r="C356" s="14"/>
      <c r="D356" s="14"/>
      <c r="E356" s="14"/>
      <c r="F356" s="14"/>
      <c r="G356" s="15"/>
      <c r="H356" s="15"/>
      <c r="I356" s="15"/>
      <c r="J356" s="15"/>
    </row>
    <row r="357" spans="3:10" ht="20.100000000000001" customHeight="1" x14ac:dyDescent="0.25">
      <c r="C357" s="14"/>
      <c r="D357" s="14"/>
      <c r="E357" s="14"/>
      <c r="F357" s="14"/>
      <c r="G357" s="15"/>
      <c r="H357" s="15"/>
      <c r="I357" s="15"/>
      <c r="J357" s="15"/>
    </row>
    <row r="358" spans="3:10" ht="20.100000000000001" customHeight="1" x14ac:dyDescent="0.25">
      <c r="C358" s="14"/>
      <c r="D358" s="14"/>
      <c r="E358" s="14"/>
      <c r="F358" s="14"/>
      <c r="G358" s="15"/>
      <c r="H358" s="15"/>
      <c r="I358" s="15"/>
      <c r="J358" s="15"/>
    </row>
    <row r="359" spans="3:10" ht="20.100000000000001" customHeight="1" x14ac:dyDescent="0.25">
      <c r="C359" s="14"/>
      <c r="D359" s="14"/>
      <c r="E359" s="14"/>
      <c r="F359" s="14"/>
      <c r="G359" s="15"/>
      <c r="H359" s="15"/>
      <c r="I359" s="15"/>
      <c r="J359" s="15"/>
    </row>
    <row r="360" spans="3:10" ht="20.100000000000001" customHeight="1" x14ac:dyDescent="0.25">
      <c r="C360" s="14"/>
      <c r="D360" s="14"/>
      <c r="E360" s="14"/>
      <c r="F360" s="14"/>
      <c r="G360" s="15"/>
      <c r="H360" s="15"/>
      <c r="I360" s="15"/>
      <c r="J360" s="15"/>
    </row>
    <row r="361" spans="3:10" ht="20.100000000000001" customHeight="1" x14ac:dyDescent="0.25">
      <c r="C361" s="14"/>
      <c r="D361" s="14"/>
      <c r="E361" s="14"/>
      <c r="F361" s="14"/>
      <c r="G361" s="15"/>
      <c r="H361" s="15"/>
      <c r="I361" s="15"/>
      <c r="J361" s="15"/>
    </row>
    <row r="362" spans="3:10" ht="20.100000000000001" customHeight="1" x14ac:dyDescent="0.25">
      <c r="C362" s="14"/>
      <c r="D362" s="14"/>
      <c r="E362" s="14"/>
      <c r="F362" s="14"/>
      <c r="G362" s="15"/>
      <c r="H362" s="15"/>
      <c r="I362" s="15"/>
      <c r="J362" s="15"/>
    </row>
    <row r="363" spans="3:10" ht="20.100000000000001" customHeight="1" x14ac:dyDescent="0.25">
      <c r="C363" s="14"/>
      <c r="D363" s="14"/>
      <c r="E363" s="14"/>
      <c r="F363" s="14"/>
      <c r="G363" s="15"/>
      <c r="H363" s="15"/>
      <c r="I363" s="15"/>
      <c r="J363" s="15"/>
    </row>
    <row r="364" spans="3:10" ht="20.100000000000001" customHeight="1" x14ac:dyDescent="0.25">
      <c r="C364" s="14"/>
      <c r="D364" s="14"/>
      <c r="E364" s="14"/>
      <c r="F364" s="14"/>
      <c r="G364" s="15"/>
      <c r="H364" s="15"/>
      <c r="I364" s="15"/>
      <c r="J364" s="15"/>
    </row>
    <row r="365" spans="3:10" ht="20.100000000000001" customHeight="1" x14ac:dyDescent="0.25">
      <c r="C365" s="14"/>
      <c r="D365" s="14"/>
      <c r="E365" s="14"/>
      <c r="F365" s="14"/>
      <c r="G365" s="15"/>
      <c r="H365" s="15"/>
      <c r="I365" s="15"/>
      <c r="J365" s="15"/>
    </row>
    <row r="366" spans="3:10" ht="20.100000000000001" customHeight="1" x14ac:dyDescent="0.25">
      <c r="C366" s="14"/>
      <c r="D366" s="14"/>
      <c r="E366" s="14"/>
      <c r="F366" s="14"/>
      <c r="G366" s="15"/>
      <c r="H366" s="15"/>
      <c r="I366" s="15"/>
      <c r="J366" s="15"/>
    </row>
    <row r="367" spans="3:10" ht="20.100000000000001" customHeight="1" x14ac:dyDescent="0.25">
      <c r="C367" s="14"/>
      <c r="D367" s="14"/>
      <c r="E367" s="14"/>
      <c r="F367" s="14"/>
      <c r="G367" s="15"/>
      <c r="H367" s="15"/>
      <c r="I367" s="15"/>
      <c r="J367" s="15"/>
    </row>
    <row r="368" spans="3:10" ht="20.100000000000001" customHeight="1" x14ac:dyDescent="0.25">
      <c r="C368" s="14"/>
      <c r="D368" s="14"/>
      <c r="E368" s="14"/>
      <c r="F368" s="14"/>
      <c r="G368" s="15"/>
      <c r="H368" s="15"/>
      <c r="I368" s="15"/>
      <c r="J368" s="15"/>
    </row>
    <row r="369" spans="3:10" ht="20.100000000000001" customHeight="1" x14ac:dyDescent="0.25">
      <c r="C369" s="14"/>
      <c r="D369" s="14"/>
      <c r="E369" s="14"/>
      <c r="F369" s="14"/>
      <c r="G369" s="15"/>
      <c r="H369" s="15"/>
      <c r="I369" s="15"/>
      <c r="J369" s="15"/>
    </row>
    <row r="370" spans="3:10" ht="20.100000000000001" customHeight="1" x14ac:dyDescent="0.25">
      <c r="C370" s="14"/>
      <c r="D370" s="14"/>
      <c r="E370" s="14"/>
      <c r="F370" s="14"/>
      <c r="G370" s="15"/>
      <c r="H370" s="15"/>
      <c r="I370" s="15"/>
      <c r="J370" s="15"/>
    </row>
    <row r="371" spans="3:10" ht="20.100000000000001" customHeight="1" x14ac:dyDescent="0.25">
      <c r="C371" s="14"/>
      <c r="D371" s="14"/>
      <c r="E371" s="14"/>
      <c r="F371" s="14"/>
      <c r="G371" s="15"/>
      <c r="H371" s="15"/>
      <c r="I371" s="15"/>
      <c r="J371" s="15"/>
    </row>
    <row r="372" spans="3:10" ht="20.100000000000001" customHeight="1" x14ac:dyDescent="0.25">
      <c r="C372" s="14"/>
      <c r="D372" s="14"/>
      <c r="E372" s="14"/>
      <c r="F372" s="14"/>
      <c r="G372" s="15"/>
      <c r="H372" s="15"/>
      <c r="I372" s="15"/>
      <c r="J372" s="15"/>
    </row>
    <row r="373" spans="3:10" ht="20.100000000000001" customHeight="1" x14ac:dyDescent="0.25">
      <c r="C373" s="14"/>
      <c r="D373" s="14"/>
      <c r="E373" s="14"/>
      <c r="F373" s="14"/>
      <c r="G373" s="15"/>
      <c r="H373" s="15"/>
      <c r="I373" s="15"/>
      <c r="J373" s="15"/>
    </row>
    <row r="374" spans="3:10" ht="20.100000000000001" customHeight="1" x14ac:dyDescent="0.25">
      <c r="C374" s="14"/>
      <c r="D374" s="14"/>
      <c r="E374" s="14"/>
      <c r="F374" s="14"/>
      <c r="G374" s="15"/>
      <c r="H374" s="15"/>
      <c r="I374" s="15"/>
      <c r="J374" s="15"/>
    </row>
    <row r="375" spans="3:10" ht="20.100000000000001" customHeight="1" x14ac:dyDescent="0.25">
      <c r="C375" s="14"/>
      <c r="D375" s="14"/>
      <c r="E375" s="14"/>
      <c r="F375" s="14"/>
      <c r="G375" s="15"/>
      <c r="H375" s="15"/>
      <c r="I375" s="15"/>
      <c r="J375" s="15"/>
    </row>
    <row r="376" spans="3:10" ht="20.100000000000001" customHeight="1" x14ac:dyDescent="0.25">
      <c r="C376" s="14"/>
      <c r="D376" s="14"/>
      <c r="E376" s="14"/>
      <c r="F376" s="14"/>
      <c r="G376" s="15"/>
      <c r="H376" s="15"/>
      <c r="I376" s="15"/>
      <c r="J376" s="15"/>
    </row>
    <row r="377" spans="3:10" ht="20.100000000000001" customHeight="1" x14ac:dyDescent="0.25">
      <c r="C377" s="14"/>
      <c r="D377" s="14"/>
      <c r="E377" s="14"/>
      <c r="F377" s="14"/>
      <c r="G377" s="15"/>
      <c r="H377" s="15"/>
      <c r="I377" s="15"/>
      <c r="J377" s="15"/>
    </row>
    <row r="378" spans="3:10" ht="20.100000000000001" customHeight="1" x14ac:dyDescent="0.25">
      <c r="C378" s="14"/>
      <c r="D378" s="14"/>
      <c r="E378" s="14"/>
      <c r="F378" s="14"/>
      <c r="G378" s="15"/>
      <c r="H378" s="15"/>
      <c r="I378" s="15"/>
      <c r="J378" s="15"/>
    </row>
    <row r="379" spans="3:10" ht="20.100000000000001" customHeight="1" x14ac:dyDescent="0.25">
      <c r="C379" s="14"/>
      <c r="D379" s="14"/>
      <c r="E379" s="14"/>
      <c r="F379" s="14"/>
      <c r="G379" s="15"/>
      <c r="H379" s="15"/>
      <c r="I379" s="15"/>
      <c r="J379" s="15"/>
    </row>
    <row r="380" spans="3:10" ht="20.100000000000001" customHeight="1" x14ac:dyDescent="0.25">
      <c r="C380" s="14"/>
      <c r="D380" s="14"/>
      <c r="E380" s="14"/>
      <c r="F380" s="14"/>
      <c r="G380" s="15"/>
      <c r="H380" s="15"/>
      <c r="I380" s="15"/>
      <c r="J380" s="15"/>
    </row>
    <row r="381" spans="3:10" ht="20.100000000000001" customHeight="1" x14ac:dyDescent="0.25">
      <c r="C381" s="14"/>
      <c r="D381" s="14"/>
      <c r="E381" s="14"/>
      <c r="F381" s="14"/>
      <c r="G381" s="15"/>
      <c r="H381" s="15"/>
      <c r="I381" s="15"/>
      <c r="J381" s="15"/>
    </row>
    <row r="382" spans="3:10" ht="20.100000000000001" customHeight="1" x14ac:dyDescent="0.25">
      <c r="C382" s="14"/>
      <c r="D382" s="14"/>
      <c r="E382" s="14"/>
      <c r="F382" s="14"/>
      <c r="G382" s="15"/>
      <c r="H382" s="15"/>
      <c r="I382" s="15"/>
      <c r="J382" s="15"/>
    </row>
    <row r="383" spans="3:10" ht="20.100000000000001" customHeight="1" x14ac:dyDescent="0.25">
      <c r="C383" s="14"/>
      <c r="D383" s="14"/>
      <c r="E383" s="14"/>
      <c r="F383" s="14"/>
      <c r="G383" s="15"/>
      <c r="H383" s="15"/>
      <c r="I383" s="15"/>
      <c r="J383" s="15"/>
    </row>
    <row r="384" spans="3:10" ht="20.100000000000001" customHeight="1" x14ac:dyDescent="0.25">
      <c r="C384" s="14"/>
      <c r="D384" s="14"/>
      <c r="E384" s="14"/>
      <c r="F384" s="14"/>
      <c r="G384" s="15"/>
      <c r="H384" s="15"/>
      <c r="I384" s="15"/>
      <c r="J384" s="15"/>
    </row>
    <row r="385" spans="3:10" ht="20.100000000000001" customHeight="1" x14ac:dyDescent="0.25">
      <c r="C385" s="14"/>
      <c r="D385" s="14"/>
      <c r="E385" s="14"/>
      <c r="F385" s="14"/>
      <c r="G385" s="15"/>
      <c r="H385" s="15"/>
      <c r="I385" s="15"/>
      <c r="J385" s="15"/>
    </row>
    <row r="386" spans="3:10" ht="20.100000000000001" customHeight="1" x14ac:dyDescent="0.25">
      <c r="C386" s="14"/>
      <c r="D386" s="14"/>
      <c r="E386" s="14"/>
      <c r="F386" s="14"/>
      <c r="G386" s="15"/>
      <c r="H386" s="15"/>
      <c r="I386" s="15"/>
      <c r="J386" s="15"/>
    </row>
    <row r="387" spans="3:10" ht="20.100000000000001" customHeight="1" x14ac:dyDescent="0.25">
      <c r="C387" s="14"/>
      <c r="D387" s="14"/>
      <c r="E387" s="14"/>
      <c r="F387" s="14"/>
      <c r="G387" s="15"/>
      <c r="H387" s="15"/>
      <c r="I387" s="15"/>
      <c r="J387" s="15"/>
    </row>
    <row r="388" spans="3:10" ht="20.100000000000001" customHeight="1" x14ac:dyDescent="0.25">
      <c r="C388" s="14"/>
      <c r="D388" s="14"/>
      <c r="E388" s="14"/>
      <c r="F388" s="14"/>
      <c r="G388" s="15"/>
      <c r="H388" s="15"/>
      <c r="I388" s="15"/>
      <c r="J388" s="15"/>
    </row>
    <row r="389" spans="3:10" ht="20.100000000000001" customHeight="1" x14ac:dyDescent="0.25">
      <c r="C389" s="14"/>
      <c r="D389" s="14"/>
      <c r="E389" s="14"/>
      <c r="F389" s="14"/>
      <c r="G389" s="15"/>
      <c r="H389" s="15"/>
      <c r="I389" s="15"/>
      <c r="J389" s="15"/>
    </row>
    <row r="390" spans="3:10" ht="20.100000000000001" customHeight="1" x14ac:dyDescent="0.25">
      <c r="C390" s="14"/>
      <c r="D390" s="14"/>
      <c r="E390" s="14"/>
      <c r="F390" s="14"/>
      <c r="G390" s="15"/>
      <c r="H390" s="15"/>
      <c r="I390" s="15"/>
      <c r="J390" s="15"/>
    </row>
    <row r="391" spans="3:10" ht="20.100000000000001" customHeight="1" x14ac:dyDescent="0.25">
      <c r="C391" s="14"/>
      <c r="D391" s="14"/>
      <c r="E391" s="14"/>
      <c r="F391" s="14"/>
      <c r="G391" s="15"/>
      <c r="H391" s="15"/>
      <c r="I391" s="15"/>
      <c r="J391" s="15"/>
    </row>
    <row r="392" spans="3:10" ht="20.100000000000001" customHeight="1" x14ac:dyDescent="0.25">
      <c r="C392" s="14"/>
      <c r="D392" s="14"/>
      <c r="E392" s="14"/>
      <c r="F392" s="14"/>
      <c r="G392" s="15"/>
      <c r="H392" s="15"/>
      <c r="I392" s="15"/>
      <c r="J392" s="15"/>
    </row>
    <row r="393" spans="3:10" ht="20.100000000000001" customHeight="1" x14ac:dyDescent="0.25">
      <c r="C393" s="14"/>
      <c r="D393" s="14"/>
      <c r="E393" s="14"/>
      <c r="F393" s="14"/>
      <c r="G393" s="15"/>
      <c r="H393" s="15"/>
      <c r="I393" s="15"/>
      <c r="J393" s="15"/>
    </row>
    <row r="394" spans="3:10" ht="20.100000000000001" customHeight="1" x14ac:dyDescent="0.25">
      <c r="C394" s="14"/>
      <c r="D394" s="14"/>
      <c r="E394" s="14"/>
      <c r="F394" s="14"/>
      <c r="G394" s="15"/>
      <c r="H394" s="15"/>
      <c r="I394" s="15"/>
      <c r="J394" s="15"/>
    </row>
    <row r="395" spans="3:10" ht="20.100000000000001" customHeight="1" x14ac:dyDescent="0.25">
      <c r="C395" s="14"/>
      <c r="D395" s="14"/>
      <c r="E395" s="14"/>
      <c r="F395" s="14"/>
      <c r="G395" s="15"/>
      <c r="H395" s="15"/>
      <c r="I395" s="15"/>
      <c r="J395" s="15"/>
    </row>
    <row r="396" spans="3:10" ht="20.100000000000001" customHeight="1" x14ac:dyDescent="0.25">
      <c r="C396" s="14"/>
      <c r="D396" s="14"/>
      <c r="E396" s="14"/>
      <c r="F396" s="14"/>
      <c r="G396" s="15"/>
      <c r="H396" s="15"/>
      <c r="I396" s="15"/>
      <c r="J396" s="15"/>
    </row>
    <row r="397" spans="3:10" ht="20.100000000000001" customHeight="1" x14ac:dyDescent="0.25">
      <c r="C397" s="14"/>
      <c r="D397" s="14"/>
      <c r="E397" s="14"/>
      <c r="F397" s="14"/>
      <c r="G397" s="15"/>
      <c r="H397" s="15"/>
      <c r="I397" s="15"/>
      <c r="J397" s="15"/>
    </row>
    <row r="398" spans="3:10" ht="20.100000000000001" customHeight="1" x14ac:dyDescent="0.25">
      <c r="C398" s="14"/>
      <c r="D398" s="14"/>
      <c r="E398" s="14"/>
      <c r="F398" s="14"/>
      <c r="G398" s="15"/>
      <c r="H398" s="15"/>
      <c r="I398" s="15"/>
      <c r="J398" s="15"/>
    </row>
    <row r="399" spans="3:10" ht="20.100000000000001" customHeight="1" x14ac:dyDescent="0.25">
      <c r="C399" s="14"/>
      <c r="D399" s="14"/>
      <c r="E399" s="14"/>
      <c r="F399" s="14"/>
      <c r="G399" s="15"/>
      <c r="H399" s="15"/>
      <c r="I399" s="15"/>
      <c r="J399" s="15"/>
    </row>
    <row r="400" spans="3:10" ht="20.100000000000001" customHeight="1" x14ac:dyDescent="0.25">
      <c r="C400" s="14"/>
      <c r="D400" s="14"/>
      <c r="E400" s="14"/>
      <c r="F400" s="14"/>
      <c r="G400" s="15"/>
      <c r="H400" s="15"/>
      <c r="I400" s="15"/>
      <c r="J400" s="15"/>
    </row>
    <row r="401" spans="3:10" ht="20.100000000000001" customHeight="1" x14ac:dyDescent="0.25">
      <c r="C401" s="14"/>
      <c r="D401" s="14"/>
      <c r="E401" s="14"/>
      <c r="F401" s="14"/>
      <c r="G401" s="15"/>
      <c r="H401" s="15"/>
      <c r="I401" s="15"/>
      <c r="J401" s="15"/>
    </row>
    <row r="402" spans="3:10" ht="20.100000000000001" customHeight="1" x14ac:dyDescent="0.25">
      <c r="C402" s="14"/>
      <c r="D402" s="14"/>
      <c r="E402" s="14"/>
      <c r="F402" s="14"/>
      <c r="G402" s="15"/>
      <c r="H402" s="15"/>
      <c r="I402" s="15"/>
      <c r="J402" s="15"/>
    </row>
    <row r="403" spans="3:10" ht="20.100000000000001" customHeight="1" x14ac:dyDescent="0.25">
      <c r="C403" s="14"/>
      <c r="D403" s="14"/>
      <c r="E403" s="14"/>
      <c r="F403" s="14"/>
      <c r="G403" s="15"/>
      <c r="H403" s="15"/>
      <c r="I403" s="15"/>
      <c r="J403" s="15"/>
    </row>
    <row r="404" spans="3:10" ht="20.100000000000001" customHeight="1" x14ac:dyDescent="0.25">
      <c r="C404" s="14"/>
      <c r="D404" s="14"/>
      <c r="E404" s="14"/>
      <c r="F404" s="14"/>
      <c r="G404" s="15"/>
      <c r="H404" s="15"/>
      <c r="I404" s="15"/>
      <c r="J404" s="15"/>
    </row>
    <row r="405" spans="3:10" ht="20.100000000000001" customHeight="1" x14ac:dyDescent="0.25">
      <c r="C405" s="14"/>
      <c r="D405" s="14"/>
      <c r="E405" s="14"/>
      <c r="F405" s="14"/>
      <c r="G405" s="15"/>
      <c r="H405" s="15"/>
      <c r="I405" s="15"/>
      <c r="J405" s="15"/>
    </row>
    <row r="406" spans="3:10" ht="20.100000000000001" customHeight="1" x14ac:dyDescent="0.25">
      <c r="C406" s="14"/>
      <c r="D406" s="14"/>
      <c r="E406" s="14"/>
      <c r="F406" s="14"/>
      <c r="G406" s="15"/>
      <c r="H406" s="15"/>
      <c r="I406" s="15"/>
      <c r="J406" s="15"/>
    </row>
    <row r="407" spans="3:10" ht="20.100000000000001" customHeight="1" x14ac:dyDescent="0.25">
      <c r="C407" s="14"/>
      <c r="D407" s="14"/>
      <c r="E407" s="14"/>
      <c r="F407" s="14"/>
      <c r="G407" s="15"/>
      <c r="H407" s="15"/>
      <c r="I407" s="15"/>
      <c r="J407" s="15"/>
    </row>
    <row r="408" spans="3:10" ht="20.100000000000001" customHeight="1" x14ac:dyDescent="0.25">
      <c r="C408" s="14"/>
      <c r="D408" s="14"/>
      <c r="E408" s="14"/>
      <c r="F408" s="14"/>
      <c r="G408" s="15"/>
      <c r="H408" s="15"/>
      <c r="I408" s="15"/>
      <c r="J408" s="15"/>
    </row>
    <row r="409" spans="3:10" ht="20.100000000000001" customHeight="1" x14ac:dyDescent="0.25">
      <c r="C409" s="14"/>
      <c r="D409" s="14"/>
      <c r="E409" s="14"/>
      <c r="F409" s="14"/>
      <c r="G409" s="15"/>
      <c r="H409" s="15"/>
      <c r="I409" s="15"/>
      <c r="J409" s="15"/>
    </row>
    <row r="410" spans="3:10" ht="20.100000000000001" customHeight="1" x14ac:dyDescent="0.25">
      <c r="C410" s="14"/>
      <c r="D410" s="14"/>
      <c r="E410" s="14"/>
      <c r="F410" s="14"/>
      <c r="G410" s="15"/>
      <c r="H410" s="15"/>
      <c r="I410" s="15"/>
      <c r="J410" s="15"/>
    </row>
    <row r="411" spans="3:10" ht="20.100000000000001" customHeight="1" x14ac:dyDescent="0.25">
      <c r="C411" s="14"/>
      <c r="D411" s="14"/>
      <c r="E411" s="14"/>
      <c r="F411" s="14"/>
      <c r="G411" s="15"/>
      <c r="H411" s="15"/>
      <c r="I411" s="15"/>
      <c r="J411" s="15"/>
    </row>
    <row r="412" spans="3:10" ht="20.100000000000001" customHeight="1" x14ac:dyDescent="0.25">
      <c r="C412" s="14"/>
      <c r="D412" s="14"/>
      <c r="E412" s="14"/>
      <c r="F412" s="14"/>
      <c r="G412" s="15"/>
      <c r="H412" s="15"/>
      <c r="I412" s="15"/>
      <c r="J412" s="15"/>
    </row>
    <row r="413" spans="3:10" ht="20.100000000000001" customHeight="1" x14ac:dyDescent="0.25">
      <c r="C413" s="14"/>
      <c r="D413" s="14"/>
      <c r="E413" s="14"/>
      <c r="F413" s="14"/>
      <c r="G413" s="15"/>
      <c r="H413" s="15"/>
      <c r="I413" s="15"/>
      <c r="J413" s="15"/>
    </row>
    <row r="414" spans="3:10" ht="20.100000000000001" customHeight="1" x14ac:dyDescent="0.25">
      <c r="C414" s="14"/>
      <c r="D414" s="14"/>
      <c r="E414" s="14"/>
      <c r="F414" s="14"/>
      <c r="G414" s="15"/>
      <c r="H414" s="15"/>
      <c r="I414" s="15"/>
      <c r="J414" s="15"/>
    </row>
    <row r="415" spans="3:10" ht="20.100000000000001" customHeight="1" x14ac:dyDescent="0.25">
      <c r="C415" s="14"/>
      <c r="D415" s="14"/>
      <c r="E415" s="14"/>
      <c r="F415" s="14"/>
      <c r="G415" s="15"/>
      <c r="H415" s="15"/>
      <c r="I415" s="15"/>
      <c r="J415" s="15"/>
    </row>
    <row r="416" spans="3:10" ht="20.100000000000001" customHeight="1" x14ac:dyDescent="0.25">
      <c r="C416" s="14"/>
      <c r="D416" s="14"/>
      <c r="E416" s="14"/>
      <c r="F416" s="14"/>
      <c r="G416" s="15"/>
      <c r="H416" s="15"/>
      <c r="I416" s="15"/>
      <c r="J416" s="15"/>
    </row>
    <row r="417" spans="3:10" ht="20.100000000000001" customHeight="1" x14ac:dyDescent="0.25">
      <c r="C417" s="14"/>
      <c r="D417" s="14"/>
      <c r="E417" s="14"/>
      <c r="F417" s="14"/>
      <c r="G417" s="15"/>
      <c r="H417" s="15"/>
      <c r="I417" s="15"/>
      <c r="J417" s="15"/>
    </row>
    <row r="418" spans="3:10" ht="20.100000000000001" customHeight="1" x14ac:dyDescent="0.25">
      <c r="C418" s="14"/>
      <c r="D418" s="14"/>
      <c r="E418" s="14"/>
      <c r="F418" s="14"/>
      <c r="G418" s="15"/>
      <c r="H418" s="15"/>
      <c r="I418" s="15"/>
      <c r="J418" s="15"/>
    </row>
    <row r="419" spans="3:10" ht="20.100000000000001" customHeight="1" x14ac:dyDescent="0.25">
      <c r="C419" s="14"/>
      <c r="D419" s="14"/>
      <c r="E419" s="14"/>
      <c r="F419" s="14"/>
      <c r="G419" s="15"/>
      <c r="H419" s="15"/>
      <c r="I419" s="15"/>
      <c r="J419" s="15"/>
    </row>
    <row r="420" spans="3:10" ht="20.100000000000001" customHeight="1" x14ac:dyDescent="0.25">
      <c r="C420" s="14"/>
      <c r="D420" s="14"/>
      <c r="E420" s="14"/>
      <c r="F420" s="14"/>
      <c r="G420" s="15"/>
      <c r="H420" s="15"/>
      <c r="I420" s="15"/>
      <c r="J420" s="15"/>
    </row>
    <row r="421" spans="3:10" ht="20.100000000000001" customHeight="1" x14ac:dyDescent="0.25">
      <c r="C421" s="14"/>
      <c r="D421" s="14"/>
      <c r="E421" s="14"/>
      <c r="F421" s="14"/>
      <c r="G421" s="15"/>
      <c r="H421" s="15"/>
      <c r="I421" s="15"/>
      <c r="J421" s="15"/>
    </row>
    <row r="422" spans="3:10" ht="20.100000000000001" customHeight="1" x14ac:dyDescent="0.25">
      <c r="C422" s="14"/>
      <c r="D422" s="14"/>
      <c r="E422" s="14"/>
      <c r="F422" s="14"/>
      <c r="G422" s="15"/>
      <c r="H422" s="15"/>
      <c r="I422" s="15"/>
      <c r="J422" s="15"/>
    </row>
    <row r="423" spans="3:10" ht="20.100000000000001" customHeight="1" x14ac:dyDescent="0.25">
      <c r="C423" s="14"/>
      <c r="D423" s="14"/>
      <c r="E423" s="14"/>
      <c r="F423" s="14"/>
      <c r="G423" s="15"/>
      <c r="H423" s="15"/>
      <c r="I423" s="15"/>
      <c r="J423" s="15"/>
    </row>
    <row r="424" spans="3:10" ht="20.100000000000001" customHeight="1" x14ac:dyDescent="0.25">
      <c r="C424" s="14"/>
      <c r="D424" s="14"/>
      <c r="E424" s="14"/>
      <c r="F424" s="14"/>
      <c r="G424" s="15"/>
      <c r="H424" s="15"/>
      <c r="I424" s="15"/>
      <c r="J424" s="15"/>
    </row>
    <row r="425" spans="3:10" ht="20.100000000000001" customHeight="1" x14ac:dyDescent="0.25">
      <c r="C425" s="14"/>
      <c r="D425" s="14"/>
      <c r="E425" s="14"/>
      <c r="F425" s="14"/>
      <c r="G425" s="15"/>
      <c r="H425" s="15"/>
      <c r="I425" s="15"/>
      <c r="J425" s="15"/>
    </row>
    <row r="426" spans="3:10" ht="20.100000000000001" customHeight="1" x14ac:dyDescent="0.25">
      <c r="C426" s="14"/>
      <c r="D426" s="14"/>
      <c r="E426" s="14"/>
      <c r="F426" s="14"/>
      <c r="G426" s="15"/>
      <c r="H426" s="15"/>
      <c r="I426" s="15"/>
      <c r="J426" s="15"/>
    </row>
    <row r="427" spans="3:10" ht="20.100000000000001" customHeight="1" x14ac:dyDescent="0.25">
      <c r="C427" s="14"/>
      <c r="D427" s="14"/>
      <c r="E427" s="14"/>
      <c r="F427" s="14"/>
      <c r="G427" s="15"/>
      <c r="H427" s="15"/>
      <c r="I427" s="15"/>
      <c r="J427" s="15"/>
    </row>
    <row r="428" spans="3:10" ht="20.100000000000001" customHeight="1" x14ac:dyDescent="0.25">
      <c r="C428" s="14"/>
      <c r="D428" s="14"/>
      <c r="E428" s="14"/>
      <c r="F428" s="14"/>
      <c r="G428" s="15"/>
      <c r="H428" s="15"/>
      <c r="I428" s="15"/>
      <c r="J428" s="15"/>
    </row>
    <row r="429" spans="3:10" ht="20.100000000000001" customHeight="1" x14ac:dyDescent="0.25">
      <c r="C429" s="14"/>
      <c r="D429" s="14"/>
      <c r="E429" s="14"/>
      <c r="F429" s="14"/>
      <c r="G429" s="15"/>
      <c r="H429" s="15"/>
      <c r="I429" s="15"/>
      <c r="J429" s="15"/>
    </row>
    <row r="430" spans="3:10" ht="20.100000000000001" customHeight="1" x14ac:dyDescent="0.25">
      <c r="C430" s="14"/>
      <c r="D430" s="14"/>
      <c r="E430" s="14"/>
      <c r="F430" s="14"/>
      <c r="G430" s="15"/>
      <c r="H430" s="15"/>
      <c r="I430" s="15"/>
      <c r="J430" s="15"/>
    </row>
    <row r="431" spans="3:10" ht="20.100000000000001" customHeight="1" x14ac:dyDescent="0.25">
      <c r="C431" s="14"/>
      <c r="D431" s="14"/>
      <c r="E431" s="14"/>
      <c r="F431" s="14"/>
      <c r="G431" s="15"/>
      <c r="H431" s="15"/>
      <c r="I431" s="15"/>
      <c r="J431" s="15"/>
    </row>
    <row r="432" spans="3:10" ht="20.100000000000001" customHeight="1" x14ac:dyDescent="0.25">
      <c r="C432" s="14"/>
      <c r="D432" s="14"/>
      <c r="E432" s="14"/>
      <c r="F432" s="14"/>
      <c r="G432" s="15"/>
      <c r="H432" s="15"/>
      <c r="I432" s="15"/>
      <c r="J432" s="15"/>
    </row>
    <row r="433" spans="3:10" ht="20.100000000000001" customHeight="1" x14ac:dyDescent="0.25">
      <c r="C433" s="14"/>
      <c r="D433" s="14"/>
      <c r="E433" s="14"/>
      <c r="F433" s="14"/>
      <c r="G433" s="15"/>
      <c r="H433" s="15"/>
      <c r="I433" s="15"/>
      <c r="J433" s="15"/>
    </row>
    <row r="434" spans="3:10" ht="20.100000000000001" customHeight="1" x14ac:dyDescent="0.25">
      <c r="C434" s="14"/>
      <c r="D434" s="14"/>
      <c r="E434" s="14"/>
      <c r="F434" s="14"/>
      <c r="G434" s="15"/>
      <c r="H434" s="15"/>
      <c r="I434" s="15"/>
      <c r="J434" s="15"/>
    </row>
    <row r="435" spans="3:10" ht="20.100000000000001" customHeight="1" x14ac:dyDescent="0.25">
      <c r="C435" s="14"/>
      <c r="D435" s="14"/>
      <c r="E435" s="14"/>
      <c r="F435" s="14"/>
      <c r="G435" s="15"/>
      <c r="H435" s="15"/>
      <c r="I435" s="15"/>
      <c r="J435" s="15"/>
    </row>
    <row r="436" spans="3:10" ht="20.100000000000001" customHeight="1" x14ac:dyDescent="0.25">
      <c r="C436" s="14"/>
      <c r="D436" s="14"/>
      <c r="E436" s="14"/>
      <c r="F436" s="14"/>
      <c r="G436" s="15"/>
      <c r="H436" s="15"/>
      <c r="I436" s="15"/>
      <c r="J436" s="15"/>
    </row>
    <row r="437" spans="3:10" ht="20.100000000000001" customHeight="1" x14ac:dyDescent="0.25">
      <c r="C437" s="14"/>
      <c r="D437" s="14"/>
      <c r="E437" s="14"/>
      <c r="F437" s="14"/>
      <c r="G437" s="15"/>
      <c r="H437" s="15"/>
      <c r="I437" s="15"/>
      <c r="J437" s="15"/>
    </row>
    <row r="438" spans="3:10" ht="20.100000000000001" customHeight="1" x14ac:dyDescent="0.25">
      <c r="C438" s="14"/>
      <c r="D438" s="14"/>
      <c r="E438" s="14"/>
      <c r="F438" s="14"/>
      <c r="G438" s="15"/>
      <c r="H438" s="15"/>
      <c r="I438" s="15"/>
      <c r="J438" s="15"/>
    </row>
    <row r="439" spans="3:10" ht="20.100000000000001" customHeight="1" x14ac:dyDescent="0.25">
      <c r="C439" s="14"/>
      <c r="D439" s="14"/>
      <c r="E439" s="14"/>
      <c r="F439" s="14"/>
      <c r="G439" s="15"/>
      <c r="H439" s="15"/>
      <c r="I439" s="15"/>
      <c r="J439" s="15"/>
    </row>
    <row r="440" spans="3:10" ht="20.100000000000001" customHeight="1" x14ac:dyDescent="0.25">
      <c r="C440" s="14"/>
      <c r="D440" s="14"/>
      <c r="E440" s="14"/>
      <c r="F440" s="14"/>
      <c r="G440" s="15"/>
      <c r="H440" s="15"/>
      <c r="I440" s="15"/>
      <c r="J440" s="15"/>
    </row>
    <row r="441" spans="3:10" ht="20.100000000000001" customHeight="1" x14ac:dyDescent="0.25">
      <c r="C441" s="14"/>
      <c r="D441" s="14"/>
      <c r="E441" s="14"/>
      <c r="F441" s="14"/>
      <c r="G441" s="15"/>
      <c r="H441" s="15"/>
      <c r="I441" s="15"/>
      <c r="J441" s="15"/>
    </row>
    <row r="442" spans="3:10" ht="20.100000000000001" customHeight="1" x14ac:dyDescent="0.25">
      <c r="C442" s="14"/>
      <c r="D442" s="14"/>
      <c r="E442" s="14"/>
      <c r="F442" s="14"/>
      <c r="G442" s="15"/>
      <c r="H442" s="15"/>
      <c r="I442" s="15"/>
      <c r="J442" s="15"/>
    </row>
    <row r="443" spans="3:10" ht="20.100000000000001" customHeight="1" x14ac:dyDescent="0.25">
      <c r="C443" s="14"/>
      <c r="D443" s="14"/>
      <c r="E443" s="14"/>
      <c r="F443" s="14"/>
      <c r="G443" s="15"/>
      <c r="H443" s="15"/>
      <c r="I443" s="15"/>
      <c r="J443" s="15"/>
    </row>
    <row r="444" spans="3:10" ht="20.100000000000001" customHeight="1" x14ac:dyDescent="0.25">
      <c r="C444" s="14"/>
      <c r="D444" s="14"/>
      <c r="E444" s="14"/>
      <c r="F444" s="14"/>
      <c r="G444" s="15"/>
      <c r="H444" s="15"/>
      <c r="I444" s="15"/>
      <c r="J444" s="15"/>
    </row>
    <row r="445" spans="3:10" ht="20.100000000000001" customHeight="1" x14ac:dyDescent="0.25">
      <c r="C445" s="14"/>
      <c r="D445" s="14"/>
      <c r="E445" s="14"/>
      <c r="F445" s="14"/>
      <c r="G445" s="15"/>
      <c r="H445" s="15"/>
      <c r="I445" s="15"/>
      <c r="J445" s="15"/>
    </row>
    <row r="446" spans="3:10" ht="20.100000000000001" customHeight="1" x14ac:dyDescent="0.25">
      <c r="C446" s="14"/>
      <c r="D446" s="14"/>
      <c r="E446" s="14"/>
      <c r="F446" s="14"/>
      <c r="G446" s="15"/>
      <c r="H446" s="15"/>
      <c r="I446" s="15"/>
      <c r="J446" s="15"/>
    </row>
    <row r="447" spans="3:10" ht="20.100000000000001" customHeight="1" x14ac:dyDescent="0.25">
      <c r="C447" s="14"/>
      <c r="D447" s="14"/>
      <c r="E447" s="14"/>
      <c r="F447" s="14"/>
      <c r="G447" s="15"/>
      <c r="H447" s="15"/>
      <c r="I447" s="15"/>
      <c r="J447" s="15"/>
    </row>
    <row r="448" spans="3:10" ht="20.100000000000001" customHeight="1" x14ac:dyDescent="0.25">
      <c r="C448" s="14"/>
      <c r="D448" s="14"/>
      <c r="E448" s="14"/>
      <c r="F448" s="14"/>
      <c r="G448" s="15"/>
      <c r="H448" s="15"/>
      <c r="I448" s="15"/>
      <c r="J448" s="15"/>
    </row>
    <row r="449" spans="3:10" ht="20.100000000000001" customHeight="1" x14ac:dyDescent="0.25">
      <c r="C449" s="14"/>
      <c r="D449" s="14"/>
      <c r="E449" s="14"/>
      <c r="F449" s="14"/>
      <c r="G449" s="15"/>
      <c r="H449" s="15"/>
      <c r="I449" s="15"/>
      <c r="J449" s="15"/>
    </row>
    <row r="450" spans="3:10" ht="20.100000000000001" customHeight="1" x14ac:dyDescent="0.25">
      <c r="C450" s="14"/>
      <c r="D450" s="14"/>
      <c r="E450" s="14"/>
      <c r="F450" s="14"/>
      <c r="G450" s="15"/>
      <c r="H450" s="15"/>
      <c r="I450" s="15"/>
      <c r="J450" s="15"/>
    </row>
    <row r="451" spans="3:10" ht="20.100000000000001" customHeight="1" x14ac:dyDescent="0.25">
      <c r="C451" s="14"/>
      <c r="D451" s="14"/>
      <c r="E451" s="14"/>
      <c r="F451" s="14"/>
      <c r="G451" s="15"/>
      <c r="H451" s="15"/>
      <c r="I451" s="15"/>
      <c r="J451" s="15"/>
    </row>
    <row r="452" spans="3:10" ht="20.100000000000001" customHeight="1" x14ac:dyDescent="0.25">
      <c r="C452" s="14"/>
      <c r="D452" s="14"/>
      <c r="E452" s="14"/>
      <c r="F452" s="14"/>
      <c r="G452" s="15"/>
      <c r="H452" s="15"/>
      <c r="I452" s="15"/>
      <c r="J452" s="15"/>
    </row>
    <row r="453" spans="3:10" ht="20.100000000000001" customHeight="1" x14ac:dyDescent="0.25">
      <c r="C453" s="14"/>
      <c r="D453" s="14"/>
      <c r="E453" s="14"/>
      <c r="F453" s="14"/>
      <c r="G453" s="15"/>
      <c r="H453" s="15"/>
      <c r="I453" s="15"/>
      <c r="J453" s="15"/>
    </row>
    <row r="454" spans="3:10" ht="20.100000000000001" customHeight="1" x14ac:dyDescent="0.25">
      <c r="C454" s="14"/>
      <c r="D454" s="14"/>
      <c r="E454" s="14"/>
      <c r="F454" s="14"/>
      <c r="G454" s="15"/>
      <c r="H454" s="15"/>
      <c r="I454" s="15"/>
      <c r="J454" s="15"/>
    </row>
    <row r="455" spans="3:10" ht="20.100000000000001" customHeight="1" x14ac:dyDescent="0.25">
      <c r="C455" s="14"/>
      <c r="D455" s="14"/>
      <c r="E455" s="14"/>
      <c r="F455" s="14"/>
      <c r="G455" s="15"/>
      <c r="H455" s="15"/>
      <c r="I455" s="15"/>
      <c r="J455" s="15"/>
    </row>
    <row r="456" spans="3:10" ht="20.100000000000001" customHeight="1" x14ac:dyDescent="0.25">
      <c r="C456" s="14"/>
      <c r="D456" s="14"/>
      <c r="E456" s="14"/>
      <c r="F456" s="14"/>
      <c r="G456" s="15"/>
      <c r="H456" s="15"/>
      <c r="I456" s="15"/>
      <c r="J456" s="15"/>
    </row>
    <row r="457" spans="3:10" ht="20.100000000000001" customHeight="1" x14ac:dyDescent="0.25">
      <c r="C457" s="14"/>
      <c r="D457" s="14"/>
      <c r="E457" s="14"/>
      <c r="F457" s="14"/>
      <c r="G457" s="15"/>
      <c r="H457" s="15"/>
      <c r="I457" s="15"/>
      <c r="J457" s="15"/>
    </row>
    <row r="458" spans="3:10" ht="20.100000000000001" customHeight="1" x14ac:dyDescent="0.25">
      <c r="C458" s="14"/>
      <c r="D458" s="14"/>
      <c r="E458" s="14"/>
      <c r="F458" s="14"/>
      <c r="G458" s="15"/>
      <c r="H458" s="15"/>
      <c r="I458" s="15"/>
      <c r="J458" s="15"/>
    </row>
    <row r="459" spans="3:10" ht="20.100000000000001" customHeight="1" x14ac:dyDescent="0.25">
      <c r="C459" s="14"/>
      <c r="D459" s="14"/>
      <c r="E459" s="14"/>
      <c r="F459" s="14"/>
      <c r="G459" s="15"/>
      <c r="H459" s="15"/>
      <c r="I459" s="15"/>
      <c r="J459" s="15"/>
    </row>
    <row r="460" spans="3:10" ht="20.100000000000001" customHeight="1" x14ac:dyDescent="0.25">
      <c r="C460" s="14"/>
      <c r="D460" s="14"/>
      <c r="E460" s="14"/>
      <c r="F460" s="14"/>
      <c r="G460" s="15"/>
      <c r="H460" s="15"/>
      <c r="I460" s="15"/>
      <c r="J460" s="15"/>
    </row>
    <row r="461" spans="3:10" ht="20.100000000000001" customHeight="1" x14ac:dyDescent="0.25">
      <c r="C461" s="14"/>
      <c r="D461" s="14"/>
      <c r="E461" s="14"/>
      <c r="F461" s="14"/>
      <c r="G461" s="15"/>
      <c r="H461" s="15"/>
      <c r="I461" s="15"/>
      <c r="J461" s="15"/>
    </row>
    <row r="462" spans="3:10" ht="20.100000000000001" customHeight="1" x14ac:dyDescent="0.25">
      <c r="C462" s="14"/>
      <c r="D462" s="14"/>
      <c r="E462" s="14"/>
      <c r="F462" s="14"/>
      <c r="G462" s="15"/>
      <c r="H462" s="15"/>
      <c r="I462" s="15"/>
      <c r="J462" s="15"/>
    </row>
    <row r="463" spans="3:10" ht="20.100000000000001" customHeight="1" x14ac:dyDescent="0.25">
      <c r="C463" s="14"/>
      <c r="D463" s="14"/>
      <c r="E463" s="14"/>
      <c r="F463" s="14"/>
      <c r="G463" s="15"/>
      <c r="H463" s="15"/>
      <c r="I463" s="15"/>
      <c r="J463" s="15"/>
    </row>
    <row r="464" spans="3:10" ht="20.100000000000001" customHeight="1" x14ac:dyDescent="0.25">
      <c r="C464" s="14"/>
      <c r="D464" s="14"/>
      <c r="E464" s="14"/>
      <c r="F464" s="14"/>
      <c r="G464" s="15"/>
      <c r="H464" s="15"/>
      <c r="I464" s="15"/>
      <c r="J464" s="15"/>
    </row>
    <row r="465" spans="3:10" ht="20.100000000000001" customHeight="1" x14ac:dyDescent="0.25">
      <c r="C465" s="14"/>
      <c r="D465" s="14"/>
      <c r="E465" s="14"/>
      <c r="F465" s="14"/>
      <c r="G465" s="15"/>
      <c r="H465" s="15"/>
      <c r="I465" s="15"/>
      <c r="J465" s="15"/>
    </row>
    <row r="466" spans="3:10" ht="20.100000000000001" customHeight="1" x14ac:dyDescent="0.25">
      <c r="C466" s="14"/>
      <c r="D466" s="14"/>
      <c r="E466" s="14"/>
      <c r="F466" s="14"/>
      <c r="G466" s="15"/>
      <c r="H466" s="15"/>
      <c r="I466" s="15"/>
      <c r="J466" s="15"/>
    </row>
    <row r="467" spans="3:10" ht="20.100000000000001" customHeight="1" x14ac:dyDescent="0.25">
      <c r="C467" s="14"/>
      <c r="D467" s="14"/>
      <c r="E467" s="14"/>
      <c r="F467" s="14"/>
      <c r="G467" s="15"/>
      <c r="H467" s="15"/>
      <c r="I467" s="15"/>
      <c r="J467" s="15"/>
    </row>
    <row r="468" spans="3:10" ht="20.100000000000001" customHeight="1" x14ac:dyDescent="0.25">
      <c r="C468" s="14"/>
      <c r="D468" s="14"/>
      <c r="E468" s="14"/>
      <c r="F468" s="14"/>
      <c r="G468" s="15"/>
      <c r="H468" s="15"/>
      <c r="I468" s="15"/>
      <c r="J468" s="15"/>
    </row>
    <row r="469" spans="3:10" ht="20.100000000000001" customHeight="1" x14ac:dyDescent="0.25">
      <c r="C469" s="14"/>
      <c r="D469" s="14"/>
      <c r="E469" s="14"/>
      <c r="F469" s="14"/>
      <c r="G469" s="15"/>
      <c r="H469" s="15"/>
      <c r="I469" s="15"/>
      <c r="J469" s="15"/>
    </row>
    <row r="470" spans="3:10" ht="20.100000000000001" customHeight="1" x14ac:dyDescent="0.25">
      <c r="C470" s="14"/>
      <c r="D470" s="14"/>
      <c r="E470" s="14"/>
      <c r="F470" s="14"/>
      <c r="G470" s="15"/>
      <c r="H470" s="15"/>
      <c r="I470" s="15"/>
      <c r="J470" s="15"/>
    </row>
    <row r="471" spans="3:10" ht="20.100000000000001" customHeight="1" x14ac:dyDescent="0.25">
      <c r="C471" s="14"/>
      <c r="D471" s="14"/>
      <c r="E471" s="14"/>
      <c r="F471" s="14"/>
      <c r="G471" s="15"/>
      <c r="H471" s="15"/>
      <c r="I471" s="15"/>
      <c r="J471" s="15"/>
    </row>
    <row r="472" spans="3:10" ht="20.100000000000001" customHeight="1" x14ac:dyDescent="0.25">
      <c r="C472" s="14"/>
      <c r="D472" s="14"/>
      <c r="E472" s="14"/>
      <c r="F472" s="14"/>
      <c r="G472" s="15"/>
      <c r="H472" s="15"/>
      <c r="I472" s="15"/>
      <c r="J472" s="15"/>
    </row>
    <row r="473" spans="3:10" ht="20.100000000000001" customHeight="1" x14ac:dyDescent="0.25">
      <c r="C473" s="14"/>
      <c r="D473" s="14"/>
      <c r="E473" s="14"/>
      <c r="F473" s="14"/>
      <c r="G473" s="15"/>
      <c r="H473" s="15"/>
      <c r="I473" s="15"/>
      <c r="J473" s="15"/>
    </row>
    <row r="474" spans="3:10" ht="20.100000000000001" customHeight="1" x14ac:dyDescent="0.25">
      <c r="C474" s="14"/>
      <c r="D474" s="14"/>
      <c r="E474" s="14"/>
      <c r="F474" s="14"/>
      <c r="G474" s="15"/>
      <c r="H474" s="15"/>
      <c r="I474" s="15"/>
      <c r="J474" s="15"/>
    </row>
    <row r="475" spans="3:10" ht="20.100000000000001" customHeight="1" x14ac:dyDescent="0.25">
      <c r="C475" s="14"/>
      <c r="D475" s="14"/>
      <c r="E475" s="14"/>
      <c r="F475" s="14"/>
      <c r="G475" s="15"/>
      <c r="H475" s="15"/>
      <c r="I475" s="15"/>
      <c r="J475" s="15"/>
    </row>
    <row r="476" spans="3:10" ht="20.100000000000001" customHeight="1" x14ac:dyDescent="0.25">
      <c r="C476" s="14"/>
      <c r="D476" s="14"/>
      <c r="E476" s="14"/>
      <c r="F476" s="14"/>
      <c r="G476" s="15"/>
      <c r="H476" s="15"/>
      <c r="I476" s="15"/>
      <c r="J476" s="15"/>
    </row>
    <row r="477" spans="3:10" ht="20.100000000000001" customHeight="1" x14ac:dyDescent="0.25">
      <c r="C477" s="14"/>
      <c r="D477" s="14"/>
      <c r="E477" s="14"/>
      <c r="F477" s="14"/>
      <c r="G477" s="15"/>
      <c r="H477" s="15"/>
      <c r="I477" s="15"/>
      <c r="J477" s="15"/>
    </row>
    <row r="478" spans="3:10" ht="20.100000000000001" customHeight="1" x14ac:dyDescent="0.25">
      <c r="C478" s="14"/>
      <c r="D478" s="14"/>
      <c r="E478" s="14"/>
      <c r="F478" s="14"/>
      <c r="G478" s="15"/>
      <c r="H478" s="15"/>
      <c r="I478" s="15"/>
      <c r="J478" s="15"/>
    </row>
    <row r="479" spans="3:10" ht="20.100000000000001" customHeight="1" x14ac:dyDescent="0.25">
      <c r="C479" s="14"/>
      <c r="D479" s="14"/>
      <c r="E479" s="14"/>
      <c r="F479" s="14"/>
      <c r="G479" s="15"/>
      <c r="H479" s="15"/>
      <c r="I479" s="15"/>
      <c r="J479" s="15"/>
    </row>
    <row r="480" spans="3:10" ht="20.100000000000001" customHeight="1" x14ac:dyDescent="0.25">
      <c r="C480" s="14"/>
      <c r="D480" s="14"/>
      <c r="E480" s="14"/>
      <c r="F480" s="14"/>
      <c r="G480" s="15"/>
      <c r="H480" s="15"/>
      <c r="I480" s="15"/>
      <c r="J480" s="15"/>
    </row>
    <row r="481" spans="3:10" ht="20.100000000000001" customHeight="1" x14ac:dyDescent="0.25">
      <c r="C481" s="14"/>
      <c r="D481" s="14"/>
      <c r="E481" s="14"/>
      <c r="F481" s="14"/>
      <c r="G481" s="15"/>
      <c r="H481" s="15"/>
      <c r="I481" s="15"/>
      <c r="J481" s="15"/>
    </row>
    <row r="482" spans="3:10" ht="20.100000000000001" customHeight="1" x14ac:dyDescent="0.25">
      <c r="C482" s="14"/>
      <c r="D482" s="14"/>
      <c r="E482" s="14"/>
      <c r="F482" s="14"/>
      <c r="G482" s="15"/>
      <c r="H482" s="15"/>
      <c r="I482" s="15"/>
      <c r="J482" s="15"/>
    </row>
    <row r="483" spans="3:10" ht="20.100000000000001" customHeight="1" x14ac:dyDescent="0.25">
      <c r="C483" s="14"/>
      <c r="D483" s="14"/>
      <c r="E483" s="14"/>
      <c r="F483" s="14"/>
      <c r="G483" s="15"/>
      <c r="H483" s="15"/>
      <c r="I483" s="15"/>
      <c r="J483" s="15"/>
    </row>
    <row r="484" spans="3:10" ht="20.100000000000001" customHeight="1" x14ac:dyDescent="0.25">
      <c r="C484" s="14"/>
      <c r="D484" s="14"/>
      <c r="E484" s="14"/>
      <c r="F484" s="14"/>
      <c r="G484" s="15"/>
      <c r="H484" s="15"/>
      <c r="I484" s="15"/>
      <c r="J484" s="15"/>
    </row>
    <row r="485" spans="3:10" ht="20.100000000000001" customHeight="1" x14ac:dyDescent="0.25">
      <c r="C485" s="14"/>
      <c r="D485" s="14"/>
      <c r="E485" s="14"/>
      <c r="F485" s="14"/>
      <c r="G485" s="15"/>
      <c r="H485" s="15"/>
      <c r="I485" s="15"/>
      <c r="J485" s="15"/>
    </row>
    <row r="486" spans="3:10" ht="20.100000000000001" customHeight="1" x14ac:dyDescent="0.25">
      <c r="C486" s="14"/>
      <c r="D486" s="14"/>
      <c r="E486" s="14"/>
      <c r="F486" s="14"/>
      <c r="G486" s="15"/>
      <c r="H486" s="15"/>
      <c r="I486" s="15"/>
      <c r="J486" s="15"/>
    </row>
    <row r="487" spans="3:10" ht="20.100000000000001" customHeight="1" x14ac:dyDescent="0.25">
      <c r="C487" s="14"/>
      <c r="D487" s="14"/>
      <c r="E487" s="14"/>
      <c r="F487" s="14"/>
      <c r="G487" s="15"/>
      <c r="H487" s="15"/>
      <c r="I487" s="15"/>
      <c r="J487" s="15"/>
    </row>
    <row r="488" spans="3:10" ht="20.100000000000001" customHeight="1" x14ac:dyDescent="0.25">
      <c r="C488" s="14"/>
      <c r="D488" s="14"/>
      <c r="E488" s="14"/>
      <c r="F488" s="14"/>
      <c r="G488" s="15"/>
      <c r="H488" s="15"/>
      <c r="I488" s="15"/>
      <c r="J488" s="15"/>
    </row>
    <row r="489" spans="3:10" ht="20.100000000000001" customHeight="1" x14ac:dyDescent="0.25">
      <c r="C489" s="14"/>
      <c r="D489" s="14"/>
      <c r="E489" s="14"/>
      <c r="F489" s="14"/>
      <c r="G489" s="15"/>
      <c r="H489" s="15"/>
      <c r="I489" s="15"/>
      <c r="J489" s="15"/>
    </row>
    <row r="490" spans="3:10" ht="20.100000000000001" customHeight="1" x14ac:dyDescent="0.25">
      <c r="C490" s="14"/>
      <c r="D490" s="14"/>
      <c r="E490" s="14"/>
      <c r="F490" s="14"/>
      <c r="G490" s="15"/>
      <c r="H490" s="15"/>
      <c r="I490" s="15"/>
      <c r="J490" s="15"/>
    </row>
    <row r="491" spans="3:10" ht="20.100000000000001" customHeight="1" x14ac:dyDescent="0.25">
      <c r="C491" s="14"/>
      <c r="D491" s="14"/>
      <c r="E491" s="14"/>
      <c r="F491" s="14"/>
      <c r="G491" s="15"/>
      <c r="H491" s="15"/>
      <c r="I491" s="15"/>
      <c r="J491" s="15"/>
    </row>
    <row r="492" spans="3:10" ht="20.100000000000001" customHeight="1" x14ac:dyDescent="0.25">
      <c r="C492" s="14"/>
      <c r="D492" s="14"/>
      <c r="E492" s="14"/>
      <c r="F492" s="14"/>
      <c r="G492" s="15"/>
      <c r="H492" s="15"/>
      <c r="I492" s="15"/>
      <c r="J492" s="15"/>
    </row>
    <row r="493" spans="3:10" ht="20.100000000000001" customHeight="1" x14ac:dyDescent="0.25">
      <c r="C493" s="14"/>
      <c r="D493" s="14"/>
      <c r="E493" s="14"/>
      <c r="F493" s="14"/>
      <c r="G493" s="15"/>
      <c r="H493" s="15"/>
      <c r="I493" s="15"/>
      <c r="J493" s="15"/>
    </row>
    <row r="494" spans="3:10" ht="20.100000000000001" customHeight="1" x14ac:dyDescent="0.25">
      <c r="C494" s="14"/>
      <c r="D494" s="14"/>
      <c r="E494" s="14"/>
      <c r="F494" s="14"/>
      <c r="G494" s="15"/>
      <c r="H494" s="15"/>
      <c r="I494" s="15"/>
      <c r="J494" s="15"/>
    </row>
    <row r="495" spans="3:10" ht="20.100000000000001" customHeight="1" x14ac:dyDescent="0.25">
      <c r="C495" s="14"/>
      <c r="D495" s="14"/>
      <c r="E495" s="14"/>
      <c r="F495" s="14"/>
      <c r="G495" s="15"/>
      <c r="H495" s="15"/>
      <c r="I495" s="15"/>
      <c r="J495" s="15"/>
    </row>
    <row r="496" spans="3:10" ht="20.100000000000001" customHeight="1" x14ac:dyDescent="0.25">
      <c r="C496" s="14"/>
      <c r="D496" s="14"/>
      <c r="E496" s="14"/>
      <c r="F496" s="14"/>
      <c r="G496" s="15"/>
      <c r="H496" s="15"/>
      <c r="I496" s="15"/>
      <c r="J496" s="15"/>
    </row>
    <row r="497" spans="3:10" ht="20.100000000000001" customHeight="1" x14ac:dyDescent="0.25">
      <c r="C497" s="14"/>
      <c r="D497" s="14"/>
      <c r="E497" s="14"/>
      <c r="F497" s="14"/>
      <c r="G497" s="15"/>
      <c r="H497" s="15"/>
      <c r="I497" s="15"/>
      <c r="J497" s="15"/>
    </row>
    <row r="498" spans="3:10" ht="20.100000000000001" customHeight="1" x14ac:dyDescent="0.25">
      <c r="C498" s="14"/>
      <c r="D498" s="14"/>
      <c r="E498" s="14"/>
      <c r="F498" s="14"/>
      <c r="G498" s="15"/>
      <c r="H498" s="15"/>
      <c r="I498" s="15"/>
      <c r="J498" s="15"/>
    </row>
    <row r="499" spans="3:10" ht="20.100000000000001" customHeight="1" x14ac:dyDescent="0.25">
      <c r="C499" s="14"/>
      <c r="D499" s="14"/>
      <c r="E499" s="14"/>
      <c r="F499" s="14"/>
      <c r="G499" s="15"/>
      <c r="H499" s="15"/>
      <c r="I499" s="15"/>
      <c r="J499" s="15"/>
    </row>
    <row r="500" spans="3:10" ht="20.100000000000001" customHeight="1" x14ac:dyDescent="0.25">
      <c r="C500" s="14"/>
      <c r="D500" s="14"/>
      <c r="E500" s="14"/>
      <c r="F500" s="14"/>
      <c r="G500" s="15"/>
      <c r="H500" s="15"/>
      <c r="I500" s="15"/>
      <c r="J500" s="15"/>
    </row>
    <row r="501" spans="3:10" ht="20.100000000000001" customHeight="1" x14ac:dyDescent="0.25">
      <c r="C501" s="14"/>
      <c r="D501" s="14"/>
      <c r="E501" s="14"/>
      <c r="F501" s="14"/>
      <c r="G501" s="15"/>
      <c r="H501" s="15"/>
      <c r="I501" s="15"/>
      <c r="J501" s="15"/>
    </row>
    <row r="502" spans="3:10" ht="20.100000000000001" customHeight="1" x14ac:dyDescent="0.25">
      <c r="C502" s="14"/>
      <c r="D502" s="14"/>
      <c r="E502" s="14"/>
      <c r="F502" s="14"/>
      <c r="G502" s="15"/>
      <c r="H502" s="15"/>
      <c r="I502" s="15"/>
      <c r="J502" s="15"/>
    </row>
    <row r="503" spans="3:10" ht="20.100000000000001" customHeight="1" x14ac:dyDescent="0.25">
      <c r="C503" s="14"/>
      <c r="D503" s="14"/>
      <c r="E503" s="14"/>
      <c r="F503" s="14"/>
      <c r="G503" s="15"/>
      <c r="H503" s="15"/>
      <c r="I503" s="15"/>
      <c r="J503" s="15"/>
    </row>
    <row r="504" spans="3:10" ht="20.100000000000001" customHeight="1" x14ac:dyDescent="0.25">
      <c r="C504" s="14"/>
      <c r="D504" s="14"/>
      <c r="E504" s="14"/>
      <c r="F504" s="14"/>
      <c r="G504" s="15"/>
      <c r="H504" s="15"/>
      <c r="I504" s="15"/>
      <c r="J504" s="15"/>
    </row>
    <row r="505" spans="3:10" ht="20.100000000000001" customHeight="1" x14ac:dyDescent="0.25">
      <c r="C505" s="14"/>
      <c r="D505" s="14"/>
      <c r="E505" s="14"/>
      <c r="F505" s="14"/>
      <c r="G505" s="15"/>
      <c r="H505" s="15"/>
      <c r="I505" s="15"/>
      <c r="J505" s="15"/>
    </row>
    <row r="506" spans="3:10" ht="20.100000000000001" customHeight="1" x14ac:dyDescent="0.25">
      <c r="C506" s="14"/>
      <c r="D506" s="14"/>
      <c r="E506" s="14"/>
      <c r="F506" s="14"/>
      <c r="G506" s="15"/>
      <c r="H506" s="15"/>
      <c r="I506" s="15"/>
      <c r="J506" s="15"/>
    </row>
    <row r="507" spans="3:10" ht="20.100000000000001" customHeight="1" x14ac:dyDescent="0.25">
      <c r="C507" s="14"/>
      <c r="D507" s="14"/>
      <c r="E507" s="14"/>
      <c r="F507" s="14"/>
      <c r="G507" s="15"/>
      <c r="H507" s="15"/>
      <c r="I507" s="15"/>
      <c r="J507" s="15"/>
    </row>
    <row r="508" spans="3:10" ht="20.100000000000001" customHeight="1" x14ac:dyDescent="0.25">
      <c r="C508" s="14"/>
      <c r="D508" s="14"/>
      <c r="E508" s="14"/>
      <c r="F508" s="14"/>
      <c r="G508" s="15"/>
      <c r="H508" s="15"/>
      <c r="I508" s="15"/>
      <c r="J508" s="15"/>
    </row>
    <row r="509" spans="3:10" ht="20.100000000000001" customHeight="1" x14ac:dyDescent="0.25">
      <c r="C509" s="14"/>
      <c r="D509" s="14"/>
      <c r="E509" s="14"/>
      <c r="F509" s="14"/>
      <c r="G509" s="15"/>
      <c r="H509" s="15"/>
      <c r="I509" s="15"/>
      <c r="J509" s="15"/>
    </row>
    <row r="510" spans="3:10" ht="20.100000000000001" customHeight="1" x14ac:dyDescent="0.25">
      <c r="C510" s="14"/>
      <c r="D510" s="14"/>
      <c r="E510" s="14"/>
      <c r="F510" s="14"/>
      <c r="G510" s="15"/>
      <c r="H510" s="15"/>
      <c r="I510" s="15"/>
      <c r="J510" s="15"/>
    </row>
    <row r="511" spans="3:10" ht="20.100000000000001" customHeight="1" x14ac:dyDescent="0.25">
      <c r="C511" s="14"/>
      <c r="D511" s="14"/>
      <c r="E511" s="14"/>
      <c r="F511" s="14"/>
      <c r="G511" s="15"/>
      <c r="H511" s="15"/>
      <c r="I511" s="15"/>
      <c r="J511" s="15"/>
    </row>
    <row r="512" spans="3:10" ht="20.100000000000001" customHeight="1" x14ac:dyDescent="0.25">
      <c r="C512" s="14"/>
      <c r="D512" s="14"/>
      <c r="E512" s="14"/>
      <c r="F512" s="14"/>
      <c r="G512" s="15"/>
      <c r="H512" s="15"/>
      <c r="I512" s="15"/>
      <c r="J512" s="15"/>
    </row>
    <row r="513" spans="3:10" ht="20.100000000000001" customHeight="1" x14ac:dyDescent="0.25">
      <c r="C513" s="14"/>
      <c r="D513" s="14"/>
      <c r="E513" s="14"/>
      <c r="F513" s="14"/>
      <c r="G513" s="15"/>
      <c r="H513" s="15"/>
      <c r="I513" s="15"/>
      <c r="J513" s="15"/>
    </row>
    <row r="514" spans="3:10" ht="20.100000000000001" customHeight="1" x14ac:dyDescent="0.25">
      <c r="C514" s="14"/>
      <c r="D514" s="14"/>
      <c r="E514" s="14"/>
      <c r="F514" s="14"/>
      <c r="G514" s="15"/>
      <c r="H514" s="15"/>
      <c r="I514" s="15"/>
      <c r="J514" s="15"/>
    </row>
    <row r="515" spans="3:10" ht="20.100000000000001" customHeight="1" x14ac:dyDescent="0.25">
      <c r="C515" s="14"/>
      <c r="D515" s="14"/>
      <c r="E515" s="14"/>
      <c r="F515" s="14"/>
      <c r="G515" s="15"/>
      <c r="H515" s="15"/>
      <c r="I515" s="15"/>
      <c r="J515" s="15"/>
    </row>
    <row r="516" spans="3:10" ht="20.100000000000001" customHeight="1" x14ac:dyDescent="0.25">
      <c r="C516" s="14"/>
      <c r="D516" s="14"/>
      <c r="E516" s="14"/>
      <c r="F516" s="14"/>
      <c r="G516" s="15"/>
      <c r="H516" s="15"/>
      <c r="I516" s="15"/>
      <c r="J516" s="15"/>
    </row>
    <row r="517" spans="3:10" ht="20.100000000000001" customHeight="1" x14ac:dyDescent="0.25">
      <c r="C517" s="14"/>
      <c r="D517" s="14"/>
      <c r="E517" s="14"/>
      <c r="F517" s="14"/>
      <c r="G517" s="15"/>
      <c r="H517" s="15"/>
      <c r="I517" s="15"/>
      <c r="J517" s="15"/>
    </row>
    <row r="518" spans="3:10" ht="20.100000000000001" customHeight="1" x14ac:dyDescent="0.25">
      <c r="C518" s="14"/>
      <c r="D518" s="14"/>
      <c r="E518" s="14"/>
      <c r="F518" s="14"/>
      <c r="G518" s="15"/>
      <c r="H518" s="15"/>
      <c r="I518" s="15"/>
      <c r="J518" s="15"/>
    </row>
    <row r="519" spans="3:10" ht="20.100000000000001" customHeight="1" x14ac:dyDescent="0.25">
      <c r="C519" s="14"/>
      <c r="D519" s="14"/>
      <c r="E519" s="14"/>
      <c r="F519" s="14"/>
      <c r="G519" s="15"/>
      <c r="H519" s="15"/>
      <c r="I519" s="15"/>
      <c r="J519" s="15"/>
    </row>
    <row r="520" spans="3:10" ht="20.100000000000001" customHeight="1" x14ac:dyDescent="0.25">
      <c r="C520" s="14"/>
      <c r="D520" s="14"/>
      <c r="E520" s="14"/>
      <c r="F520" s="14"/>
      <c r="G520" s="15"/>
      <c r="H520" s="15"/>
      <c r="I520" s="15"/>
      <c r="J520" s="15"/>
    </row>
    <row r="521" spans="3:10" ht="20.100000000000001" customHeight="1" x14ac:dyDescent="0.25">
      <c r="C521" s="14"/>
      <c r="D521" s="14"/>
      <c r="E521" s="14"/>
      <c r="F521" s="14"/>
      <c r="G521" s="15"/>
      <c r="H521" s="15"/>
      <c r="I521" s="15"/>
      <c r="J521" s="15"/>
    </row>
    <row r="522" spans="3:10" ht="20.100000000000001" customHeight="1" x14ac:dyDescent="0.25">
      <c r="C522" s="14"/>
      <c r="D522" s="14"/>
      <c r="E522" s="14"/>
      <c r="F522" s="14"/>
      <c r="G522" s="15"/>
      <c r="H522" s="15"/>
      <c r="I522" s="15"/>
      <c r="J522" s="15"/>
    </row>
    <row r="523" spans="3:10" ht="20.100000000000001" customHeight="1" x14ac:dyDescent="0.25">
      <c r="C523" s="14"/>
      <c r="D523" s="14"/>
      <c r="E523" s="14"/>
      <c r="F523" s="14"/>
      <c r="G523" s="15"/>
      <c r="H523" s="15"/>
      <c r="I523" s="15"/>
      <c r="J523" s="15"/>
    </row>
    <row r="524" spans="3:10" ht="20.100000000000001" customHeight="1" x14ac:dyDescent="0.25">
      <c r="C524" s="14"/>
      <c r="D524" s="14"/>
      <c r="E524" s="14"/>
      <c r="F524" s="14"/>
      <c r="G524" s="15"/>
      <c r="H524" s="15"/>
      <c r="I524" s="15"/>
      <c r="J524" s="15"/>
    </row>
    <row r="525" spans="3:10" ht="20.100000000000001" customHeight="1" x14ac:dyDescent="0.25">
      <c r="C525" s="14"/>
      <c r="D525" s="14"/>
      <c r="E525" s="14"/>
      <c r="F525" s="14"/>
      <c r="G525" s="15"/>
      <c r="H525" s="15"/>
      <c r="I525" s="15"/>
      <c r="J525" s="15"/>
    </row>
    <row r="526" spans="3:10" ht="20.100000000000001" customHeight="1" x14ac:dyDescent="0.25">
      <c r="C526" s="14"/>
      <c r="D526" s="14"/>
      <c r="E526" s="14"/>
      <c r="F526" s="14"/>
      <c r="G526" s="15"/>
      <c r="H526" s="15"/>
      <c r="I526" s="15"/>
      <c r="J526" s="15"/>
    </row>
    <row r="527" spans="3:10" ht="20.100000000000001" customHeight="1" x14ac:dyDescent="0.25">
      <c r="C527" s="14"/>
      <c r="D527" s="14"/>
      <c r="E527" s="14"/>
      <c r="F527" s="14"/>
      <c r="G527" s="15"/>
      <c r="H527" s="15"/>
      <c r="I527" s="15"/>
      <c r="J527" s="15"/>
    </row>
    <row r="528" spans="3:10" ht="20.100000000000001" customHeight="1" x14ac:dyDescent="0.25">
      <c r="C528" s="14"/>
      <c r="D528" s="14"/>
      <c r="E528" s="14"/>
      <c r="F528" s="14"/>
      <c r="G528" s="15"/>
      <c r="H528" s="15"/>
      <c r="I528" s="15"/>
      <c r="J528" s="15"/>
    </row>
    <row r="529" spans="3:10" ht="20.100000000000001" customHeight="1" x14ac:dyDescent="0.25">
      <c r="C529" s="14"/>
      <c r="D529" s="14"/>
      <c r="E529" s="14"/>
      <c r="F529" s="14"/>
      <c r="G529" s="15"/>
      <c r="H529" s="15"/>
      <c r="I529" s="15"/>
      <c r="J529" s="15"/>
    </row>
    <row r="530" spans="3:10" ht="20.100000000000001" customHeight="1" x14ac:dyDescent="0.25">
      <c r="C530" s="14"/>
      <c r="D530" s="14"/>
      <c r="E530" s="14"/>
      <c r="F530" s="14"/>
      <c r="G530" s="15"/>
      <c r="H530" s="15"/>
      <c r="I530" s="15"/>
      <c r="J530" s="15"/>
    </row>
    <row r="531" spans="3:10" ht="20.100000000000001" customHeight="1" x14ac:dyDescent="0.25">
      <c r="C531" s="14"/>
      <c r="D531" s="14"/>
      <c r="E531" s="14"/>
      <c r="F531" s="14"/>
      <c r="G531" s="15"/>
      <c r="H531" s="15"/>
      <c r="I531" s="15"/>
      <c r="J531" s="15"/>
    </row>
    <row r="532" spans="3:10" ht="20.100000000000001" customHeight="1" x14ac:dyDescent="0.25">
      <c r="C532" s="14"/>
      <c r="D532" s="14"/>
      <c r="E532" s="14"/>
      <c r="F532" s="14"/>
      <c r="G532" s="15"/>
      <c r="H532" s="15"/>
      <c r="I532" s="15"/>
      <c r="J532" s="15"/>
    </row>
    <row r="533" spans="3:10" ht="20.100000000000001" customHeight="1" x14ac:dyDescent="0.25">
      <c r="C533" s="14"/>
      <c r="D533" s="14"/>
      <c r="E533" s="14"/>
      <c r="F533" s="14"/>
      <c r="G533" s="15"/>
      <c r="H533" s="15"/>
      <c r="I533" s="15"/>
      <c r="J533" s="15"/>
    </row>
    <row r="534" spans="3:10" ht="20.100000000000001" customHeight="1" x14ac:dyDescent="0.25">
      <c r="C534" s="14"/>
      <c r="D534" s="14"/>
      <c r="E534" s="14"/>
      <c r="F534" s="14"/>
      <c r="G534" s="15"/>
      <c r="H534" s="15"/>
      <c r="I534" s="15"/>
      <c r="J534" s="15"/>
    </row>
    <row r="535" spans="3:10" ht="20.100000000000001" customHeight="1" x14ac:dyDescent="0.25">
      <c r="C535" s="14"/>
      <c r="D535" s="14"/>
      <c r="E535" s="14"/>
      <c r="F535" s="14"/>
      <c r="G535" s="15"/>
      <c r="H535" s="15"/>
      <c r="I535" s="15"/>
      <c r="J535" s="15"/>
    </row>
    <row r="536" spans="3:10" ht="20.100000000000001" customHeight="1" x14ac:dyDescent="0.25">
      <c r="C536" s="14"/>
      <c r="D536" s="14"/>
      <c r="E536" s="14"/>
      <c r="F536" s="14"/>
      <c r="G536" s="15"/>
      <c r="H536" s="15"/>
      <c r="I536" s="15"/>
      <c r="J536" s="15"/>
    </row>
    <row r="537" spans="3:10" ht="20.100000000000001" customHeight="1" x14ac:dyDescent="0.25">
      <c r="C537" s="14"/>
      <c r="D537" s="14"/>
      <c r="E537" s="14"/>
      <c r="F537" s="14"/>
      <c r="G537" s="15"/>
      <c r="H537" s="15"/>
      <c r="I537" s="15"/>
      <c r="J537" s="15"/>
    </row>
    <row r="538" spans="3:10" ht="20.100000000000001" customHeight="1" x14ac:dyDescent="0.25">
      <c r="C538" s="14"/>
      <c r="D538" s="14"/>
      <c r="E538" s="14"/>
      <c r="F538" s="14"/>
      <c r="G538" s="15"/>
      <c r="H538" s="15"/>
      <c r="I538" s="15"/>
      <c r="J538" s="15"/>
    </row>
    <row r="539" spans="3:10" ht="20.100000000000001" customHeight="1" x14ac:dyDescent="0.25">
      <c r="C539" s="14"/>
      <c r="D539" s="14"/>
      <c r="E539" s="14"/>
      <c r="F539" s="14"/>
      <c r="G539" s="15"/>
      <c r="H539" s="15"/>
      <c r="I539" s="15"/>
      <c r="J539" s="15"/>
    </row>
    <row r="540" spans="3:10" ht="20.100000000000001" customHeight="1" x14ac:dyDescent="0.25">
      <c r="C540" s="14"/>
      <c r="D540" s="14"/>
      <c r="E540" s="14"/>
      <c r="F540" s="14"/>
      <c r="G540" s="15"/>
      <c r="H540" s="15"/>
      <c r="I540" s="15"/>
      <c r="J540" s="15"/>
    </row>
    <row r="541" spans="3:10" ht="20.100000000000001" customHeight="1" x14ac:dyDescent="0.25">
      <c r="C541" s="14"/>
      <c r="D541" s="14"/>
      <c r="E541" s="14"/>
      <c r="F541" s="14"/>
      <c r="G541" s="15"/>
      <c r="H541" s="15"/>
      <c r="I541" s="15"/>
      <c r="J541" s="15"/>
    </row>
    <row r="542" spans="3:10" ht="20.100000000000001" customHeight="1" x14ac:dyDescent="0.25">
      <c r="C542" s="14"/>
      <c r="D542" s="14"/>
      <c r="E542" s="14"/>
      <c r="F542" s="14"/>
      <c r="G542" s="15"/>
      <c r="H542" s="15"/>
      <c r="I542" s="15"/>
      <c r="J542" s="15"/>
    </row>
    <row r="543" spans="3:10" ht="20.100000000000001" customHeight="1" x14ac:dyDescent="0.25">
      <c r="C543" s="14"/>
      <c r="D543" s="14"/>
      <c r="E543" s="14"/>
      <c r="F543" s="14"/>
      <c r="G543" s="15"/>
      <c r="H543" s="15"/>
      <c r="I543" s="15"/>
      <c r="J543" s="15"/>
    </row>
    <row r="544" spans="3:10" ht="20.100000000000001" customHeight="1" x14ac:dyDescent="0.25">
      <c r="C544" s="14"/>
      <c r="D544" s="14"/>
      <c r="E544" s="14"/>
      <c r="F544" s="14"/>
      <c r="G544" s="15"/>
      <c r="H544" s="15"/>
      <c r="I544" s="15"/>
      <c r="J544" s="15"/>
    </row>
    <row r="545" spans="3:10" ht="20.100000000000001" customHeight="1" x14ac:dyDescent="0.25">
      <c r="C545" s="14"/>
      <c r="D545" s="14"/>
      <c r="E545" s="14"/>
      <c r="F545" s="14"/>
      <c r="G545" s="15"/>
      <c r="H545" s="15"/>
      <c r="I545" s="15"/>
      <c r="J545" s="15"/>
    </row>
    <row r="546" spans="3:10" ht="20.100000000000001" customHeight="1" x14ac:dyDescent="0.25">
      <c r="C546" s="14"/>
      <c r="D546" s="14"/>
      <c r="E546" s="14"/>
      <c r="F546" s="14"/>
      <c r="G546" s="15"/>
      <c r="H546" s="15"/>
      <c r="I546" s="15"/>
      <c r="J546" s="15"/>
    </row>
    <row r="547" spans="3:10" ht="20.100000000000001" customHeight="1" x14ac:dyDescent="0.25">
      <c r="C547" s="14"/>
      <c r="D547" s="14"/>
      <c r="E547" s="14"/>
      <c r="F547" s="14"/>
      <c r="G547" s="15"/>
      <c r="H547" s="15"/>
      <c r="I547" s="15"/>
      <c r="J547" s="15"/>
    </row>
    <row r="548" spans="3:10" ht="20.100000000000001" customHeight="1" x14ac:dyDescent="0.25">
      <c r="C548" s="14"/>
      <c r="D548" s="14"/>
      <c r="E548" s="14"/>
      <c r="F548" s="14"/>
      <c r="G548" s="15"/>
      <c r="H548" s="15"/>
      <c r="I548" s="15"/>
      <c r="J548" s="15"/>
    </row>
    <row r="549" spans="3:10" ht="20.100000000000001" customHeight="1" x14ac:dyDescent="0.25">
      <c r="C549" s="14"/>
      <c r="D549" s="14"/>
      <c r="E549" s="14"/>
      <c r="F549" s="14"/>
      <c r="G549" s="15"/>
      <c r="H549" s="15"/>
      <c r="I549" s="15"/>
      <c r="J549" s="15"/>
    </row>
    <row r="550" spans="3:10" ht="20.100000000000001" customHeight="1" x14ac:dyDescent="0.25">
      <c r="C550" s="14"/>
      <c r="D550" s="14"/>
      <c r="E550" s="14"/>
      <c r="F550" s="14"/>
      <c r="G550" s="15"/>
      <c r="H550" s="15"/>
      <c r="I550" s="15"/>
      <c r="J550" s="15"/>
    </row>
    <row r="551" spans="3:10" ht="20.100000000000001" customHeight="1" x14ac:dyDescent="0.25">
      <c r="C551" s="14"/>
      <c r="D551" s="14"/>
      <c r="E551" s="14"/>
      <c r="F551" s="14"/>
      <c r="G551" s="15"/>
      <c r="H551" s="15"/>
      <c r="I551" s="15"/>
      <c r="J551" s="15"/>
    </row>
    <row r="552" spans="3:10" ht="20.100000000000001" customHeight="1" x14ac:dyDescent="0.25">
      <c r="C552" s="14"/>
      <c r="D552" s="14"/>
      <c r="E552" s="14"/>
      <c r="F552" s="14"/>
      <c r="G552" s="15"/>
      <c r="H552" s="15"/>
      <c r="I552" s="15"/>
      <c r="J552" s="15"/>
    </row>
    <row r="553" spans="3:10" ht="20.100000000000001" customHeight="1" x14ac:dyDescent="0.25">
      <c r="C553" s="14"/>
      <c r="D553" s="14"/>
      <c r="E553" s="14"/>
      <c r="F553" s="14"/>
      <c r="G553" s="15"/>
      <c r="H553" s="15"/>
      <c r="I553" s="15"/>
      <c r="J553" s="15"/>
    </row>
    <row r="554" spans="3:10" ht="20.100000000000001" customHeight="1" x14ac:dyDescent="0.25">
      <c r="C554" s="14"/>
      <c r="D554" s="14"/>
      <c r="E554" s="14"/>
      <c r="F554" s="14"/>
      <c r="G554" s="15"/>
      <c r="H554" s="15"/>
      <c r="I554" s="15"/>
      <c r="J554" s="15"/>
    </row>
    <row r="555" spans="3:10" ht="20.100000000000001" customHeight="1" x14ac:dyDescent="0.25">
      <c r="C555" s="14"/>
      <c r="D555" s="14"/>
      <c r="E555" s="14"/>
      <c r="F555" s="14"/>
      <c r="G555" s="15"/>
      <c r="H555" s="15"/>
      <c r="I555" s="15"/>
      <c r="J555" s="15"/>
    </row>
    <row r="556" spans="3:10" ht="20.100000000000001" customHeight="1" x14ac:dyDescent="0.25">
      <c r="C556" s="14"/>
      <c r="D556" s="14"/>
      <c r="E556" s="14"/>
      <c r="F556" s="14"/>
      <c r="G556" s="15"/>
      <c r="H556" s="15"/>
      <c r="I556" s="15"/>
      <c r="J556" s="15"/>
    </row>
    <row r="557" spans="3:10" ht="20.100000000000001" customHeight="1" x14ac:dyDescent="0.25">
      <c r="C557" s="14"/>
      <c r="D557" s="14"/>
      <c r="E557" s="14"/>
      <c r="F557" s="14"/>
      <c r="G557" s="15"/>
      <c r="H557" s="15"/>
      <c r="I557" s="15"/>
      <c r="J557" s="15"/>
    </row>
    <row r="558" spans="3:10" ht="20.100000000000001" customHeight="1" x14ac:dyDescent="0.25">
      <c r="C558" s="14"/>
      <c r="D558" s="14"/>
      <c r="E558" s="14"/>
      <c r="F558" s="14"/>
      <c r="G558" s="15"/>
      <c r="H558" s="15"/>
      <c r="I558" s="15"/>
      <c r="J558" s="15"/>
    </row>
    <row r="559" spans="3:10" ht="20.100000000000001" customHeight="1" x14ac:dyDescent="0.25">
      <c r="C559" s="14"/>
      <c r="D559" s="14"/>
      <c r="E559" s="14"/>
      <c r="F559" s="14"/>
      <c r="G559" s="15"/>
      <c r="H559" s="15"/>
      <c r="I559" s="15"/>
      <c r="J559" s="15"/>
    </row>
    <row r="560" spans="3:10" ht="20.100000000000001" customHeight="1" x14ac:dyDescent="0.25">
      <c r="C560" s="14"/>
      <c r="D560" s="14"/>
      <c r="E560" s="14"/>
      <c r="F560" s="14"/>
      <c r="G560" s="15"/>
      <c r="H560" s="15"/>
      <c r="I560" s="15"/>
      <c r="J560" s="15"/>
    </row>
    <row r="561" spans="3:10" ht="20.100000000000001" customHeight="1" x14ac:dyDescent="0.25">
      <c r="C561" s="14"/>
      <c r="D561" s="14"/>
      <c r="E561" s="14"/>
      <c r="F561" s="14"/>
      <c r="G561" s="15"/>
      <c r="H561" s="15"/>
      <c r="I561" s="15"/>
      <c r="J561" s="15"/>
    </row>
    <row r="562" spans="3:10" ht="20.100000000000001" customHeight="1" x14ac:dyDescent="0.25">
      <c r="C562" s="14"/>
      <c r="D562" s="14"/>
      <c r="E562" s="14"/>
      <c r="F562" s="14"/>
      <c r="G562" s="15"/>
      <c r="H562" s="15"/>
      <c r="I562" s="15"/>
      <c r="J562" s="15"/>
    </row>
    <row r="563" spans="3:10" ht="20.100000000000001" customHeight="1" x14ac:dyDescent="0.25">
      <c r="C563" s="14"/>
      <c r="D563" s="14"/>
      <c r="E563" s="14"/>
      <c r="F563" s="14"/>
      <c r="G563" s="15"/>
      <c r="H563" s="15"/>
      <c r="I563" s="15"/>
      <c r="J563" s="15"/>
    </row>
    <row r="564" spans="3:10" ht="20.100000000000001" customHeight="1" x14ac:dyDescent="0.25">
      <c r="C564" s="14"/>
      <c r="D564" s="14"/>
      <c r="E564" s="14"/>
      <c r="F564" s="14"/>
      <c r="G564" s="15"/>
      <c r="H564" s="15"/>
      <c r="I564" s="15"/>
      <c r="J564" s="15"/>
    </row>
    <row r="565" spans="3:10" ht="20.100000000000001" customHeight="1" x14ac:dyDescent="0.25">
      <c r="C565" s="14"/>
      <c r="D565" s="14"/>
      <c r="E565" s="14"/>
      <c r="F565" s="14"/>
      <c r="G565" s="15"/>
      <c r="H565" s="15"/>
      <c r="I565" s="15"/>
      <c r="J565" s="15"/>
    </row>
    <row r="566" spans="3:10" ht="20.100000000000001" customHeight="1" x14ac:dyDescent="0.25">
      <c r="C566" s="14"/>
      <c r="D566" s="14"/>
      <c r="E566" s="14"/>
      <c r="F566" s="14"/>
      <c r="G566" s="15"/>
      <c r="H566" s="15"/>
      <c r="I566" s="15"/>
      <c r="J566" s="15"/>
    </row>
    <row r="567" spans="3:10" ht="20.100000000000001" customHeight="1" x14ac:dyDescent="0.25">
      <c r="C567" s="14"/>
      <c r="D567" s="14"/>
      <c r="E567" s="14"/>
      <c r="F567" s="14"/>
      <c r="G567" s="15"/>
      <c r="H567" s="15"/>
      <c r="I567" s="15"/>
      <c r="J567" s="15"/>
    </row>
    <row r="568" spans="3:10" ht="20.100000000000001" customHeight="1" x14ac:dyDescent="0.25">
      <c r="C568" s="14"/>
      <c r="D568" s="14"/>
      <c r="E568" s="14"/>
      <c r="F568" s="14"/>
      <c r="G568" s="15"/>
      <c r="H568" s="15"/>
      <c r="I568" s="15"/>
      <c r="J568" s="15"/>
    </row>
    <row r="569" spans="3:10" ht="20.100000000000001" customHeight="1" x14ac:dyDescent="0.25">
      <c r="C569" s="14"/>
      <c r="D569" s="14"/>
      <c r="E569" s="14"/>
      <c r="F569" s="14"/>
      <c r="G569" s="15"/>
      <c r="H569" s="15"/>
      <c r="I569" s="15"/>
      <c r="J569" s="15"/>
    </row>
    <row r="570" spans="3:10" ht="20.100000000000001" customHeight="1" x14ac:dyDescent="0.25">
      <c r="C570" s="14"/>
      <c r="D570" s="14"/>
      <c r="E570" s="14"/>
      <c r="F570" s="14"/>
      <c r="G570" s="15"/>
      <c r="H570" s="15"/>
      <c r="I570" s="15"/>
      <c r="J570" s="15"/>
    </row>
    <row r="571" spans="3:10" ht="20.100000000000001" customHeight="1" x14ac:dyDescent="0.25">
      <c r="C571" s="14"/>
      <c r="D571" s="14"/>
      <c r="E571" s="14"/>
      <c r="F571" s="14"/>
      <c r="G571" s="15"/>
      <c r="H571" s="15"/>
      <c r="I571" s="15"/>
      <c r="J571" s="15"/>
    </row>
    <row r="572" spans="3:10" ht="20.100000000000001" customHeight="1" x14ac:dyDescent="0.25">
      <c r="C572" s="14"/>
      <c r="D572" s="14"/>
      <c r="E572" s="14"/>
      <c r="F572" s="14"/>
      <c r="G572" s="15"/>
      <c r="H572" s="15"/>
      <c r="I572" s="15"/>
      <c r="J572" s="15"/>
    </row>
    <row r="573" spans="3:10" ht="20.100000000000001" customHeight="1" x14ac:dyDescent="0.25">
      <c r="C573" s="14"/>
      <c r="D573" s="14"/>
      <c r="E573" s="14"/>
      <c r="F573" s="14"/>
      <c r="G573" s="15"/>
      <c r="H573" s="15"/>
      <c r="I573" s="15"/>
      <c r="J573" s="15"/>
    </row>
    <row r="574" spans="3:10" ht="20.100000000000001" customHeight="1" x14ac:dyDescent="0.25">
      <c r="C574" s="14"/>
      <c r="D574" s="14"/>
      <c r="E574" s="14"/>
      <c r="F574" s="14"/>
      <c r="G574" s="15"/>
      <c r="H574" s="15"/>
      <c r="I574" s="15"/>
      <c r="J574" s="15"/>
    </row>
    <row r="575" spans="3:10" ht="20.100000000000001" customHeight="1" x14ac:dyDescent="0.25">
      <c r="C575" s="14"/>
      <c r="D575" s="14"/>
      <c r="E575" s="14"/>
      <c r="F575" s="14"/>
      <c r="G575" s="15"/>
      <c r="H575" s="15"/>
      <c r="I575" s="15"/>
      <c r="J575" s="15"/>
    </row>
    <row r="576" spans="3:10" ht="20.100000000000001" customHeight="1" x14ac:dyDescent="0.25">
      <c r="C576" s="14"/>
      <c r="D576" s="14"/>
      <c r="E576" s="14"/>
      <c r="F576" s="14"/>
      <c r="G576" s="15"/>
      <c r="H576" s="15"/>
      <c r="I576" s="15"/>
      <c r="J576" s="15"/>
    </row>
    <row r="577" spans="3:10" ht="20.100000000000001" customHeight="1" x14ac:dyDescent="0.25">
      <c r="C577" s="14"/>
      <c r="D577" s="14"/>
      <c r="E577" s="14"/>
      <c r="F577" s="14"/>
      <c r="G577" s="15"/>
      <c r="H577" s="15"/>
      <c r="I577" s="15"/>
      <c r="J577" s="15"/>
    </row>
    <row r="578" spans="3:10" ht="20.100000000000001" customHeight="1" x14ac:dyDescent="0.25">
      <c r="C578" s="14"/>
      <c r="D578" s="14"/>
      <c r="E578" s="14"/>
      <c r="F578" s="14"/>
      <c r="G578" s="15"/>
      <c r="H578" s="15"/>
      <c r="I578" s="15"/>
      <c r="J578" s="15"/>
    </row>
    <row r="579" spans="3:10" ht="20.100000000000001" customHeight="1" x14ac:dyDescent="0.25">
      <c r="C579" s="14"/>
      <c r="D579" s="14"/>
      <c r="E579" s="14"/>
      <c r="F579" s="14"/>
      <c r="G579" s="15"/>
      <c r="H579" s="15"/>
      <c r="I579" s="15"/>
      <c r="J579" s="15"/>
    </row>
    <row r="580" spans="3:10" ht="20.100000000000001" customHeight="1" x14ac:dyDescent="0.25">
      <c r="C580" s="14"/>
      <c r="D580" s="14"/>
      <c r="E580" s="14"/>
      <c r="F580" s="14"/>
      <c r="G580" s="15"/>
      <c r="H580" s="15"/>
      <c r="I580" s="15"/>
      <c r="J580" s="15"/>
    </row>
    <row r="581" spans="3:10" ht="20.100000000000001" customHeight="1" x14ac:dyDescent="0.25">
      <c r="C581" s="14"/>
      <c r="D581" s="14"/>
      <c r="E581" s="14"/>
      <c r="F581" s="14"/>
      <c r="G581" s="15"/>
      <c r="H581" s="15"/>
      <c r="I581" s="15"/>
      <c r="J581" s="15"/>
    </row>
    <row r="582" spans="3:10" ht="20.100000000000001" customHeight="1" x14ac:dyDescent="0.25">
      <c r="C582" s="14"/>
      <c r="D582" s="14"/>
      <c r="E582" s="14"/>
      <c r="F582" s="14"/>
      <c r="G582" s="15"/>
      <c r="H582" s="15"/>
      <c r="I582" s="15"/>
      <c r="J582" s="15"/>
    </row>
    <row r="583" spans="3:10" ht="20.100000000000001" customHeight="1" x14ac:dyDescent="0.25">
      <c r="C583" s="14"/>
      <c r="D583" s="14"/>
      <c r="E583" s="14"/>
      <c r="F583" s="14"/>
      <c r="G583" s="15"/>
      <c r="H583" s="15"/>
      <c r="I583" s="15"/>
      <c r="J583" s="15"/>
    </row>
    <row r="584" spans="3:10" ht="20.100000000000001" customHeight="1" x14ac:dyDescent="0.25">
      <c r="C584" s="14"/>
      <c r="D584" s="14"/>
      <c r="E584" s="14"/>
      <c r="F584" s="14"/>
      <c r="G584" s="15"/>
      <c r="H584" s="15"/>
      <c r="I584" s="15"/>
      <c r="J584" s="15"/>
    </row>
    <row r="585" spans="3:10" ht="20.100000000000001" customHeight="1" x14ac:dyDescent="0.25">
      <c r="C585" s="14"/>
      <c r="D585" s="14"/>
      <c r="E585" s="14"/>
      <c r="F585" s="14"/>
      <c r="G585" s="15"/>
      <c r="H585" s="15"/>
      <c r="I585" s="15"/>
      <c r="J585" s="15"/>
    </row>
    <row r="586" spans="3:10" ht="20.100000000000001" customHeight="1" x14ac:dyDescent="0.25">
      <c r="C586" s="14"/>
      <c r="D586" s="14"/>
      <c r="E586" s="14"/>
      <c r="F586" s="14"/>
      <c r="G586" s="15"/>
      <c r="H586" s="15"/>
      <c r="I586" s="15"/>
      <c r="J586" s="15"/>
    </row>
    <row r="587" spans="3:10" ht="20.100000000000001" customHeight="1" x14ac:dyDescent="0.25">
      <c r="C587" s="14"/>
      <c r="D587" s="14"/>
      <c r="E587" s="14"/>
      <c r="F587" s="14"/>
      <c r="G587" s="15"/>
      <c r="H587" s="15"/>
      <c r="I587" s="15"/>
      <c r="J587" s="15"/>
    </row>
    <row r="588" spans="3:10" ht="20.100000000000001" customHeight="1" x14ac:dyDescent="0.25">
      <c r="C588" s="14"/>
      <c r="D588" s="14"/>
      <c r="E588" s="14"/>
      <c r="F588" s="14"/>
      <c r="G588" s="15"/>
      <c r="H588" s="15"/>
      <c r="I588" s="15"/>
      <c r="J588" s="15"/>
    </row>
    <row r="589" spans="3:10" ht="20.100000000000001" customHeight="1" x14ac:dyDescent="0.25">
      <c r="C589" s="14"/>
      <c r="D589" s="14"/>
      <c r="E589" s="14"/>
      <c r="F589" s="14"/>
      <c r="G589" s="15"/>
      <c r="H589" s="15"/>
      <c r="I589" s="15"/>
      <c r="J589" s="15"/>
    </row>
    <row r="590" spans="3:10" ht="20.100000000000001" customHeight="1" x14ac:dyDescent="0.25">
      <c r="C590" s="14"/>
      <c r="D590" s="14"/>
      <c r="E590" s="14"/>
      <c r="F590" s="14"/>
      <c r="G590" s="15"/>
      <c r="H590" s="15"/>
      <c r="I590" s="15"/>
      <c r="J590" s="15"/>
    </row>
    <row r="591" spans="3:10" ht="20.100000000000001" customHeight="1" x14ac:dyDescent="0.25">
      <c r="C591" s="14"/>
      <c r="D591" s="14"/>
      <c r="E591" s="14"/>
      <c r="F591" s="14"/>
      <c r="G591" s="15"/>
      <c r="H591" s="15"/>
      <c r="I591" s="15"/>
      <c r="J591" s="15"/>
    </row>
    <row r="592" spans="3:10" ht="20.100000000000001" customHeight="1" x14ac:dyDescent="0.25">
      <c r="C592" s="14"/>
      <c r="D592" s="14"/>
      <c r="E592" s="14"/>
      <c r="F592" s="14"/>
      <c r="G592" s="15"/>
      <c r="H592" s="15"/>
      <c r="I592" s="15"/>
      <c r="J592" s="15"/>
    </row>
    <row r="593" spans="3:10" ht="20.100000000000001" customHeight="1" x14ac:dyDescent="0.25">
      <c r="C593" s="14"/>
      <c r="D593" s="14"/>
      <c r="E593" s="14"/>
      <c r="F593" s="14"/>
      <c r="G593" s="15"/>
      <c r="H593" s="15"/>
      <c r="I593" s="15"/>
      <c r="J593" s="15"/>
    </row>
    <row r="594" spans="3:10" ht="20.100000000000001" customHeight="1" x14ac:dyDescent="0.25">
      <c r="C594" s="14"/>
      <c r="D594" s="14"/>
      <c r="E594" s="14"/>
      <c r="F594" s="14"/>
      <c r="G594" s="15"/>
      <c r="H594" s="15"/>
      <c r="I594" s="15"/>
      <c r="J594" s="15"/>
    </row>
    <row r="595" spans="3:10" ht="20.100000000000001" customHeight="1" x14ac:dyDescent="0.25">
      <c r="C595" s="14"/>
      <c r="D595" s="14"/>
      <c r="E595" s="14"/>
      <c r="F595" s="14"/>
      <c r="G595" s="15"/>
      <c r="H595" s="15"/>
      <c r="I595" s="15"/>
      <c r="J595" s="15"/>
    </row>
    <row r="596" spans="3:10" ht="20.100000000000001" customHeight="1" x14ac:dyDescent="0.25">
      <c r="C596" s="14"/>
      <c r="D596" s="14"/>
      <c r="E596" s="14"/>
      <c r="F596" s="14"/>
      <c r="G596" s="15"/>
      <c r="H596" s="15"/>
      <c r="I596" s="15"/>
      <c r="J596" s="15"/>
    </row>
    <row r="597" spans="3:10" ht="20.100000000000001" customHeight="1" x14ac:dyDescent="0.25">
      <c r="C597" s="14"/>
      <c r="D597" s="14"/>
      <c r="E597" s="14"/>
      <c r="F597" s="14"/>
      <c r="G597" s="15"/>
      <c r="H597" s="15"/>
      <c r="I597" s="15"/>
      <c r="J597" s="15"/>
    </row>
    <row r="598" spans="3:10" ht="20.100000000000001" customHeight="1" x14ac:dyDescent="0.25">
      <c r="C598" s="14"/>
      <c r="D598" s="14"/>
      <c r="E598" s="14"/>
      <c r="F598" s="14"/>
      <c r="G598" s="15"/>
      <c r="H598" s="15"/>
      <c r="I598" s="15"/>
      <c r="J598" s="15"/>
    </row>
    <row r="599" spans="3:10" ht="20.100000000000001" customHeight="1" x14ac:dyDescent="0.25">
      <c r="C599" s="14"/>
      <c r="D599" s="14"/>
      <c r="E599" s="14"/>
      <c r="F599" s="14"/>
      <c r="G599" s="15"/>
      <c r="H599" s="15"/>
      <c r="I599" s="15"/>
      <c r="J599" s="15"/>
    </row>
    <row r="600" spans="3:10" ht="20.100000000000001" customHeight="1" x14ac:dyDescent="0.25">
      <c r="C600" s="14"/>
      <c r="D600" s="14"/>
      <c r="E600" s="14"/>
      <c r="F600" s="14"/>
      <c r="G600" s="15"/>
      <c r="H600" s="15"/>
      <c r="I600" s="15"/>
      <c r="J600" s="15"/>
    </row>
    <row r="601" spans="3:10" ht="20.100000000000001" customHeight="1" x14ac:dyDescent="0.25">
      <c r="C601" s="14"/>
      <c r="D601" s="14"/>
      <c r="E601" s="14"/>
      <c r="F601" s="14"/>
      <c r="G601" s="15"/>
      <c r="H601" s="15"/>
      <c r="I601" s="15"/>
      <c r="J601" s="15"/>
    </row>
    <row r="602" spans="3:10" ht="20.100000000000001" customHeight="1" x14ac:dyDescent="0.25">
      <c r="C602" s="14"/>
      <c r="D602" s="14"/>
      <c r="E602" s="14"/>
      <c r="F602" s="14"/>
      <c r="G602" s="15"/>
      <c r="H602" s="15"/>
      <c r="I602" s="15"/>
      <c r="J602" s="15"/>
    </row>
    <row r="603" spans="3:10" ht="20.100000000000001" customHeight="1" x14ac:dyDescent="0.25">
      <c r="C603" s="14"/>
      <c r="D603" s="14"/>
      <c r="E603" s="14"/>
      <c r="F603" s="14"/>
      <c r="G603" s="15"/>
      <c r="H603" s="15"/>
      <c r="I603" s="15"/>
      <c r="J603" s="15"/>
    </row>
    <row r="604" spans="3:10" ht="20.100000000000001" customHeight="1" x14ac:dyDescent="0.25">
      <c r="C604" s="14"/>
      <c r="D604" s="14"/>
      <c r="E604" s="14"/>
      <c r="F604" s="14"/>
      <c r="G604" s="15"/>
      <c r="H604" s="15"/>
      <c r="I604" s="15"/>
      <c r="J604" s="15"/>
    </row>
    <row r="605" spans="3:10" ht="20.100000000000001" customHeight="1" x14ac:dyDescent="0.25">
      <c r="C605" s="14"/>
      <c r="D605" s="14"/>
      <c r="E605" s="14"/>
      <c r="F605" s="14"/>
      <c r="G605" s="15"/>
      <c r="H605" s="15"/>
      <c r="I605" s="15"/>
      <c r="J605" s="15"/>
    </row>
    <row r="606" spans="3:10" ht="20.100000000000001" customHeight="1" x14ac:dyDescent="0.25">
      <c r="C606" s="14"/>
      <c r="D606" s="14"/>
      <c r="E606" s="14"/>
      <c r="F606" s="14"/>
      <c r="G606" s="15"/>
      <c r="H606" s="15"/>
      <c r="I606" s="15"/>
      <c r="J606" s="15"/>
    </row>
    <row r="607" spans="3:10" ht="20.100000000000001" customHeight="1" x14ac:dyDescent="0.25">
      <c r="C607" s="14"/>
      <c r="D607" s="14"/>
      <c r="E607" s="14"/>
      <c r="F607" s="14"/>
      <c r="G607" s="15"/>
      <c r="H607" s="15"/>
      <c r="I607" s="15"/>
      <c r="J607" s="15"/>
    </row>
    <row r="608" spans="3:10" ht="20.100000000000001" customHeight="1" x14ac:dyDescent="0.25">
      <c r="C608" s="14"/>
      <c r="D608" s="14"/>
      <c r="E608" s="14"/>
      <c r="F608" s="14"/>
      <c r="G608" s="15"/>
      <c r="H608" s="15"/>
      <c r="I608" s="15"/>
      <c r="J608" s="15"/>
    </row>
    <row r="609" spans="3:10" ht="20.100000000000001" customHeight="1" x14ac:dyDescent="0.25">
      <c r="C609" s="14"/>
      <c r="D609" s="14"/>
      <c r="E609" s="14"/>
      <c r="F609" s="14"/>
      <c r="G609" s="15"/>
      <c r="H609" s="15"/>
      <c r="I609" s="15"/>
      <c r="J609" s="15"/>
    </row>
    <row r="610" spans="3:10" ht="20.100000000000001" customHeight="1" x14ac:dyDescent="0.25">
      <c r="C610" s="14"/>
      <c r="D610" s="14"/>
      <c r="E610" s="14"/>
      <c r="F610" s="14"/>
      <c r="G610" s="15"/>
      <c r="H610" s="15"/>
      <c r="I610" s="15"/>
      <c r="J610" s="15"/>
    </row>
    <row r="611" spans="3:10" ht="20.100000000000001" customHeight="1" x14ac:dyDescent="0.25">
      <c r="C611" s="14"/>
      <c r="D611" s="14"/>
      <c r="E611" s="14"/>
      <c r="F611" s="14"/>
      <c r="G611" s="15"/>
      <c r="H611" s="15"/>
      <c r="I611" s="15"/>
      <c r="J611" s="15"/>
    </row>
    <row r="612" spans="3:10" ht="20.100000000000001" customHeight="1" x14ac:dyDescent="0.25">
      <c r="C612" s="14"/>
      <c r="D612" s="14"/>
      <c r="E612" s="14"/>
      <c r="F612" s="14"/>
      <c r="G612" s="15"/>
      <c r="H612" s="15"/>
      <c r="I612" s="15"/>
      <c r="J612" s="15"/>
    </row>
    <row r="613" spans="3:10" ht="20.100000000000001" customHeight="1" x14ac:dyDescent="0.25">
      <c r="C613" s="14"/>
      <c r="D613" s="14"/>
      <c r="E613" s="14"/>
      <c r="F613" s="14"/>
      <c r="G613" s="15"/>
      <c r="H613" s="15"/>
      <c r="I613" s="15"/>
      <c r="J613" s="15"/>
    </row>
    <row r="614" spans="3:10" ht="20.100000000000001" customHeight="1" x14ac:dyDescent="0.25">
      <c r="C614" s="14"/>
      <c r="D614" s="14"/>
      <c r="E614" s="14"/>
      <c r="F614" s="14"/>
      <c r="G614" s="15"/>
      <c r="H614" s="15"/>
      <c r="I614" s="15"/>
      <c r="J614" s="15"/>
    </row>
    <row r="615" spans="3:10" ht="20.100000000000001" customHeight="1" x14ac:dyDescent="0.25">
      <c r="C615" s="14"/>
      <c r="D615" s="14"/>
      <c r="E615" s="14"/>
      <c r="F615" s="14"/>
      <c r="G615" s="15"/>
      <c r="H615" s="15"/>
      <c r="I615" s="15"/>
      <c r="J615" s="15"/>
    </row>
    <row r="616" spans="3:10" ht="20.100000000000001" customHeight="1" x14ac:dyDescent="0.25">
      <c r="C616" s="14"/>
      <c r="D616" s="14"/>
      <c r="E616" s="14"/>
      <c r="F616" s="14"/>
      <c r="G616" s="15"/>
      <c r="H616" s="15"/>
      <c r="I616" s="15"/>
      <c r="J616" s="15"/>
    </row>
    <row r="617" spans="3:10" ht="20.100000000000001" customHeight="1" x14ac:dyDescent="0.25">
      <c r="C617" s="14"/>
      <c r="D617" s="14"/>
      <c r="E617" s="14"/>
      <c r="F617" s="14"/>
      <c r="G617" s="15"/>
      <c r="H617" s="15"/>
      <c r="I617" s="15"/>
      <c r="J617" s="15"/>
    </row>
    <row r="618" spans="3:10" ht="20.100000000000001" customHeight="1" x14ac:dyDescent="0.25">
      <c r="C618" s="14"/>
      <c r="D618" s="14"/>
      <c r="E618" s="14"/>
      <c r="F618" s="14"/>
      <c r="G618" s="15"/>
      <c r="H618" s="15"/>
      <c r="I618" s="15"/>
      <c r="J618" s="15"/>
    </row>
    <row r="619" spans="3:10" ht="20.100000000000001" customHeight="1" x14ac:dyDescent="0.25">
      <c r="C619" s="14"/>
      <c r="D619" s="14"/>
      <c r="E619" s="14"/>
      <c r="F619" s="14"/>
      <c r="G619" s="15"/>
      <c r="H619" s="15"/>
      <c r="I619" s="15"/>
      <c r="J619" s="15"/>
    </row>
    <row r="620" spans="3:10" ht="20.100000000000001" customHeight="1" x14ac:dyDescent="0.25">
      <c r="C620" s="14"/>
      <c r="D620" s="14"/>
      <c r="E620" s="14"/>
      <c r="F620" s="14"/>
      <c r="G620" s="15"/>
      <c r="H620" s="15"/>
      <c r="I620" s="15"/>
      <c r="J620" s="15"/>
    </row>
    <row r="621" spans="3:10" ht="20.100000000000001" customHeight="1" x14ac:dyDescent="0.25">
      <c r="C621" s="14"/>
      <c r="D621" s="14"/>
      <c r="E621" s="14"/>
      <c r="F621" s="14"/>
      <c r="G621" s="15"/>
      <c r="H621" s="15"/>
      <c r="I621" s="15"/>
      <c r="J621" s="15"/>
    </row>
    <row r="622" spans="3:10" ht="20.100000000000001" customHeight="1" x14ac:dyDescent="0.25">
      <c r="C622" s="14"/>
      <c r="D622" s="14"/>
      <c r="E622" s="14"/>
      <c r="F622" s="14"/>
      <c r="G622" s="15"/>
      <c r="H622" s="15"/>
      <c r="I622" s="15"/>
      <c r="J622" s="15"/>
    </row>
    <row r="623" spans="3:10" ht="20.100000000000001" customHeight="1" x14ac:dyDescent="0.25">
      <c r="C623" s="14"/>
      <c r="D623" s="14"/>
      <c r="E623" s="14"/>
      <c r="F623" s="14"/>
      <c r="G623" s="15"/>
      <c r="H623" s="15"/>
      <c r="I623" s="15"/>
      <c r="J623" s="15"/>
    </row>
    <row r="624" spans="3:10" ht="20.100000000000001" customHeight="1" x14ac:dyDescent="0.25">
      <c r="C624" s="14"/>
      <c r="D624" s="14"/>
      <c r="E624" s="14"/>
      <c r="F624" s="14"/>
      <c r="G624" s="15"/>
      <c r="H624" s="15"/>
      <c r="I624" s="15"/>
      <c r="J624" s="15"/>
    </row>
    <row r="625" spans="3:10" ht="20.100000000000001" customHeight="1" x14ac:dyDescent="0.25">
      <c r="C625" s="14"/>
      <c r="D625" s="14"/>
      <c r="E625" s="14"/>
      <c r="F625" s="14"/>
      <c r="G625" s="15"/>
      <c r="H625" s="15"/>
      <c r="I625" s="15"/>
      <c r="J625" s="15"/>
    </row>
    <row r="626" spans="3:10" ht="20.100000000000001" customHeight="1" x14ac:dyDescent="0.25">
      <c r="C626" s="14"/>
      <c r="D626" s="14"/>
      <c r="E626" s="14"/>
      <c r="F626" s="14"/>
      <c r="G626" s="15"/>
      <c r="H626" s="15"/>
      <c r="I626" s="15"/>
      <c r="J626" s="15"/>
    </row>
    <row r="627" spans="3:10" ht="20.100000000000001" customHeight="1" x14ac:dyDescent="0.25">
      <c r="C627" s="14"/>
      <c r="D627" s="14"/>
      <c r="E627" s="14"/>
      <c r="F627" s="14"/>
      <c r="G627" s="15"/>
      <c r="H627" s="15"/>
      <c r="I627" s="15"/>
      <c r="J627" s="15"/>
    </row>
    <row r="628" spans="3:10" ht="20.100000000000001" customHeight="1" x14ac:dyDescent="0.25">
      <c r="C628" s="14"/>
      <c r="D628" s="14"/>
      <c r="E628" s="14"/>
      <c r="F628" s="14"/>
      <c r="G628" s="15"/>
      <c r="H628" s="15"/>
      <c r="I628" s="15"/>
      <c r="J628" s="15"/>
    </row>
    <row r="629" spans="3:10" ht="20.100000000000001" customHeight="1" x14ac:dyDescent="0.25">
      <c r="C629" s="14"/>
      <c r="D629" s="14"/>
      <c r="E629" s="14"/>
      <c r="F629" s="14"/>
      <c r="G629" s="15"/>
      <c r="H629" s="15"/>
      <c r="I629" s="15"/>
      <c r="J629" s="15"/>
    </row>
    <row r="630" spans="3:10" ht="20.100000000000001" customHeight="1" x14ac:dyDescent="0.25">
      <c r="C630" s="14"/>
      <c r="D630" s="14"/>
      <c r="E630" s="14"/>
      <c r="F630" s="14"/>
      <c r="G630" s="15"/>
      <c r="H630" s="15"/>
      <c r="I630" s="15"/>
      <c r="J630" s="15"/>
    </row>
    <row r="631" spans="3:10" ht="20.100000000000001" customHeight="1" x14ac:dyDescent="0.25">
      <c r="C631" s="14"/>
      <c r="D631" s="14"/>
      <c r="E631" s="14"/>
      <c r="F631" s="14"/>
      <c r="G631" s="15"/>
      <c r="H631" s="15"/>
      <c r="I631" s="15"/>
      <c r="J631" s="15"/>
    </row>
    <row r="632" spans="3:10" ht="20.100000000000001" customHeight="1" x14ac:dyDescent="0.25">
      <c r="C632" s="14"/>
      <c r="D632" s="14"/>
      <c r="E632" s="14"/>
      <c r="F632" s="14"/>
      <c r="G632" s="15"/>
      <c r="H632" s="15"/>
      <c r="I632" s="15"/>
      <c r="J632" s="15"/>
    </row>
    <row r="633" spans="3:10" ht="20.100000000000001" customHeight="1" x14ac:dyDescent="0.25">
      <c r="C633" s="14"/>
      <c r="D633" s="14"/>
      <c r="E633" s="14"/>
      <c r="F633" s="14"/>
      <c r="G633" s="15"/>
      <c r="H633" s="15"/>
      <c r="I633" s="15"/>
      <c r="J633" s="15"/>
    </row>
    <row r="634" spans="3:10" ht="20.100000000000001" customHeight="1" x14ac:dyDescent="0.25">
      <c r="C634" s="14"/>
      <c r="D634" s="14"/>
      <c r="E634" s="14"/>
      <c r="F634" s="14"/>
      <c r="G634" s="15"/>
      <c r="H634" s="15"/>
      <c r="I634" s="15"/>
      <c r="J634" s="15"/>
    </row>
    <row r="635" spans="3:10" ht="20.100000000000001" customHeight="1" x14ac:dyDescent="0.25">
      <c r="C635" s="14"/>
      <c r="D635" s="14"/>
      <c r="E635" s="14"/>
      <c r="F635" s="14"/>
      <c r="G635" s="15"/>
      <c r="H635" s="15"/>
      <c r="I635" s="15"/>
      <c r="J635" s="15"/>
    </row>
    <row r="636" spans="3:10" ht="20.100000000000001" customHeight="1" x14ac:dyDescent="0.25">
      <c r="C636" s="14"/>
      <c r="D636" s="14"/>
      <c r="E636" s="14"/>
      <c r="F636" s="14"/>
      <c r="G636" s="15"/>
      <c r="H636" s="15"/>
      <c r="I636" s="15"/>
      <c r="J636" s="15"/>
    </row>
    <row r="637" spans="3:10" ht="20.100000000000001" customHeight="1" x14ac:dyDescent="0.25">
      <c r="C637" s="14"/>
      <c r="D637" s="14"/>
      <c r="E637" s="14"/>
      <c r="F637" s="14"/>
      <c r="G637" s="15"/>
      <c r="H637" s="15"/>
      <c r="I637" s="15"/>
      <c r="J637" s="15"/>
    </row>
    <row r="638" spans="3:10" ht="20.100000000000001" customHeight="1" x14ac:dyDescent="0.25">
      <c r="C638" s="14"/>
      <c r="D638" s="14"/>
      <c r="E638" s="14"/>
      <c r="F638" s="14"/>
      <c r="G638" s="15"/>
      <c r="H638" s="15"/>
      <c r="I638" s="15"/>
      <c r="J638" s="15"/>
    </row>
    <row r="639" spans="3:10" ht="20.100000000000001" customHeight="1" x14ac:dyDescent="0.25">
      <c r="C639" s="14"/>
      <c r="D639" s="14"/>
      <c r="E639" s="14"/>
      <c r="F639" s="14"/>
      <c r="G639" s="15"/>
      <c r="H639" s="15"/>
      <c r="I639" s="15"/>
      <c r="J639" s="15"/>
    </row>
    <row r="640" spans="3:10" ht="20.100000000000001" customHeight="1" x14ac:dyDescent="0.25">
      <c r="C640" s="14"/>
      <c r="D640" s="14"/>
      <c r="E640" s="14"/>
      <c r="F640" s="14"/>
      <c r="G640" s="15"/>
      <c r="H640" s="15"/>
      <c r="I640" s="15"/>
      <c r="J640" s="15"/>
    </row>
    <row r="641" spans="3:10" ht="20.100000000000001" customHeight="1" x14ac:dyDescent="0.25">
      <c r="C641" s="14"/>
      <c r="D641" s="14"/>
      <c r="E641" s="14"/>
      <c r="F641" s="14"/>
      <c r="G641" s="15"/>
      <c r="H641" s="15"/>
      <c r="I641" s="15"/>
      <c r="J641" s="15"/>
    </row>
    <row r="642" spans="3:10" ht="20.100000000000001" customHeight="1" x14ac:dyDescent="0.25">
      <c r="C642" s="14"/>
      <c r="D642" s="14"/>
      <c r="E642" s="14"/>
      <c r="F642" s="14"/>
      <c r="G642" s="15"/>
      <c r="H642" s="15"/>
      <c r="I642" s="15"/>
      <c r="J642" s="15"/>
    </row>
    <row r="643" spans="3:10" ht="20.100000000000001" customHeight="1" x14ac:dyDescent="0.25">
      <c r="C643" s="14"/>
      <c r="D643" s="14"/>
      <c r="E643" s="14"/>
      <c r="F643" s="14"/>
      <c r="G643" s="15"/>
      <c r="H643" s="15"/>
      <c r="I643" s="15"/>
      <c r="J643" s="15"/>
    </row>
    <row r="644" spans="3:10" ht="20.100000000000001" customHeight="1" x14ac:dyDescent="0.25">
      <c r="C644" s="14"/>
      <c r="D644" s="14"/>
      <c r="E644" s="14"/>
      <c r="F644" s="14"/>
      <c r="G644" s="15"/>
      <c r="H644" s="15"/>
      <c r="I644" s="15"/>
      <c r="J644" s="15"/>
    </row>
    <row r="645" spans="3:10" ht="20.100000000000001" customHeight="1" x14ac:dyDescent="0.25">
      <c r="C645" s="14"/>
      <c r="D645" s="14"/>
      <c r="E645" s="14"/>
      <c r="F645" s="14"/>
      <c r="G645" s="15"/>
      <c r="H645" s="15"/>
      <c r="I645" s="15"/>
      <c r="J645" s="15"/>
    </row>
    <row r="646" spans="3:10" ht="20.100000000000001" customHeight="1" x14ac:dyDescent="0.25">
      <c r="C646" s="14"/>
      <c r="D646" s="14"/>
      <c r="E646" s="14"/>
      <c r="F646" s="14"/>
      <c r="G646" s="15"/>
      <c r="H646" s="15"/>
      <c r="I646" s="15"/>
      <c r="J646" s="15"/>
    </row>
    <row r="647" spans="3:10" ht="20.100000000000001" customHeight="1" x14ac:dyDescent="0.25">
      <c r="C647" s="14"/>
      <c r="D647" s="14"/>
      <c r="E647" s="14"/>
      <c r="F647" s="14"/>
      <c r="G647" s="15"/>
      <c r="H647" s="15"/>
      <c r="I647" s="15"/>
      <c r="J647" s="15"/>
    </row>
    <row r="648" spans="3:10" ht="20.100000000000001" customHeight="1" x14ac:dyDescent="0.25">
      <c r="C648" s="14"/>
      <c r="D648" s="14"/>
      <c r="E648" s="14"/>
      <c r="F648" s="14"/>
      <c r="G648" s="15"/>
      <c r="H648" s="15"/>
      <c r="I648" s="15"/>
      <c r="J648" s="15"/>
    </row>
    <row r="649" spans="3:10" ht="20.100000000000001" customHeight="1" x14ac:dyDescent="0.25">
      <c r="C649" s="14"/>
      <c r="D649" s="14"/>
      <c r="E649" s="14"/>
      <c r="F649" s="14"/>
      <c r="G649" s="15"/>
      <c r="H649" s="15"/>
      <c r="I649" s="15"/>
      <c r="J649" s="15"/>
    </row>
    <row r="650" spans="3:10" ht="20.100000000000001" customHeight="1" x14ac:dyDescent="0.25">
      <c r="C650" s="14"/>
      <c r="D650" s="14"/>
      <c r="E650" s="14"/>
      <c r="F650" s="14"/>
      <c r="G650" s="15"/>
      <c r="H650" s="15"/>
      <c r="I650" s="15"/>
      <c r="J650" s="15"/>
    </row>
    <row r="651" spans="3:10" ht="20.100000000000001" customHeight="1" x14ac:dyDescent="0.25">
      <c r="C651" s="14"/>
      <c r="D651" s="14"/>
      <c r="E651" s="14"/>
      <c r="F651" s="14"/>
      <c r="G651" s="15"/>
      <c r="H651" s="15"/>
      <c r="I651" s="15"/>
      <c r="J651" s="15"/>
    </row>
    <row r="652" spans="3:10" ht="20.100000000000001" customHeight="1" x14ac:dyDescent="0.25">
      <c r="C652" s="14"/>
      <c r="D652" s="14"/>
      <c r="E652" s="14"/>
      <c r="F652" s="14"/>
      <c r="G652" s="15"/>
      <c r="H652" s="15"/>
      <c r="I652" s="15"/>
      <c r="J652" s="15"/>
    </row>
    <row r="653" spans="3:10" ht="20.100000000000001" customHeight="1" x14ac:dyDescent="0.25">
      <c r="C653" s="14"/>
      <c r="D653" s="14"/>
      <c r="E653" s="14"/>
      <c r="F653" s="14"/>
      <c r="G653" s="15"/>
      <c r="H653" s="15"/>
      <c r="I653" s="15"/>
      <c r="J653" s="15"/>
    </row>
    <row r="654" spans="3:10" ht="20.100000000000001" customHeight="1" x14ac:dyDescent="0.25">
      <c r="C654" s="14"/>
      <c r="D654" s="14"/>
      <c r="E654" s="14"/>
      <c r="F654" s="14"/>
      <c r="G654" s="15"/>
      <c r="H654" s="15"/>
      <c r="I654" s="15"/>
      <c r="J654" s="15"/>
    </row>
    <row r="655" spans="3:10" ht="20.100000000000001" customHeight="1" x14ac:dyDescent="0.25">
      <c r="C655" s="14"/>
      <c r="D655" s="14"/>
      <c r="E655" s="14"/>
      <c r="F655" s="14"/>
      <c r="G655" s="15"/>
      <c r="H655" s="15"/>
      <c r="I655" s="15"/>
      <c r="J655" s="15"/>
    </row>
    <row r="656" spans="3:10" ht="20.100000000000001" customHeight="1" x14ac:dyDescent="0.25">
      <c r="C656" s="14"/>
      <c r="D656" s="14"/>
      <c r="E656" s="14"/>
      <c r="F656" s="14"/>
      <c r="G656" s="15"/>
      <c r="H656" s="15"/>
      <c r="I656" s="15"/>
      <c r="J656" s="15"/>
    </row>
    <row r="657" spans="3:10" ht="20.100000000000001" customHeight="1" x14ac:dyDescent="0.25">
      <c r="C657" s="14"/>
      <c r="D657" s="14"/>
      <c r="E657" s="14"/>
      <c r="F657" s="14"/>
      <c r="G657" s="15"/>
      <c r="H657" s="15"/>
      <c r="I657" s="15"/>
      <c r="J657" s="15"/>
    </row>
    <row r="658" spans="3:10" ht="20.100000000000001" customHeight="1" x14ac:dyDescent="0.25">
      <c r="C658" s="14"/>
      <c r="D658" s="14"/>
      <c r="E658" s="14"/>
      <c r="F658" s="14"/>
      <c r="G658" s="15"/>
      <c r="H658" s="15"/>
      <c r="I658" s="15"/>
      <c r="J658" s="15"/>
    </row>
    <row r="659" spans="3:10" ht="20.100000000000001" customHeight="1" x14ac:dyDescent="0.25">
      <c r="C659" s="14"/>
      <c r="D659" s="14"/>
      <c r="E659" s="14"/>
      <c r="F659" s="14"/>
      <c r="G659" s="15"/>
      <c r="H659" s="15"/>
      <c r="I659" s="15"/>
      <c r="J659" s="15"/>
    </row>
    <row r="660" spans="3:10" ht="20.100000000000001" customHeight="1" x14ac:dyDescent="0.25">
      <c r="C660" s="14"/>
      <c r="D660" s="14"/>
      <c r="E660" s="14"/>
      <c r="F660" s="14"/>
      <c r="G660" s="15"/>
      <c r="H660" s="15"/>
      <c r="I660" s="15"/>
      <c r="J660" s="15"/>
    </row>
    <row r="661" spans="3:10" ht="20.100000000000001" customHeight="1" x14ac:dyDescent="0.25">
      <c r="C661" s="14"/>
      <c r="D661" s="14"/>
      <c r="E661" s="14"/>
      <c r="F661" s="14"/>
      <c r="G661" s="15"/>
      <c r="H661" s="15"/>
      <c r="I661" s="15"/>
      <c r="J661" s="15"/>
    </row>
    <row r="662" spans="3:10" ht="20.100000000000001" customHeight="1" x14ac:dyDescent="0.25">
      <c r="C662" s="14"/>
      <c r="D662" s="14"/>
      <c r="E662" s="14"/>
      <c r="F662" s="14"/>
      <c r="G662" s="15"/>
      <c r="H662" s="15"/>
      <c r="I662" s="15"/>
      <c r="J662" s="15"/>
    </row>
    <row r="663" spans="3:10" ht="20.100000000000001" customHeight="1" x14ac:dyDescent="0.25">
      <c r="C663" s="14"/>
      <c r="D663" s="14"/>
      <c r="E663" s="14"/>
      <c r="F663" s="14"/>
      <c r="G663" s="15"/>
      <c r="H663" s="15"/>
      <c r="I663" s="15"/>
      <c r="J663" s="15"/>
    </row>
    <row r="664" spans="3:10" ht="20.100000000000001" customHeight="1" x14ac:dyDescent="0.25">
      <c r="C664" s="14"/>
      <c r="D664" s="14"/>
      <c r="E664" s="14"/>
      <c r="F664" s="14"/>
      <c r="G664" s="15"/>
      <c r="H664" s="15"/>
      <c r="I664" s="15"/>
      <c r="J664" s="15"/>
    </row>
    <row r="665" spans="3:10" ht="20.100000000000001" customHeight="1" x14ac:dyDescent="0.25">
      <c r="C665" s="14"/>
      <c r="D665" s="14"/>
      <c r="E665" s="14"/>
      <c r="F665" s="14"/>
      <c r="G665" s="15"/>
      <c r="H665" s="15"/>
      <c r="I665" s="15"/>
      <c r="J665" s="15"/>
    </row>
    <row r="666" spans="3:10" ht="20.100000000000001" customHeight="1" x14ac:dyDescent="0.25">
      <c r="C666" s="14"/>
      <c r="D666" s="14"/>
      <c r="E666" s="14"/>
      <c r="F666" s="14"/>
      <c r="G666" s="15"/>
      <c r="H666" s="15"/>
      <c r="I666" s="15"/>
      <c r="J666" s="15"/>
    </row>
    <row r="667" spans="3:10" ht="20.100000000000001" customHeight="1" x14ac:dyDescent="0.25">
      <c r="C667" s="14"/>
      <c r="D667" s="14"/>
      <c r="E667" s="14"/>
      <c r="F667" s="14"/>
      <c r="G667" s="15"/>
      <c r="H667" s="15"/>
      <c r="I667" s="15"/>
      <c r="J667" s="15"/>
    </row>
    <row r="668" spans="3:10" ht="20.100000000000001" customHeight="1" x14ac:dyDescent="0.25">
      <c r="C668" s="14"/>
      <c r="D668" s="14"/>
      <c r="E668" s="14"/>
      <c r="F668" s="14"/>
      <c r="G668" s="15"/>
      <c r="H668" s="15"/>
      <c r="I668" s="15"/>
      <c r="J668" s="15"/>
    </row>
    <row r="669" spans="3:10" ht="20.100000000000001" customHeight="1" x14ac:dyDescent="0.25">
      <c r="C669" s="14"/>
      <c r="D669" s="14"/>
      <c r="E669" s="14"/>
      <c r="F669" s="14"/>
      <c r="G669" s="15"/>
      <c r="H669" s="15"/>
      <c r="I669" s="15"/>
      <c r="J669" s="15"/>
    </row>
    <row r="670" spans="3:10" ht="20.100000000000001" customHeight="1" x14ac:dyDescent="0.25">
      <c r="C670" s="14"/>
      <c r="D670" s="14"/>
      <c r="E670" s="14"/>
      <c r="F670" s="14"/>
      <c r="G670" s="15"/>
      <c r="H670" s="15"/>
      <c r="I670" s="15"/>
      <c r="J670" s="15"/>
    </row>
    <row r="671" spans="3:10" ht="20.100000000000001" customHeight="1" x14ac:dyDescent="0.25">
      <c r="C671" s="14"/>
      <c r="D671" s="14"/>
      <c r="E671" s="14"/>
      <c r="F671" s="14"/>
      <c r="G671" s="15"/>
      <c r="H671" s="15"/>
      <c r="I671" s="15"/>
      <c r="J671" s="15"/>
    </row>
    <row r="672" spans="3:10" ht="20.100000000000001" customHeight="1" x14ac:dyDescent="0.25">
      <c r="C672" s="14"/>
      <c r="D672" s="14"/>
      <c r="E672" s="14"/>
      <c r="F672" s="14"/>
      <c r="G672" s="15"/>
      <c r="H672" s="15"/>
      <c r="I672" s="15"/>
      <c r="J672" s="15"/>
    </row>
    <row r="673" spans="3:10" ht="20.100000000000001" customHeight="1" x14ac:dyDescent="0.25">
      <c r="C673" s="14"/>
      <c r="D673" s="14"/>
      <c r="E673" s="14"/>
      <c r="F673" s="14"/>
      <c r="G673" s="15"/>
      <c r="H673" s="15"/>
      <c r="I673" s="15"/>
      <c r="J673" s="15"/>
    </row>
    <row r="674" spans="3:10" ht="20.100000000000001" customHeight="1" x14ac:dyDescent="0.25">
      <c r="C674" s="14"/>
      <c r="D674" s="14"/>
      <c r="E674" s="14"/>
      <c r="F674" s="14"/>
      <c r="G674" s="15"/>
      <c r="H674" s="15"/>
      <c r="I674" s="15"/>
      <c r="J674" s="15"/>
    </row>
    <row r="675" spans="3:10" ht="20.100000000000001" customHeight="1" x14ac:dyDescent="0.25">
      <c r="C675" s="14"/>
      <c r="D675" s="14"/>
      <c r="E675" s="14"/>
      <c r="F675" s="14"/>
      <c r="G675" s="15"/>
      <c r="H675" s="15"/>
      <c r="I675" s="15"/>
      <c r="J675" s="15"/>
    </row>
    <row r="676" spans="3:10" ht="20.100000000000001" customHeight="1" x14ac:dyDescent="0.25">
      <c r="C676" s="14"/>
      <c r="D676" s="14"/>
      <c r="E676" s="14"/>
      <c r="F676" s="14"/>
      <c r="G676" s="15"/>
      <c r="H676" s="15"/>
      <c r="I676" s="15"/>
      <c r="J676" s="15"/>
    </row>
    <row r="677" spans="3:10" ht="20.100000000000001" customHeight="1" x14ac:dyDescent="0.25">
      <c r="C677" s="14"/>
      <c r="D677" s="14"/>
      <c r="E677" s="14"/>
      <c r="F677" s="14"/>
      <c r="G677" s="15"/>
      <c r="H677" s="15"/>
      <c r="I677" s="15"/>
      <c r="J677" s="15"/>
    </row>
    <row r="678" spans="3:10" ht="20.100000000000001" customHeight="1" x14ac:dyDescent="0.25">
      <c r="C678" s="14"/>
      <c r="D678" s="14"/>
      <c r="E678" s="14"/>
      <c r="F678" s="14"/>
      <c r="G678" s="15"/>
      <c r="H678" s="15"/>
      <c r="I678" s="15"/>
      <c r="J678" s="15"/>
    </row>
    <row r="679" spans="3:10" ht="20.100000000000001" customHeight="1" x14ac:dyDescent="0.25">
      <c r="C679" s="14"/>
      <c r="D679" s="14"/>
      <c r="E679" s="14"/>
      <c r="F679" s="14"/>
      <c r="G679" s="15"/>
      <c r="H679" s="15"/>
      <c r="I679" s="15"/>
      <c r="J679" s="15"/>
    </row>
    <row r="680" spans="3:10" ht="20.100000000000001" customHeight="1" x14ac:dyDescent="0.25">
      <c r="C680" s="14"/>
      <c r="D680" s="14"/>
      <c r="E680" s="14"/>
      <c r="F680" s="14"/>
      <c r="G680" s="15"/>
      <c r="H680" s="15"/>
      <c r="I680" s="15"/>
      <c r="J680" s="15"/>
    </row>
    <row r="681" spans="3:10" ht="20.100000000000001" customHeight="1" x14ac:dyDescent="0.25">
      <c r="C681" s="14"/>
      <c r="D681" s="14"/>
      <c r="E681" s="14"/>
      <c r="F681" s="14"/>
      <c r="G681" s="15"/>
      <c r="H681" s="15"/>
      <c r="I681" s="15"/>
      <c r="J681" s="15"/>
    </row>
    <row r="682" spans="3:10" ht="20.100000000000001" customHeight="1" x14ac:dyDescent="0.25">
      <c r="C682" s="14"/>
      <c r="D682" s="14"/>
      <c r="E682" s="14"/>
      <c r="F682" s="14"/>
      <c r="G682" s="15"/>
      <c r="H682" s="15"/>
      <c r="I682" s="15"/>
      <c r="J682" s="15"/>
    </row>
    <row r="683" spans="3:10" ht="20.100000000000001" customHeight="1" x14ac:dyDescent="0.25">
      <c r="C683" s="14"/>
      <c r="D683" s="14"/>
      <c r="E683" s="14"/>
      <c r="F683" s="14"/>
      <c r="G683" s="15"/>
      <c r="H683" s="15"/>
      <c r="I683" s="15"/>
      <c r="J683" s="15"/>
    </row>
    <row r="684" spans="3:10" ht="20.100000000000001" customHeight="1" x14ac:dyDescent="0.25">
      <c r="C684" s="14"/>
      <c r="D684" s="14"/>
      <c r="E684" s="14"/>
      <c r="F684" s="14"/>
      <c r="G684" s="15"/>
      <c r="H684" s="15"/>
      <c r="I684" s="15"/>
      <c r="J684" s="15"/>
    </row>
    <row r="685" spans="3:10" ht="20.100000000000001" customHeight="1" x14ac:dyDescent="0.25">
      <c r="C685" s="14"/>
      <c r="D685" s="14"/>
      <c r="E685" s="14"/>
      <c r="F685" s="14"/>
      <c r="G685" s="15"/>
      <c r="H685" s="15"/>
      <c r="I685" s="15"/>
      <c r="J685" s="15"/>
    </row>
    <row r="686" spans="3:10" ht="20.100000000000001" customHeight="1" x14ac:dyDescent="0.25">
      <c r="C686" s="14"/>
      <c r="D686" s="14"/>
      <c r="E686" s="14"/>
      <c r="F686" s="14"/>
      <c r="G686" s="15"/>
      <c r="H686" s="15"/>
      <c r="I686" s="15"/>
      <c r="J686" s="15"/>
    </row>
    <row r="687" spans="3:10" ht="20.100000000000001" customHeight="1" x14ac:dyDescent="0.25">
      <c r="C687" s="14"/>
      <c r="D687" s="14"/>
      <c r="E687" s="14"/>
      <c r="F687" s="14"/>
      <c r="G687" s="15"/>
      <c r="H687" s="15"/>
      <c r="I687" s="15"/>
      <c r="J687" s="15"/>
    </row>
    <row r="688" spans="3:10" ht="20.100000000000001" customHeight="1" x14ac:dyDescent="0.25">
      <c r="C688" s="14"/>
      <c r="D688" s="14"/>
      <c r="E688" s="14"/>
      <c r="F688" s="14"/>
      <c r="G688" s="15"/>
      <c r="H688" s="15"/>
      <c r="I688" s="15"/>
      <c r="J688" s="15"/>
    </row>
    <row r="689" spans="3:10" ht="20.100000000000001" customHeight="1" x14ac:dyDescent="0.25">
      <c r="C689" s="14"/>
      <c r="D689" s="14"/>
      <c r="E689" s="14"/>
      <c r="F689" s="14"/>
      <c r="G689" s="15"/>
      <c r="H689" s="15"/>
      <c r="I689" s="15"/>
      <c r="J689" s="15"/>
    </row>
    <row r="690" spans="3:10" ht="20.100000000000001" customHeight="1" x14ac:dyDescent="0.25">
      <c r="C690" s="14"/>
      <c r="D690" s="14"/>
      <c r="E690" s="14"/>
      <c r="F690" s="14"/>
      <c r="G690" s="15"/>
      <c r="H690" s="15"/>
      <c r="I690" s="15"/>
      <c r="J690" s="15"/>
    </row>
    <row r="691" spans="3:10" ht="20.100000000000001" customHeight="1" x14ac:dyDescent="0.25">
      <c r="C691" s="14"/>
      <c r="D691" s="14"/>
      <c r="E691" s="14"/>
      <c r="F691" s="14"/>
      <c r="G691" s="15"/>
      <c r="H691" s="15"/>
      <c r="I691" s="15"/>
      <c r="J691" s="15"/>
    </row>
    <row r="692" spans="3:10" ht="20.100000000000001" customHeight="1" x14ac:dyDescent="0.25">
      <c r="C692" s="14"/>
      <c r="D692" s="14"/>
      <c r="E692" s="14"/>
      <c r="F692" s="14"/>
      <c r="G692" s="15"/>
      <c r="H692" s="15"/>
      <c r="I692" s="15"/>
      <c r="J692" s="15"/>
    </row>
    <row r="693" spans="3:10" ht="20.100000000000001" customHeight="1" x14ac:dyDescent="0.25">
      <c r="C693" s="14"/>
      <c r="D693" s="14"/>
      <c r="E693" s="14"/>
      <c r="F693" s="14"/>
      <c r="G693" s="15"/>
      <c r="H693" s="15"/>
      <c r="I693" s="15"/>
      <c r="J693" s="15"/>
    </row>
    <row r="694" spans="3:10" ht="20.100000000000001" customHeight="1" x14ac:dyDescent="0.25">
      <c r="C694" s="14"/>
      <c r="D694" s="14"/>
      <c r="E694" s="14"/>
      <c r="F694" s="14"/>
      <c r="G694" s="15"/>
      <c r="H694" s="15"/>
      <c r="I694" s="15"/>
      <c r="J694" s="15"/>
    </row>
    <row r="695" spans="3:10" ht="20.100000000000001" customHeight="1" x14ac:dyDescent="0.25">
      <c r="C695" s="14"/>
      <c r="D695" s="14"/>
      <c r="E695" s="14"/>
      <c r="F695" s="14"/>
      <c r="G695" s="15"/>
      <c r="H695" s="15"/>
      <c r="I695" s="15"/>
      <c r="J695" s="15"/>
    </row>
    <row r="696" spans="3:10" ht="20.100000000000001" customHeight="1" x14ac:dyDescent="0.25">
      <c r="C696" s="14"/>
      <c r="D696" s="14"/>
      <c r="E696" s="14"/>
      <c r="F696" s="14"/>
      <c r="G696" s="15"/>
      <c r="H696" s="15"/>
      <c r="I696" s="15"/>
      <c r="J696" s="15"/>
    </row>
    <row r="697" spans="3:10" ht="20.100000000000001" customHeight="1" x14ac:dyDescent="0.25">
      <c r="C697" s="14"/>
      <c r="D697" s="14"/>
      <c r="E697" s="14"/>
      <c r="F697" s="14"/>
      <c r="G697" s="15"/>
      <c r="H697" s="15"/>
      <c r="I697" s="15"/>
      <c r="J697" s="15"/>
    </row>
    <row r="698" spans="3:10" ht="20.100000000000001" customHeight="1" x14ac:dyDescent="0.25">
      <c r="C698" s="14"/>
      <c r="D698" s="14"/>
      <c r="E698" s="14"/>
      <c r="F698" s="14"/>
      <c r="G698" s="15"/>
      <c r="H698" s="15"/>
      <c r="I698" s="15"/>
      <c r="J698" s="15"/>
    </row>
    <row r="699" spans="3:10" ht="20.100000000000001" customHeight="1" x14ac:dyDescent="0.25">
      <c r="C699" s="14"/>
      <c r="D699" s="14"/>
      <c r="E699" s="14"/>
      <c r="F699" s="14"/>
      <c r="G699" s="15"/>
      <c r="H699" s="15"/>
      <c r="I699" s="15"/>
      <c r="J699" s="15"/>
    </row>
    <row r="700" spans="3:10" ht="20.100000000000001" customHeight="1" x14ac:dyDescent="0.25">
      <c r="C700" s="14"/>
      <c r="D700" s="14"/>
      <c r="E700" s="14"/>
      <c r="F700" s="14"/>
      <c r="G700" s="15"/>
      <c r="H700" s="15"/>
      <c r="I700" s="15"/>
      <c r="J700" s="15"/>
    </row>
    <row r="701" spans="3:10" ht="20.100000000000001" customHeight="1" x14ac:dyDescent="0.25">
      <c r="C701" s="14"/>
      <c r="D701" s="14"/>
      <c r="E701" s="14"/>
      <c r="F701" s="14"/>
      <c r="G701" s="15"/>
      <c r="H701" s="15"/>
      <c r="I701" s="15"/>
      <c r="J701" s="15"/>
    </row>
    <row r="702" spans="3:10" ht="20.100000000000001" customHeight="1" x14ac:dyDescent="0.25">
      <c r="C702" s="14"/>
      <c r="D702" s="14"/>
      <c r="E702" s="14"/>
      <c r="F702" s="14"/>
      <c r="G702" s="15"/>
      <c r="H702" s="15"/>
      <c r="I702" s="15"/>
      <c r="J702" s="15"/>
    </row>
    <row r="703" spans="3:10" ht="20.100000000000001" customHeight="1" x14ac:dyDescent="0.25">
      <c r="C703" s="14"/>
      <c r="D703" s="14"/>
      <c r="E703" s="14"/>
      <c r="F703" s="14"/>
      <c r="G703" s="15"/>
      <c r="H703" s="15"/>
      <c r="I703" s="15"/>
      <c r="J703" s="15"/>
    </row>
    <row r="704" spans="3:10" ht="20.100000000000001" customHeight="1" x14ac:dyDescent="0.25">
      <c r="C704" s="14"/>
      <c r="D704" s="14"/>
      <c r="E704" s="14"/>
      <c r="F704" s="14"/>
      <c r="G704" s="15"/>
      <c r="H704" s="15"/>
      <c r="I704" s="15"/>
      <c r="J704" s="15"/>
    </row>
    <row r="705" spans="3:10" ht="20.100000000000001" customHeight="1" x14ac:dyDescent="0.25">
      <c r="C705" s="14"/>
      <c r="D705" s="14"/>
      <c r="E705" s="14"/>
      <c r="F705" s="14"/>
      <c r="G705" s="15"/>
      <c r="H705" s="15"/>
      <c r="I705" s="15"/>
      <c r="J705" s="15"/>
    </row>
    <row r="706" spans="3:10" ht="20.100000000000001" customHeight="1" x14ac:dyDescent="0.25">
      <c r="C706" s="14"/>
      <c r="D706" s="14"/>
      <c r="E706" s="14"/>
      <c r="F706" s="14"/>
      <c r="G706" s="15"/>
      <c r="H706" s="15"/>
      <c r="I706" s="15"/>
      <c r="J706" s="15"/>
    </row>
    <row r="707" spans="3:10" ht="20.100000000000001" customHeight="1" x14ac:dyDescent="0.25">
      <c r="C707" s="14"/>
      <c r="D707" s="14"/>
      <c r="E707" s="14"/>
      <c r="F707" s="14"/>
      <c r="G707" s="15"/>
      <c r="H707" s="15"/>
      <c r="I707" s="15"/>
      <c r="J707" s="15"/>
    </row>
    <row r="708" spans="3:10" ht="20.100000000000001" customHeight="1" x14ac:dyDescent="0.25">
      <c r="C708" s="14"/>
      <c r="D708" s="14"/>
      <c r="E708" s="14"/>
      <c r="F708" s="14"/>
      <c r="G708" s="15"/>
      <c r="H708" s="15"/>
      <c r="I708" s="15"/>
      <c r="J708" s="15"/>
    </row>
    <row r="709" spans="3:10" ht="20.100000000000001" customHeight="1" x14ac:dyDescent="0.25">
      <c r="C709" s="14"/>
      <c r="D709" s="14"/>
      <c r="E709" s="14"/>
      <c r="F709" s="14"/>
      <c r="G709" s="15"/>
      <c r="H709" s="15"/>
      <c r="I709" s="15"/>
      <c r="J709" s="15"/>
    </row>
    <row r="710" spans="3:10" ht="20.100000000000001" customHeight="1" x14ac:dyDescent="0.25">
      <c r="C710" s="14"/>
      <c r="D710" s="14"/>
      <c r="E710" s="14"/>
      <c r="F710" s="14"/>
      <c r="G710" s="15"/>
      <c r="H710" s="15"/>
      <c r="I710" s="15"/>
      <c r="J710" s="15"/>
    </row>
    <row r="711" spans="3:10" ht="20.100000000000001" customHeight="1" x14ac:dyDescent="0.25">
      <c r="C711" s="14"/>
      <c r="D711" s="14"/>
      <c r="E711" s="14"/>
      <c r="F711" s="14"/>
      <c r="G711" s="15"/>
      <c r="H711" s="15"/>
      <c r="I711" s="15"/>
      <c r="J711" s="15"/>
    </row>
    <row r="712" spans="3:10" ht="20.100000000000001" customHeight="1" x14ac:dyDescent="0.25">
      <c r="C712" s="14"/>
      <c r="D712" s="14"/>
      <c r="E712" s="14"/>
      <c r="F712" s="14"/>
      <c r="G712" s="15"/>
      <c r="H712" s="15"/>
      <c r="I712" s="15"/>
      <c r="J712" s="15"/>
    </row>
    <row r="713" spans="3:10" ht="20.100000000000001" customHeight="1" x14ac:dyDescent="0.25">
      <c r="C713" s="14"/>
      <c r="D713" s="14"/>
      <c r="E713" s="14"/>
      <c r="F713" s="14"/>
      <c r="G713" s="15"/>
      <c r="H713" s="15"/>
      <c r="I713" s="15"/>
      <c r="J713" s="15"/>
    </row>
    <row r="714" spans="3:10" ht="20.100000000000001" customHeight="1" x14ac:dyDescent="0.25">
      <c r="C714" s="14"/>
      <c r="D714" s="14"/>
      <c r="E714" s="14"/>
      <c r="F714" s="14"/>
      <c r="G714" s="15"/>
      <c r="H714" s="15"/>
      <c r="I714" s="15"/>
      <c r="J714" s="15"/>
    </row>
    <row r="715" spans="3:10" ht="20.100000000000001" customHeight="1" x14ac:dyDescent="0.25">
      <c r="C715" s="14"/>
      <c r="D715" s="14"/>
      <c r="E715" s="14"/>
      <c r="F715" s="14"/>
      <c r="G715" s="15"/>
      <c r="H715" s="15"/>
      <c r="I715" s="15"/>
      <c r="J715" s="15"/>
    </row>
    <row r="716" spans="3:10" ht="20.100000000000001" customHeight="1" x14ac:dyDescent="0.25">
      <c r="C716" s="14"/>
      <c r="D716" s="14"/>
      <c r="E716" s="14"/>
      <c r="F716" s="14"/>
      <c r="G716" s="15"/>
      <c r="H716" s="15"/>
      <c r="I716" s="15"/>
      <c r="J716" s="15"/>
    </row>
    <row r="717" spans="3:10" ht="20.100000000000001" customHeight="1" x14ac:dyDescent="0.25">
      <c r="C717" s="14"/>
      <c r="D717" s="14"/>
      <c r="E717" s="14"/>
      <c r="F717" s="14"/>
      <c r="G717" s="15"/>
      <c r="H717" s="15"/>
      <c r="I717" s="15"/>
      <c r="J717" s="15"/>
    </row>
    <row r="718" spans="3:10" ht="20.100000000000001" customHeight="1" x14ac:dyDescent="0.25">
      <c r="C718" s="14"/>
      <c r="D718" s="14"/>
      <c r="E718" s="14"/>
      <c r="F718" s="14"/>
      <c r="G718" s="15"/>
      <c r="H718" s="15"/>
      <c r="I718" s="15"/>
      <c r="J718" s="15"/>
    </row>
    <row r="719" spans="3:10" ht="20.100000000000001" customHeight="1" x14ac:dyDescent="0.25">
      <c r="C719" s="14"/>
      <c r="D719" s="14"/>
      <c r="E719" s="14"/>
      <c r="F719" s="14"/>
      <c r="G719" s="15"/>
      <c r="H719" s="15"/>
      <c r="I719" s="15"/>
      <c r="J719" s="15"/>
    </row>
    <row r="720" spans="3:10" ht="20.100000000000001" customHeight="1" x14ac:dyDescent="0.25">
      <c r="C720" s="14"/>
      <c r="D720" s="14"/>
      <c r="E720" s="14"/>
      <c r="F720" s="14"/>
      <c r="G720" s="15"/>
      <c r="H720" s="15"/>
      <c r="I720" s="15"/>
      <c r="J720" s="15"/>
    </row>
    <row r="721" spans="3:10" ht="20.100000000000001" customHeight="1" x14ac:dyDescent="0.25">
      <c r="C721" s="14"/>
      <c r="D721" s="14"/>
      <c r="E721" s="14"/>
      <c r="F721" s="14"/>
      <c r="G721" s="15"/>
      <c r="H721" s="15"/>
      <c r="I721" s="15"/>
      <c r="J721" s="15"/>
    </row>
    <row r="722" spans="3:10" ht="20.100000000000001" customHeight="1" x14ac:dyDescent="0.25">
      <c r="C722" s="14"/>
      <c r="D722" s="14"/>
      <c r="E722" s="14"/>
      <c r="F722" s="14"/>
      <c r="G722" s="15"/>
      <c r="H722" s="15"/>
      <c r="I722" s="15"/>
      <c r="J722" s="15"/>
    </row>
    <row r="723" spans="3:10" ht="20.100000000000001" customHeight="1" x14ac:dyDescent="0.25">
      <c r="C723" s="14"/>
      <c r="D723" s="14"/>
      <c r="E723" s="14"/>
      <c r="F723" s="14"/>
      <c r="G723" s="15"/>
      <c r="H723" s="15"/>
      <c r="I723" s="15"/>
      <c r="J723" s="15"/>
    </row>
    <row r="724" spans="3:10" ht="20.100000000000001" customHeight="1" x14ac:dyDescent="0.25">
      <c r="C724" s="14"/>
      <c r="D724" s="14"/>
      <c r="E724" s="14"/>
      <c r="F724" s="14"/>
      <c r="G724" s="15"/>
      <c r="H724" s="15"/>
      <c r="I724" s="15"/>
      <c r="J724" s="15"/>
    </row>
    <row r="725" spans="3:10" ht="20.100000000000001" customHeight="1" x14ac:dyDescent="0.25">
      <c r="C725" s="14"/>
      <c r="D725" s="14"/>
      <c r="E725" s="14"/>
      <c r="F725" s="14"/>
      <c r="G725" s="15"/>
      <c r="H725" s="15"/>
      <c r="I725" s="15"/>
      <c r="J725" s="15"/>
    </row>
    <row r="726" spans="3:10" ht="20.100000000000001" customHeight="1" x14ac:dyDescent="0.25">
      <c r="C726" s="14"/>
      <c r="D726" s="14"/>
      <c r="E726" s="14"/>
      <c r="F726" s="14"/>
      <c r="G726" s="15"/>
      <c r="H726" s="15"/>
      <c r="I726" s="15"/>
      <c r="J726" s="15"/>
    </row>
    <row r="727" spans="3:10" ht="20.100000000000001" customHeight="1" x14ac:dyDescent="0.25">
      <c r="C727" s="14"/>
      <c r="D727" s="14"/>
      <c r="E727" s="14"/>
      <c r="F727" s="14"/>
      <c r="G727" s="15"/>
      <c r="H727" s="15"/>
      <c r="I727" s="15"/>
      <c r="J727" s="15"/>
    </row>
    <row r="728" spans="3:10" ht="20.100000000000001" customHeight="1" x14ac:dyDescent="0.25">
      <c r="C728" s="14"/>
      <c r="D728" s="14"/>
      <c r="E728" s="14"/>
      <c r="F728" s="14"/>
      <c r="G728" s="15"/>
      <c r="H728" s="15"/>
      <c r="I728" s="15"/>
      <c r="J728" s="15"/>
    </row>
    <row r="729" spans="3:10" ht="20.100000000000001" customHeight="1" x14ac:dyDescent="0.25">
      <c r="C729" s="14"/>
      <c r="D729" s="14"/>
      <c r="E729" s="14"/>
      <c r="F729" s="14"/>
      <c r="G729" s="15"/>
      <c r="H729" s="15"/>
      <c r="I729" s="15"/>
      <c r="J729" s="15"/>
    </row>
    <row r="730" spans="3:10" ht="20.100000000000001" customHeight="1" x14ac:dyDescent="0.25">
      <c r="C730" s="14"/>
      <c r="D730" s="14"/>
      <c r="E730" s="14"/>
      <c r="F730" s="14"/>
      <c r="G730" s="15"/>
      <c r="H730" s="15"/>
      <c r="I730" s="15"/>
      <c r="J730" s="15"/>
    </row>
    <row r="731" spans="3:10" ht="20.100000000000001" customHeight="1" x14ac:dyDescent="0.25">
      <c r="C731" s="14"/>
      <c r="D731" s="14"/>
      <c r="E731" s="14"/>
      <c r="F731" s="14"/>
      <c r="G731" s="15"/>
      <c r="H731" s="15"/>
      <c r="I731" s="15"/>
      <c r="J731" s="15"/>
    </row>
    <row r="732" spans="3:10" ht="20.100000000000001" customHeight="1" x14ac:dyDescent="0.25">
      <c r="C732" s="14"/>
      <c r="D732" s="14"/>
      <c r="E732" s="14"/>
      <c r="F732" s="14"/>
      <c r="G732" s="15"/>
      <c r="H732" s="15"/>
      <c r="I732" s="15"/>
      <c r="J732" s="15"/>
    </row>
    <row r="733" spans="3:10" ht="20.100000000000001" customHeight="1" x14ac:dyDescent="0.25">
      <c r="C733" s="14"/>
      <c r="D733" s="14"/>
      <c r="E733" s="14"/>
      <c r="F733" s="14"/>
      <c r="G733" s="15"/>
      <c r="H733" s="15"/>
      <c r="I733" s="15"/>
      <c r="J733" s="15"/>
    </row>
    <row r="734" spans="3:10" ht="20.100000000000001" customHeight="1" x14ac:dyDescent="0.25">
      <c r="C734" s="14"/>
      <c r="D734" s="14"/>
      <c r="E734" s="14"/>
      <c r="F734" s="14"/>
      <c r="G734" s="15"/>
      <c r="H734" s="15"/>
      <c r="I734" s="15"/>
      <c r="J734" s="15"/>
    </row>
    <row r="735" spans="3:10" ht="20.100000000000001" customHeight="1" x14ac:dyDescent="0.25">
      <c r="C735" s="14"/>
      <c r="D735" s="14"/>
      <c r="E735" s="14"/>
      <c r="F735" s="14"/>
      <c r="G735" s="15"/>
      <c r="H735" s="15"/>
      <c r="I735" s="15"/>
      <c r="J735" s="15"/>
    </row>
    <row r="736" spans="3:10" ht="20.100000000000001" customHeight="1" x14ac:dyDescent="0.25">
      <c r="C736" s="14"/>
      <c r="D736" s="14"/>
      <c r="E736" s="14"/>
      <c r="F736" s="14"/>
      <c r="G736" s="15"/>
      <c r="H736" s="15"/>
      <c r="I736" s="15"/>
      <c r="J736" s="15"/>
    </row>
    <row r="737" spans="3:10" ht="20.100000000000001" customHeight="1" x14ac:dyDescent="0.25">
      <c r="C737" s="14"/>
      <c r="D737" s="14"/>
      <c r="E737" s="14"/>
      <c r="F737" s="14"/>
      <c r="G737" s="15"/>
      <c r="H737" s="15"/>
      <c r="I737" s="15"/>
      <c r="J737" s="15"/>
    </row>
    <row r="738" spans="3:10" ht="20.100000000000001" customHeight="1" x14ac:dyDescent="0.25">
      <c r="C738" s="14"/>
      <c r="D738" s="14"/>
      <c r="E738" s="14"/>
      <c r="F738" s="14"/>
      <c r="G738" s="15"/>
      <c r="H738" s="15"/>
      <c r="I738" s="15"/>
      <c r="J738" s="15"/>
    </row>
    <row r="739" spans="3:10" ht="20.100000000000001" customHeight="1" x14ac:dyDescent="0.25">
      <c r="C739" s="14"/>
      <c r="D739" s="14"/>
      <c r="E739" s="14"/>
      <c r="F739" s="14"/>
      <c r="G739" s="15"/>
      <c r="H739" s="15"/>
      <c r="I739" s="15"/>
      <c r="J739" s="15"/>
    </row>
    <row r="740" spans="3:10" ht="20.100000000000001" customHeight="1" x14ac:dyDescent="0.25">
      <c r="C740" s="14"/>
      <c r="D740" s="14"/>
      <c r="E740" s="14"/>
      <c r="F740" s="14"/>
      <c r="G740" s="15"/>
      <c r="H740" s="15"/>
      <c r="I740" s="15"/>
      <c r="J740" s="15"/>
    </row>
    <row r="741" spans="3:10" ht="20.100000000000001" customHeight="1" x14ac:dyDescent="0.25">
      <c r="C741" s="14"/>
      <c r="D741" s="14"/>
      <c r="E741" s="14"/>
      <c r="F741" s="14"/>
      <c r="G741" s="15"/>
      <c r="H741" s="15"/>
      <c r="I741" s="15"/>
      <c r="J741" s="15"/>
    </row>
    <row r="742" spans="3:10" ht="20.100000000000001" customHeight="1" x14ac:dyDescent="0.25">
      <c r="C742" s="14"/>
      <c r="D742" s="14"/>
      <c r="E742" s="14"/>
      <c r="F742" s="14"/>
      <c r="G742" s="15"/>
      <c r="H742" s="15"/>
      <c r="I742" s="15"/>
      <c r="J742" s="15"/>
    </row>
    <row r="743" spans="3:10" ht="20.100000000000001" customHeight="1" x14ac:dyDescent="0.25">
      <c r="C743" s="14"/>
      <c r="D743" s="14"/>
      <c r="E743" s="14"/>
      <c r="F743" s="14"/>
      <c r="G743" s="15"/>
      <c r="H743" s="15"/>
      <c r="I743" s="15"/>
      <c r="J743" s="15"/>
    </row>
    <row r="744" spans="3:10" ht="20.100000000000001" customHeight="1" x14ac:dyDescent="0.25">
      <c r="C744" s="14"/>
      <c r="D744" s="14"/>
      <c r="E744" s="14"/>
      <c r="F744" s="14"/>
      <c r="G744" s="15"/>
      <c r="H744" s="15"/>
      <c r="I744" s="15"/>
      <c r="J744" s="15"/>
    </row>
    <row r="745" spans="3:10" ht="20.100000000000001" customHeight="1" x14ac:dyDescent="0.25">
      <c r="C745" s="14"/>
      <c r="D745" s="14"/>
      <c r="E745" s="14"/>
      <c r="F745" s="14"/>
      <c r="G745" s="15"/>
      <c r="H745" s="15"/>
      <c r="I745" s="15"/>
      <c r="J745" s="15"/>
    </row>
    <row r="746" spans="3:10" ht="20.100000000000001" customHeight="1" x14ac:dyDescent="0.25">
      <c r="C746" s="14"/>
      <c r="D746" s="14"/>
      <c r="E746" s="14"/>
      <c r="F746" s="14"/>
      <c r="G746" s="15"/>
      <c r="H746" s="15"/>
      <c r="I746" s="15"/>
      <c r="J746" s="15"/>
    </row>
    <row r="747" spans="3:10" ht="20.100000000000001" customHeight="1" x14ac:dyDescent="0.25">
      <c r="C747" s="14"/>
      <c r="D747" s="14"/>
      <c r="E747" s="14"/>
      <c r="F747" s="14"/>
      <c r="G747" s="15"/>
      <c r="H747" s="15"/>
      <c r="I747" s="15"/>
      <c r="J747" s="15"/>
    </row>
    <row r="748" spans="3:10" ht="20.100000000000001" customHeight="1" x14ac:dyDescent="0.25">
      <c r="C748" s="14"/>
      <c r="D748" s="14"/>
      <c r="E748" s="14"/>
      <c r="F748" s="14"/>
      <c r="G748" s="15"/>
      <c r="H748" s="15"/>
      <c r="I748" s="15"/>
      <c r="J748" s="15"/>
    </row>
    <row r="749" spans="3:10" ht="20.100000000000001" customHeight="1" x14ac:dyDescent="0.25">
      <c r="C749" s="14"/>
      <c r="D749" s="14"/>
      <c r="E749" s="14"/>
      <c r="F749" s="14"/>
      <c r="G749" s="15"/>
      <c r="H749" s="15"/>
      <c r="I749" s="15"/>
      <c r="J749" s="15"/>
    </row>
    <row r="750" spans="3:10" ht="20.100000000000001" customHeight="1" x14ac:dyDescent="0.25">
      <c r="C750" s="14"/>
      <c r="D750" s="14"/>
      <c r="E750" s="14"/>
      <c r="F750" s="14"/>
      <c r="G750" s="15"/>
      <c r="H750" s="15"/>
      <c r="I750" s="15"/>
      <c r="J750" s="15"/>
    </row>
    <row r="751" spans="3:10" ht="20.100000000000001" customHeight="1" x14ac:dyDescent="0.25">
      <c r="C751" s="14"/>
      <c r="D751" s="14"/>
      <c r="E751" s="14"/>
      <c r="F751" s="14"/>
      <c r="G751" s="15"/>
      <c r="H751" s="15"/>
      <c r="I751" s="15"/>
      <c r="J751" s="15"/>
    </row>
    <row r="752" spans="3:10" ht="20.100000000000001" customHeight="1" x14ac:dyDescent="0.25">
      <c r="C752" s="14"/>
      <c r="D752" s="14"/>
      <c r="E752" s="14"/>
      <c r="F752" s="14"/>
      <c r="G752" s="15"/>
      <c r="H752" s="15"/>
      <c r="I752" s="15"/>
      <c r="J752" s="15"/>
    </row>
    <row r="753" spans="3:10" ht="20.100000000000001" customHeight="1" x14ac:dyDescent="0.25">
      <c r="C753" s="14"/>
      <c r="D753" s="14"/>
      <c r="E753" s="14"/>
      <c r="F753" s="14"/>
      <c r="G753" s="15"/>
      <c r="H753" s="15"/>
      <c r="I753" s="15"/>
      <c r="J753" s="15"/>
    </row>
    <row r="754" spans="3:10" ht="20.100000000000001" customHeight="1" x14ac:dyDescent="0.25">
      <c r="C754" s="14"/>
      <c r="D754" s="14"/>
      <c r="E754" s="14"/>
      <c r="F754" s="14"/>
      <c r="G754" s="15"/>
      <c r="H754" s="15"/>
      <c r="I754" s="15"/>
      <c r="J754" s="15"/>
    </row>
    <row r="755" spans="3:10" ht="20.100000000000001" customHeight="1" x14ac:dyDescent="0.25">
      <c r="C755" s="14"/>
      <c r="D755" s="14"/>
      <c r="E755" s="14"/>
      <c r="F755" s="14"/>
      <c r="G755" s="15"/>
      <c r="H755" s="15"/>
      <c r="I755" s="15"/>
      <c r="J755" s="15"/>
    </row>
    <row r="756" spans="3:10" ht="20.100000000000001" customHeight="1" x14ac:dyDescent="0.25">
      <c r="C756" s="14"/>
      <c r="D756" s="14"/>
      <c r="E756" s="14"/>
      <c r="F756" s="14"/>
      <c r="G756" s="15"/>
      <c r="H756" s="15"/>
      <c r="I756" s="15"/>
      <c r="J756" s="15"/>
    </row>
    <row r="757" spans="3:10" ht="20.100000000000001" customHeight="1" x14ac:dyDescent="0.25">
      <c r="C757" s="14"/>
      <c r="D757" s="14"/>
      <c r="E757" s="14"/>
      <c r="F757" s="14"/>
      <c r="G757" s="15"/>
      <c r="H757" s="15"/>
      <c r="I757" s="15"/>
      <c r="J757" s="15"/>
    </row>
    <row r="758" spans="3:10" ht="20.100000000000001" customHeight="1" x14ac:dyDescent="0.25">
      <c r="C758" s="14"/>
      <c r="D758" s="14"/>
      <c r="E758" s="14"/>
      <c r="F758" s="14"/>
      <c r="G758" s="15"/>
      <c r="H758" s="15"/>
      <c r="I758" s="15"/>
      <c r="J758" s="15"/>
    </row>
    <row r="759" spans="3:10" ht="20.100000000000001" customHeight="1" x14ac:dyDescent="0.25">
      <c r="C759" s="14"/>
      <c r="D759" s="14"/>
      <c r="E759" s="14"/>
      <c r="F759" s="14"/>
      <c r="G759" s="15"/>
      <c r="H759" s="15"/>
      <c r="I759" s="15"/>
      <c r="J759" s="15"/>
    </row>
    <row r="760" spans="3:10" ht="20.100000000000001" customHeight="1" x14ac:dyDescent="0.25">
      <c r="C760" s="14"/>
      <c r="D760" s="14"/>
      <c r="E760" s="14"/>
      <c r="F760" s="14"/>
      <c r="G760" s="15"/>
      <c r="H760" s="15"/>
      <c r="I760" s="15"/>
      <c r="J760" s="15"/>
    </row>
    <row r="761" spans="3:10" ht="20.100000000000001" customHeight="1" x14ac:dyDescent="0.25">
      <c r="C761" s="14"/>
      <c r="D761" s="14"/>
      <c r="E761" s="14"/>
      <c r="F761" s="14"/>
      <c r="G761" s="15"/>
      <c r="H761" s="15"/>
      <c r="I761" s="15"/>
      <c r="J761" s="15"/>
    </row>
    <row r="762" spans="3:10" ht="20.100000000000001" customHeight="1" x14ac:dyDescent="0.25">
      <c r="C762" s="14"/>
      <c r="D762" s="14"/>
      <c r="E762" s="14"/>
      <c r="F762" s="14"/>
      <c r="G762" s="15"/>
      <c r="H762" s="15"/>
      <c r="I762" s="15"/>
      <c r="J762" s="15"/>
    </row>
    <row r="763" spans="3:10" ht="20.100000000000001" customHeight="1" x14ac:dyDescent="0.25">
      <c r="C763" s="14"/>
      <c r="D763" s="14"/>
      <c r="E763" s="14"/>
      <c r="F763" s="14"/>
      <c r="G763" s="15"/>
      <c r="H763" s="15"/>
      <c r="I763" s="15"/>
      <c r="J763" s="15"/>
    </row>
    <row r="764" spans="3:10" ht="20.100000000000001" customHeight="1" x14ac:dyDescent="0.25">
      <c r="C764" s="14"/>
      <c r="D764" s="14"/>
      <c r="E764" s="14"/>
      <c r="F764" s="14"/>
      <c r="G764" s="15"/>
      <c r="H764" s="15"/>
      <c r="I764" s="15"/>
      <c r="J764" s="15"/>
    </row>
    <row r="765" spans="3:10" ht="20.100000000000001" customHeight="1" x14ac:dyDescent="0.25">
      <c r="C765" s="14"/>
      <c r="D765" s="14"/>
      <c r="E765" s="14"/>
      <c r="F765" s="14"/>
      <c r="G765" s="15"/>
      <c r="H765" s="15"/>
      <c r="I765" s="15"/>
      <c r="J765" s="15"/>
    </row>
    <row r="766" spans="3:10" ht="20.100000000000001" customHeight="1" x14ac:dyDescent="0.25">
      <c r="C766" s="14"/>
      <c r="D766" s="14"/>
      <c r="E766" s="14"/>
      <c r="F766" s="14"/>
      <c r="G766" s="15"/>
      <c r="H766" s="15"/>
      <c r="I766" s="15"/>
      <c r="J766" s="15"/>
    </row>
    <row r="767" spans="3:10" ht="20.100000000000001" customHeight="1" x14ac:dyDescent="0.25">
      <c r="C767" s="14"/>
      <c r="D767" s="14"/>
      <c r="E767" s="14"/>
      <c r="F767" s="14"/>
      <c r="G767" s="15"/>
      <c r="H767" s="15"/>
      <c r="I767" s="15"/>
      <c r="J767" s="15"/>
    </row>
    <row r="768" spans="3:10" ht="20.100000000000001" customHeight="1" x14ac:dyDescent="0.25">
      <c r="C768" s="14"/>
      <c r="D768" s="14"/>
      <c r="E768" s="14"/>
      <c r="F768" s="14"/>
      <c r="G768" s="15"/>
      <c r="H768" s="15"/>
      <c r="I768" s="15"/>
      <c r="J768" s="15"/>
    </row>
    <row r="769" spans="3:10" ht="20.100000000000001" customHeight="1" x14ac:dyDescent="0.25">
      <c r="C769" s="14"/>
      <c r="D769" s="14"/>
      <c r="E769" s="14"/>
      <c r="F769" s="14"/>
      <c r="G769" s="15"/>
      <c r="H769" s="15"/>
      <c r="I769" s="15"/>
      <c r="J769" s="15"/>
    </row>
    <row r="770" spans="3:10" ht="20.100000000000001" customHeight="1" x14ac:dyDescent="0.25">
      <c r="C770" s="14"/>
      <c r="D770" s="14"/>
      <c r="E770" s="14"/>
      <c r="F770" s="14"/>
      <c r="G770" s="15"/>
      <c r="H770" s="15"/>
      <c r="I770" s="15"/>
      <c r="J770" s="15"/>
    </row>
    <row r="771" spans="3:10" ht="20.100000000000001" customHeight="1" x14ac:dyDescent="0.25">
      <c r="C771" s="14"/>
      <c r="D771" s="14"/>
      <c r="E771" s="14"/>
      <c r="F771" s="14"/>
      <c r="G771" s="15"/>
      <c r="H771" s="15"/>
      <c r="I771" s="15"/>
      <c r="J771" s="15"/>
    </row>
    <row r="772" spans="3:10" ht="20.100000000000001" customHeight="1" x14ac:dyDescent="0.25">
      <c r="C772" s="14"/>
      <c r="D772" s="14"/>
      <c r="E772" s="14"/>
      <c r="F772" s="14"/>
      <c r="G772" s="15"/>
      <c r="H772" s="15"/>
      <c r="I772" s="15"/>
      <c r="J772" s="15"/>
    </row>
    <row r="773" spans="3:10" ht="20.100000000000001" customHeight="1" x14ac:dyDescent="0.25">
      <c r="C773" s="14"/>
      <c r="D773" s="14"/>
      <c r="E773" s="14"/>
      <c r="F773" s="14"/>
      <c r="G773" s="15"/>
      <c r="H773" s="15"/>
      <c r="I773" s="15"/>
      <c r="J773" s="15"/>
    </row>
    <row r="774" spans="3:10" ht="20.100000000000001" customHeight="1" x14ac:dyDescent="0.25">
      <c r="C774" s="14"/>
      <c r="D774" s="14"/>
      <c r="E774" s="14"/>
      <c r="F774" s="14"/>
      <c r="G774" s="15"/>
      <c r="H774" s="15"/>
      <c r="I774" s="15"/>
      <c r="J774" s="15"/>
    </row>
    <row r="775" spans="3:10" ht="20.100000000000001" customHeight="1" x14ac:dyDescent="0.25">
      <c r="C775" s="14"/>
      <c r="D775" s="14"/>
      <c r="E775" s="14"/>
      <c r="F775" s="14"/>
      <c r="G775" s="15"/>
      <c r="H775" s="15"/>
      <c r="I775" s="15"/>
      <c r="J775" s="15"/>
    </row>
    <row r="776" spans="3:10" ht="20.100000000000001" customHeight="1" x14ac:dyDescent="0.25">
      <c r="C776" s="14"/>
      <c r="D776" s="14"/>
      <c r="E776" s="14"/>
      <c r="F776" s="14"/>
      <c r="G776" s="15"/>
      <c r="H776" s="15"/>
      <c r="I776" s="15"/>
      <c r="J776" s="15"/>
    </row>
    <row r="777" spans="3:10" ht="20.100000000000001" customHeight="1" x14ac:dyDescent="0.25">
      <c r="C777" s="14"/>
      <c r="D777" s="14"/>
      <c r="E777" s="14"/>
      <c r="F777" s="14"/>
      <c r="G777" s="15"/>
      <c r="H777" s="15"/>
      <c r="I777" s="15"/>
      <c r="J777" s="15"/>
    </row>
    <row r="778" spans="3:10" ht="20.100000000000001" customHeight="1" x14ac:dyDescent="0.25">
      <c r="C778" s="14"/>
      <c r="D778" s="14"/>
      <c r="E778" s="14"/>
      <c r="F778" s="14"/>
      <c r="G778" s="15"/>
      <c r="H778" s="15"/>
      <c r="I778" s="15"/>
      <c r="J778" s="15"/>
    </row>
    <row r="779" spans="3:10" ht="20.100000000000001" customHeight="1" x14ac:dyDescent="0.25">
      <c r="C779" s="14"/>
      <c r="D779" s="14"/>
      <c r="E779" s="14"/>
      <c r="F779" s="14"/>
      <c r="G779" s="15"/>
      <c r="H779" s="15"/>
      <c r="I779" s="15"/>
      <c r="J779" s="15"/>
    </row>
    <row r="780" spans="3:10" ht="20.100000000000001" customHeight="1" x14ac:dyDescent="0.25">
      <c r="C780" s="14"/>
      <c r="D780" s="14"/>
      <c r="E780" s="14"/>
      <c r="F780" s="14"/>
      <c r="G780" s="15"/>
      <c r="H780" s="15"/>
      <c r="I780" s="15"/>
      <c r="J780" s="15"/>
    </row>
    <row r="781" spans="3:10" ht="20.100000000000001" customHeight="1" x14ac:dyDescent="0.25">
      <c r="C781" s="14"/>
      <c r="D781" s="14"/>
      <c r="E781" s="14"/>
      <c r="F781" s="14"/>
      <c r="G781" s="15"/>
      <c r="H781" s="15"/>
      <c r="I781" s="15"/>
      <c r="J781" s="15"/>
    </row>
    <row r="782" spans="3:10" ht="20.100000000000001" customHeight="1" x14ac:dyDescent="0.25">
      <c r="C782" s="14"/>
      <c r="D782" s="14"/>
      <c r="E782" s="14"/>
      <c r="F782" s="14"/>
      <c r="G782" s="15"/>
      <c r="H782" s="15"/>
      <c r="I782" s="15"/>
      <c r="J782" s="15"/>
    </row>
    <row r="783" spans="3:10" ht="20.100000000000001" customHeight="1" x14ac:dyDescent="0.25">
      <c r="C783" s="14"/>
      <c r="D783" s="14"/>
      <c r="E783" s="14"/>
      <c r="F783" s="14"/>
      <c r="G783" s="15"/>
      <c r="H783" s="15"/>
      <c r="I783" s="15"/>
      <c r="J783" s="15"/>
    </row>
    <row r="784" spans="3:10" ht="20.100000000000001" customHeight="1" x14ac:dyDescent="0.25">
      <c r="C784" s="14"/>
      <c r="D784" s="14"/>
      <c r="E784" s="14"/>
      <c r="F784" s="14"/>
      <c r="G784" s="15"/>
      <c r="H784" s="15"/>
      <c r="I784" s="15"/>
      <c r="J784" s="15"/>
    </row>
    <row r="785" spans="3:10" ht="20.100000000000001" customHeight="1" x14ac:dyDescent="0.25">
      <c r="C785" s="14"/>
      <c r="D785" s="14"/>
      <c r="E785" s="14"/>
      <c r="F785" s="14"/>
      <c r="G785" s="15"/>
      <c r="H785" s="15"/>
      <c r="I785" s="15"/>
      <c r="J785" s="15"/>
    </row>
    <row r="786" spans="3:10" ht="20.100000000000001" customHeight="1" x14ac:dyDescent="0.25">
      <c r="C786" s="14"/>
      <c r="D786" s="14"/>
      <c r="E786" s="14"/>
      <c r="F786" s="14"/>
      <c r="G786" s="15"/>
      <c r="H786" s="15"/>
      <c r="I786" s="15"/>
      <c r="J786" s="15"/>
    </row>
    <row r="787" spans="3:10" ht="20.100000000000001" customHeight="1" x14ac:dyDescent="0.25">
      <c r="C787" s="14"/>
      <c r="D787" s="14"/>
      <c r="E787" s="14"/>
      <c r="F787" s="14"/>
      <c r="G787" s="15"/>
      <c r="H787" s="15"/>
      <c r="I787" s="15"/>
      <c r="J787" s="15"/>
    </row>
    <row r="788" spans="3:10" ht="20.100000000000001" customHeight="1" x14ac:dyDescent="0.25">
      <c r="C788" s="14"/>
      <c r="D788" s="14"/>
      <c r="E788" s="14"/>
      <c r="F788" s="14"/>
      <c r="G788" s="15"/>
      <c r="H788" s="15"/>
      <c r="I788" s="15"/>
      <c r="J788" s="15"/>
    </row>
    <row r="789" spans="3:10" ht="20.100000000000001" customHeight="1" x14ac:dyDescent="0.25">
      <c r="C789" s="14"/>
      <c r="D789" s="14"/>
      <c r="E789" s="14"/>
      <c r="F789" s="14"/>
      <c r="G789" s="15"/>
      <c r="H789" s="15"/>
      <c r="I789" s="15"/>
      <c r="J789" s="15"/>
    </row>
    <row r="790" spans="3:10" ht="20.100000000000001" customHeight="1" x14ac:dyDescent="0.25">
      <c r="C790" s="14"/>
      <c r="D790" s="14"/>
      <c r="E790" s="14"/>
      <c r="F790" s="14"/>
      <c r="G790" s="15"/>
      <c r="H790" s="15"/>
      <c r="I790" s="15"/>
      <c r="J790" s="15"/>
    </row>
    <row r="791" spans="3:10" ht="20.100000000000001" customHeight="1" x14ac:dyDescent="0.25">
      <c r="C791" s="14"/>
      <c r="D791" s="14"/>
      <c r="E791" s="14"/>
      <c r="F791" s="14"/>
      <c r="G791" s="15"/>
      <c r="H791" s="15"/>
      <c r="I791" s="15"/>
      <c r="J791" s="15"/>
    </row>
    <row r="792" spans="3:10" ht="20.100000000000001" customHeight="1" x14ac:dyDescent="0.25">
      <c r="C792" s="14"/>
      <c r="D792" s="14"/>
      <c r="E792" s="14"/>
      <c r="F792" s="14"/>
      <c r="G792" s="15"/>
      <c r="H792" s="15"/>
      <c r="I792" s="15"/>
      <c r="J792" s="15"/>
    </row>
    <row r="793" spans="3:10" ht="20.100000000000001" customHeight="1" x14ac:dyDescent="0.25">
      <c r="C793" s="14"/>
      <c r="D793" s="14"/>
      <c r="E793" s="14"/>
      <c r="F793" s="14"/>
      <c r="G793" s="15"/>
      <c r="H793" s="15"/>
      <c r="I793" s="15"/>
      <c r="J793" s="15"/>
    </row>
    <row r="794" spans="3:10" ht="20.100000000000001" customHeight="1" x14ac:dyDescent="0.25">
      <c r="C794" s="14"/>
      <c r="D794" s="14"/>
      <c r="E794" s="14"/>
      <c r="F794" s="14"/>
      <c r="G794" s="15"/>
      <c r="H794" s="15"/>
      <c r="I794" s="15"/>
      <c r="J794" s="15"/>
    </row>
    <row r="795" spans="3:10" ht="20.100000000000001" customHeight="1" x14ac:dyDescent="0.25">
      <c r="C795" s="14"/>
      <c r="D795" s="14"/>
      <c r="E795" s="14"/>
      <c r="F795" s="14"/>
      <c r="G795" s="15"/>
      <c r="H795" s="15"/>
      <c r="I795" s="15"/>
      <c r="J795" s="15"/>
    </row>
    <row r="796" spans="3:10" ht="20.100000000000001" customHeight="1" x14ac:dyDescent="0.25">
      <c r="C796" s="14"/>
      <c r="D796" s="14"/>
      <c r="E796" s="14"/>
      <c r="F796" s="14"/>
      <c r="G796" s="15"/>
      <c r="H796" s="15"/>
      <c r="I796" s="15"/>
      <c r="J796" s="15"/>
    </row>
    <row r="797" spans="3:10" ht="20.100000000000001" customHeight="1" x14ac:dyDescent="0.25">
      <c r="C797" s="14"/>
      <c r="D797" s="14"/>
      <c r="E797" s="14"/>
      <c r="F797" s="14"/>
      <c r="G797" s="15"/>
      <c r="H797" s="15"/>
      <c r="I797" s="15"/>
      <c r="J797" s="15"/>
    </row>
    <row r="798" spans="3:10" ht="20.100000000000001" customHeight="1" x14ac:dyDescent="0.25">
      <c r="C798" s="14"/>
      <c r="D798" s="14"/>
      <c r="E798" s="14"/>
      <c r="F798" s="14"/>
      <c r="G798" s="15"/>
      <c r="H798" s="15"/>
      <c r="I798" s="15"/>
      <c r="J798" s="15"/>
    </row>
    <row r="799" spans="3:10" ht="20.100000000000001" customHeight="1" x14ac:dyDescent="0.25">
      <c r="C799" s="14"/>
      <c r="D799" s="14"/>
      <c r="E799" s="14"/>
      <c r="F799" s="14"/>
      <c r="G799" s="15"/>
      <c r="H799" s="15"/>
      <c r="I799" s="15"/>
      <c r="J799" s="15"/>
    </row>
    <row r="800" spans="3:10" ht="20.100000000000001" customHeight="1" x14ac:dyDescent="0.25">
      <c r="C800" s="14"/>
      <c r="D800" s="14"/>
      <c r="E800" s="14"/>
      <c r="F800" s="14"/>
      <c r="G800" s="15"/>
      <c r="H800" s="15"/>
      <c r="I800" s="15"/>
      <c r="J800" s="15"/>
    </row>
    <row r="801" spans="3:10" ht="20.100000000000001" customHeight="1" x14ac:dyDescent="0.25">
      <c r="C801" s="14"/>
      <c r="D801" s="14"/>
      <c r="E801" s="14"/>
      <c r="F801" s="14"/>
      <c r="G801" s="15"/>
      <c r="H801" s="15"/>
      <c r="I801" s="15"/>
      <c r="J801" s="15"/>
    </row>
    <row r="802" spans="3:10" ht="20.100000000000001" customHeight="1" x14ac:dyDescent="0.25">
      <c r="C802" s="14"/>
      <c r="D802" s="14"/>
      <c r="E802" s="14"/>
      <c r="F802" s="14"/>
      <c r="G802" s="15"/>
      <c r="H802" s="15"/>
      <c r="I802" s="15"/>
      <c r="J802" s="15"/>
    </row>
    <row r="803" spans="3:10" ht="20.100000000000001" customHeight="1" x14ac:dyDescent="0.25">
      <c r="C803" s="14"/>
      <c r="D803" s="14"/>
      <c r="E803" s="14"/>
      <c r="F803" s="14"/>
      <c r="G803" s="15"/>
      <c r="H803" s="15"/>
      <c r="I803" s="15"/>
      <c r="J803" s="15"/>
    </row>
    <row r="804" spans="3:10" ht="20.100000000000001" customHeight="1" x14ac:dyDescent="0.25">
      <c r="C804" s="14"/>
      <c r="D804" s="14"/>
      <c r="E804" s="14"/>
      <c r="F804" s="14"/>
      <c r="G804" s="15"/>
      <c r="H804" s="15"/>
      <c r="I804" s="15"/>
      <c r="J804" s="15"/>
    </row>
    <row r="805" spans="3:10" ht="20.100000000000001" customHeight="1" x14ac:dyDescent="0.25">
      <c r="C805" s="14"/>
      <c r="D805" s="14"/>
      <c r="E805" s="14"/>
      <c r="F805" s="14"/>
      <c r="G805" s="15"/>
      <c r="H805" s="15"/>
      <c r="I805" s="15"/>
      <c r="J805" s="15"/>
    </row>
    <row r="806" spans="3:10" ht="20.100000000000001" customHeight="1" x14ac:dyDescent="0.25">
      <c r="C806" s="14"/>
      <c r="D806" s="14"/>
      <c r="E806" s="14"/>
      <c r="F806" s="14"/>
      <c r="G806" s="15"/>
      <c r="H806" s="15"/>
      <c r="I806" s="15"/>
      <c r="J806" s="15"/>
    </row>
    <row r="807" spans="3:10" ht="20.100000000000001" customHeight="1" x14ac:dyDescent="0.25">
      <c r="C807" s="14"/>
      <c r="D807" s="14"/>
      <c r="E807" s="14"/>
      <c r="F807" s="14"/>
      <c r="G807" s="15"/>
      <c r="H807" s="15"/>
      <c r="I807" s="15"/>
      <c r="J807" s="15"/>
    </row>
    <row r="808" spans="3:10" ht="20.100000000000001" customHeight="1" x14ac:dyDescent="0.25">
      <c r="C808" s="14"/>
      <c r="D808" s="14"/>
      <c r="E808" s="14"/>
      <c r="F808" s="14"/>
      <c r="G808" s="15"/>
      <c r="H808" s="15"/>
      <c r="I808" s="15"/>
      <c r="J808" s="15"/>
    </row>
    <row r="809" spans="3:10" ht="20.100000000000001" customHeight="1" x14ac:dyDescent="0.25">
      <c r="C809" s="14"/>
      <c r="D809" s="14"/>
      <c r="E809" s="14"/>
      <c r="F809" s="14"/>
      <c r="G809" s="15"/>
      <c r="H809" s="15"/>
      <c r="I809" s="15"/>
      <c r="J809" s="15"/>
    </row>
    <row r="810" spans="3:10" ht="20.100000000000001" customHeight="1" x14ac:dyDescent="0.25">
      <c r="C810" s="14"/>
      <c r="D810" s="14"/>
      <c r="E810" s="14"/>
      <c r="F810" s="14"/>
      <c r="G810" s="15"/>
      <c r="H810" s="15"/>
      <c r="I810" s="15"/>
      <c r="J810" s="15"/>
    </row>
    <row r="811" spans="3:10" ht="20.100000000000001" customHeight="1" x14ac:dyDescent="0.25">
      <c r="C811" s="14"/>
      <c r="D811" s="14"/>
      <c r="E811" s="14"/>
      <c r="F811" s="14"/>
      <c r="G811" s="15"/>
      <c r="H811" s="15"/>
      <c r="I811" s="15"/>
      <c r="J811" s="15"/>
    </row>
    <row r="812" spans="3:10" ht="20.100000000000001" customHeight="1" x14ac:dyDescent="0.25">
      <c r="C812" s="14"/>
      <c r="D812" s="14"/>
      <c r="E812" s="14"/>
      <c r="F812" s="14"/>
      <c r="G812" s="15"/>
      <c r="H812" s="15"/>
      <c r="I812" s="15"/>
      <c r="J812" s="15"/>
    </row>
    <row r="813" spans="3:10" ht="20.100000000000001" customHeight="1" x14ac:dyDescent="0.25">
      <c r="C813" s="14"/>
      <c r="D813" s="14"/>
      <c r="E813" s="14"/>
      <c r="F813" s="14"/>
      <c r="G813" s="15"/>
      <c r="H813" s="15"/>
      <c r="I813" s="15"/>
      <c r="J813" s="15"/>
    </row>
    <row r="814" spans="3:10" ht="20.100000000000001" customHeight="1" x14ac:dyDescent="0.25">
      <c r="C814" s="14"/>
      <c r="D814" s="14"/>
      <c r="E814" s="14"/>
      <c r="F814" s="14"/>
      <c r="G814" s="15"/>
      <c r="H814" s="15"/>
      <c r="I814" s="15"/>
      <c r="J814" s="15"/>
    </row>
    <row r="815" spans="3:10" ht="20.100000000000001" customHeight="1" x14ac:dyDescent="0.25">
      <c r="C815" s="14"/>
      <c r="D815" s="14"/>
      <c r="E815" s="14"/>
      <c r="F815" s="14"/>
      <c r="G815" s="15"/>
      <c r="H815" s="15"/>
      <c r="I815" s="15"/>
      <c r="J815" s="15"/>
    </row>
    <row r="816" spans="3:10" ht="20.100000000000001" customHeight="1" x14ac:dyDescent="0.25">
      <c r="C816" s="14"/>
      <c r="D816" s="14"/>
      <c r="E816" s="14"/>
      <c r="F816" s="14"/>
      <c r="G816" s="15"/>
      <c r="H816" s="15"/>
      <c r="I816" s="15"/>
      <c r="J816" s="15"/>
    </row>
    <row r="817" spans="3:10" ht="20.100000000000001" customHeight="1" x14ac:dyDescent="0.25">
      <c r="C817" s="14"/>
      <c r="D817" s="14"/>
      <c r="E817" s="14"/>
      <c r="F817" s="14"/>
      <c r="G817" s="15"/>
      <c r="H817" s="15"/>
      <c r="I817" s="15"/>
      <c r="J817" s="15"/>
    </row>
    <row r="818" spans="3:10" ht="20.100000000000001" customHeight="1" x14ac:dyDescent="0.25">
      <c r="C818" s="14"/>
      <c r="D818" s="14"/>
      <c r="E818" s="14"/>
      <c r="F818" s="14"/>
      <c r="G818" s="15"/>
      <c r="H818" s="15"/>
      <c r="I818" s="15"/>
      <c r="J818" s="15"/>
    </row>
    <row r="819" spans="3:10" ht="20.100000000000001" customHeight="1" x14ac:dyDescent="0.25">
      <c r="C819" s="14"/>
      <c r="D819" s="14"/>
      <c r="E819" s="14"/>
      <c r="F819" s="14"/>
      <c r="G819" s="15"/>
      <c r="H819" s="15"/>
      <c r="I819" s="15"/>
      <c r="J819" s="15"/>
    </row>
    <row r="820" spans="3:10" ht="20.100000000000001" customHeight="1" x14ac:dyDescent="0.25">
      <c r="C820" s="14"/>
      <c r="D820" s="14"/>
      <c r="E820" s="14"/>
      <c r="F820" s="14"/>
      <c r="G820" s="15"/>
      <c r="H820" s="15"/>
      <c r="I820" s="15"/>
      <c r="J820" s="15"/>
    </row>
    <row r="821" spans="3:10" ht="20.100000000000001" customHeight="1" x14ac:dyDescent="0.25">
      <c r="C821" s="14"/>
      <c r="D821" s="14"/>
      <c r="E821" s="14"/>
      <c r="F821" s="14"/>
      <c r="G821" s="15"/>
      <c r="H821" s="15"/>
      <c r="I821" s="15"/>
      <c r="J821" s="15"/>
    </row>
    <row r="822" spans="3:10" ht="20.100000000000001" customHeight="1" x14ac:dyDescent="0.25">
      <c r="C822" s="14"/>
      <c r="D822" s="14"/>
      <c r="E822" s="14"/>
      <c r="F822" s="14"/>
      <c r="G822" s="15"/>
      <c r="H822" s="15"/>
      <c r="I822" s="15"/>
      <c r="J822" s="15"/>
    </row>
    <row r="823" spans="3:10" ht="20.100000000000001" customHeight="1" x14ac:dyDescent="0.25">
      <c r="C823" s="14"/>
      <c r="D823" s="14"/>
      <c r="E823" s="14"/>
      <c r="F823" s="14"/>
      <c r="G823" s="15"/>
      <c r="H823" s="15"/>
      <c r="I823" s="15"/>
      <c r="J823" s="15"/>
    </row>
    <row r="824" spans="3:10" ht="20.100000000000001" customHeight="1" x14ac:dyDescent="0.25">
      <c r="C824" s="14"/>
      <c r="D824" s="14"/>
      <c r="E824" s="14"/>
      <c r="F824" s="14"/>
      <c r="G824" s="15"/>
      <c r="H824" s="15"/>
      <c r="I824" s="15"/>
      <c r="J824" s="15"/>
    </row>
    <row r="825" spans="3:10" ht="20.100000000000001" customHeight="1" x14ac:dyDescent="0.25">
      <c r="C825" s="14"/>
      <c r="D825" s="14"/>
      <c r="E825" s="14"/>
      <c r="F825" s="14"/>
      <c r="G825" s="15"/>
      <c r="H825" s="15"/>
      <c r="I825" s="15"/>
      <c r="J825" s="15"/>
    </row>
    <row r="826" spans="3:10" ht="20.100000000000001" customHeight="1" x14ac:dyDescent="0.25">
      <c r="C826" s="14"/>
      <c r="D826" s="14"/>
      <c r="E826" s="14"/>
      <c r="F826" s="14"/>
      <c r="G826" s="15"/>
      <c r="H826" s="15"/>
      <c r="I826" s="15"/>
      <c r="J826" s="15"/>
    </row>
    <row r="827" spans="3:10" ht="20.100000000000001" customHeight="1" x14ac:dyDescent="0.25">
      <c r="C827" s="14"/>
      <c r="D827" s="14"/>
      <c r="E827" s="14"/>
      <c r="F827" s="14"/>
      <c r="G827" s="15"/>
      <c r="H827" s="15"/>
      <c r="I827" s="15"/>
      <c r="J827" s="15"/>
    </row>
    <row r="828" spans="3:10" ht="20.100000000000001" customHeight="1" x14ac:dyDescent="0.25">
      <c r="C828" s="14"/>
      <c r="D828" s="14"/>
      <c r="E828" s="14"/>
      <c r="F828" s="14"/>
      <c r="G828" s="15"/>
      <c r="H828" s="15"/>
      <c r="I828" s="15"/>
      <c r="J828" s="15"/>
    </row>
    <row r="829" spans="3:10" ht="20.100000000000001" customHeight="1" x14ac:dyDescent="0.25">
      <c r="C829" s="14"/>
      <c r="D829" s="14"/>
      <c r="E829" s="14"/>
      <c r="F829" s="14"/>
      <c r="G829" s="15"/>
      <c r="H829" s="15"/>
      <c r="I829" s="15"/>
      <c r="J829" s="15"/>
    </row>
    <row r="830" spans="3:10" ht="20.100000000000001" customHeight="1" x14ac:dyDescent="0.25">
      <c r="C830" s="14"/>
      <c r="D830" s="14"/>
      <c r="E830" s="14"/>
      <c r="F830" s="14"/>
      <c r="G830" s="15"/>
      <c r="H830" s="15"/>
      <c r="I830" s="15"/>
      <c r="J830" s="15"/>
    </row>
    <row r="831" spans="3:10" ht="20.100000000000001" customHeight="1" x14ac:dyDescent="0.25">
      <c r="C831" s="14"/>
      <c r="D831" s="14"/>
      <c r="E831" s="14"/>
      <c r="F831" s="14"/>
      <c r="G831" s="15"/>
      <c r="H831" s="15"/>
      <c r="I831" s="15"/>
      <c r="J831" s="15"/>
    </row>
    <row r="832" spans="3:10" ht="20.100000000000001" customHeight="1" x14ac:dyDescent="0.25">
      <c r="C832" s="14"/>
      <c r="D832" s="14"/>
      <c r="E832" s="14"/>
      <c r="F832" s="14"/>
      <c r="G832" s="15"/>
      <c r="H832" s="15"/>
      <c r="I832" s="15"/>
      <c r="J832" s="15"/>
    </row>
    <row r="833" spans="3:10" ht="20.100000000000001" customHeight="1" x14ac:dyDescent="0.25">
      <c r="C833" s="14"/>
      <c r="D833" s="14"/>
      <c r="E833" s="14"/>
      <c r="F833" s="14"/>
      <c r="G833" s="15"/>
      <c r="H833" s="15"/>
      <c r="I833" s="15"/>
      <c r="J833" s="15"/>
    </row>
    <row r="834" spans="3:10" ht="20.100000000000001" customHeight="1" x14ac:dyDescent="0.25">
      <c r="C834" s="14"/>
      <c r="D834" s="14"/>
      <c r="E834" s="14"/>
      <c r="F834" s="14"/>
      <c r="G834" s="15"/>
      <c r="H834" s="15"/>
      <c r="I834" s="15"/>
      <c r="J834" s="15"/>
    </row>
    <row r="835" spans="3:10" ht="20.100000000000001" customHeight="1" x14ac:dyDescent="0.25">
      <c r="C835" s="14"/>
      <c r="D835" s="14"/>
      <c r="E835" s="14"/>
      <c r="F835" s="14"/>
      <c r="G835" s="15"/>
      <c r="H835" s="15"/>
      <c r="I835" s="15"/>
      <c r="J835" s="15"/>
    </row>
    <row r="836" spans="3:10" ht="20.100000000000001" customHeight="1" x14ac:dyDescent="0.25">
      <c r="C836" s="14"/>
      <c r="D836" s="14"/>
      <c r="E836" s="14"/>
      <c r="F836" s="14"/>
      <c r="G836" s="15"/>
      <c r="H836" s="15"/>
      <c r="I836" s="15"/>
      <c r="J836" s="15"/>
    </row>
    <row r="837" spans="3:10" ht="20.100000000000001" customHeight="1" x14ac:dyDescent="0.25">
      <c r="C837" s="14"/>
      <c r="D837" s="14"/>
      <c r="E837" s="14"/>
      <c r="F837" s="14"/>
      <c r="G837" s="15"/>
      <c r="H837" s="15"/>
      <c r="I837" s="15"/>
      <c r="J837" s="15"/>
    </row>
    <row r="838" spans="3:10" ht="20.100000000000001" customHeight="1" x14ac:dyDescent="0.25">
      <c r="C838" s="14"/>
      <c r="D838" s="14"/>
      <c r="E838" s="14"/>
      <c r="F838" s="14"/>
      <c r="G838" s="15"/>
      <c r="H838" s="15"/>
      <c r="I838" s="15"/>
      <c r="J838" s="15"/>
    </row>
    <row r="839" spans="3:10" ht="20.100000000000001" customHeight="1" x14ac:dyDescent="0.25">
      <c r="C839" s="14"/>
      <c r="D839" s="14"/>
      <c r="E839" s="14"/>
      <c r="F839" s="14"/>
      <c r="G839" s="15"/>
      <c r="H839" s="15"/>
      <c r="I839" s="15"/>
      <c r="J839" s="15"/>
    </row>
    <row r="840" spans="3:10" ht="20.100000000000001" customHeight="1" x14ac:dyDescent="0.25">
      <c r="C840" s="14"/>
      <c r="D840" s="14"/>
      <c r="E840" s="14"/>
      <c r="F840" s="14"/>
      <c r="G840" s="15"/>
      <c r="H840" s="15"/>
      <c r="I840" s="15"/>
      <c r="J840" s="15"/>
    </row>
    <row r="841" spans="3:10" ht="20.100000000000001" customHeight="1" x14ac:dyDescent="0.25">
      <c r="C841" s="14"/>
      <c r="D841" s="14"/>
      <c r="E841" s="14"/>
      <c r="F841" s="14"/>
      <c r="G841" s="15"/>
      <c r="H841" s="15"/>
      <c r="I841" s="15"/>
      <c r="J841" s="15"/>
    </row>
    <row r="842" spans="3:10" ht="20.100000000000001" customHeight="1" x14ac:dyDescent="0.25">
      <c r="C842" s="14"/>
      <c r="D842" s="14"/>
      <c r="E842" s="14"/>
      <c r="F842" s="14"/>
      <c r="G842" s="15"/>
      <c r="H842" s="15"/>
      <c r="I842" s="15"/>
      <c r="J842" s="15"/>
    </row>
    <row r="843" spans="3:10" ht="20.100000000000001" customHeight="1" x14ac:dyDescent="0.25">
      <c r="C843" s="14"/>
      <c r="D843" s="14"/>
      <c r="E843" s="14"/>
      <c r="F843" s="14"/>
      <c r="G843" s="15"/>
      <c r="H843" s="15"/>
      <c r="I843" s="15"/>
      <c r="J843" s="15"/>
    </row>
    <row r="844" spans="3:10" ht="20.100000000000001" customHeight="1" x14ac:dyDescent="0.25">
      <c r="C844" s="14"/>
      <c r="D844" s="14"/>
      <c r="E844" s="14"/>
      <c r="F844" s="14"/>
      <c r="G844" s="15"/>
      <c r="H844" s="15"/>
      <c r="I844" s="15"/>
      <c r="J844" s="15"/>
    </row>
    <row r="845" spans="3:10" ht="20.100000000000001" customHeight="1" x14ac:dyDescent="0.25">
      <c r="C845" s="14"/>
      <c r="D845" s="14"/>
      <c r="E845" s="14"/>
      <c r="F845" s="14"/>
      <c r="G845" s="15"/>
      <c r="H845" s="15"/>
      <c r="I845" s="15"/>
      <c r="J845" s="15"/>
    </row>
    <row r="846" spans="3:10" ht="20.100000000000001" customHeight="1" x14ac:dyDescent="0.25">
      <c r="C846" s="14"/>
      <c r="D846" s="14"/>
      <c r="E846" s="14"/>
      <c r="F846" s="14"/>
      <c r="G846" s="15"/>
      <c r="H846" s="15"/>
      <c r="I846" s="15"/>
      <c r="J846" s="15"/>
    </row>
    <row r="847" spans="3:10" ht="20.100000000000001" customHeight="1" x14ac:dyDescent="0.25">
      <c r="C847" s="14"/>
      <c r="D847" s="14"/>
      <c r="E847" s="14"/>
      <c r="F847" s="14"/>
      <c r="G847" s="15"/>
      <c r="H847" s="15"/>
      <c r="I847" s="15"/>
      <c r="J847" s="15"/>
    </row>
    <row r="848" spans="3:10" ht="20.100000000000001" customHeight="1" x14ac:dyDescent="0.25">
      <c r="C848" s="14"/>
      <c r="D848" s="14"/>
      <c r="E848" s="14"/>
      <c r="F848" s="14"/>
      <c r="G848" s="15"/>
      <c r="H848" s="15"/>
      <c r="I848" s="15"/>
      <c r="J848" s="15"/>
    </row>
    <row r="849" spans="3:10" ht="20.100000000000001" customHeight="1" x14ac:dyDescent="0.25">
      <c r="C849" s="14"/>
      <c r="D849" s="14"/>
      <c r="E849" s="14"/>
      <c r="F849" s="14"/>
      <c r="G849" s="15"/>
      <c r="H849" s="15"/>
      <c r="I849" s="15"/>
      <c r="J849" s="15"/>
    </row>
    <row r="850" spans="3:10" ht="20.100000000000001" customHeight="1" x14ac:dyDescent="0.25">
      <c r="C850" s="14"/>
      <c r="D850" s="14"/>
      <c r="E850" s="14"/>
      <c r="F850" s="14"/>
      <c r="G850" s="15"/>
      <c r="H850" s="15"/>
      <c r="I850" s="15"/>
      <c r="J850" s="15"/>
    </row>
    <row r="851" spans="3:10" ht="20.100000000000001" customHeight="1" x14ac:dyDescent="0.25">
      <c r="C851" s="14"/>
      <c r="D851" s="14"/>
      <c r="E851" s="14"/>
      <c r="F851" s="14"/>
      <c r="G851" s="15"/>
      <c r="H851" s="15"/>
      <c r="I851" s="15"/>
      <c r="J851" s="15"/>
    </row>
    <row r="852" spans="3:10" ht="20.100000000000001" customHeight="1" x14ac:dyDescent="0.25">
      <c r="C852" s="14"/>
      <c r="D852" s="14"/>
      <c r="E852" s="14"/>
      <c r="F852" s="14"/>
      <c r="G852" s="15"/>
      <c r="H852" s="15"/>
      <c r="I852" s="15"/>
      <c r="J852" s="15"/>
    </row>
    <row r="853" spans="3:10" ht="20.100000000000001" customHeight="1" x14ac:dyDescent="0.25">
      <c r="C853" s="14"/>
      <c r="D853" s="14"/>
      <c r="E853" s="14"/>
      <c r="F853" s="14"/>
      <c r="G853" s="15"/>
      <c r="H853" s="15"/>
      <c r="I853" s="15"/>
      <c r="J853" s="15"/>
    </row>
    <row r="854" spans="3:10" ht="20.100000000000001" customHeight="1" x14ac:dyDescent="0.25">
      <c r="C854" s="14"/>
      <c r="D854" s="14"/>
      <c r="E854" s="14"/>
      <c r="F854" s="14"/>
      <c r="G854" s="15"/>
      <c r="H854" s="15"/>
      <c r="I854" s="15"/>
      <c r="J854" s="15"/>
    </row>
    <row r="855" spans="3:10" ht="20.100000000000001" customHeight="1" x14ac:dyDescent="0.25">
      <c r="C855" s="14"/>
      <c r="D855" s="14"/>
      <c r="E855" s="14"/>
      <c r="F855" s="14"/>
      <c r="G855" s="15"/>
      <c r="H855" s="15"/>
      <c r="I855" s="15"/>
      <c r="J855" s="15"/>
    </row>
    <row r="856" spans="3:10" ht="20.100000000000001" customHeight="1" x14ac:dyDescent="0.25">
      <c r="C856" s="14"/>
      <c r="D856" s="14"/>
      <c r="E856" s="14"/>
      <c r="F856" s="14"/>
      <c r="G856" s="15"/>
      <c r="H856" s="15"/>
      <c r="I856" s="15"/>
      <c r="J856" s="15"/>
    </row>
    <row r="857" spans="3:10" ht="20.100000000000001" customHeight="1" x14ac:dyDescent="0.25">
      <c r="C857" s="14"/>
      <c r="D857" s="14"/>
      <c r="E857" s="14"/>
      <c r="F857" s="14"/>
      <c r="G857" s="15"/>
      <c r="H857" s="15"/>
      <c r="I857" s="15"/>
      <c r="J857" s="15"/>
    </row>
    <row r="858" spans="3:10" ht="20.100000000000001" customHeight="1" x14ac:dyDescent="0.25">
      <c r="C858" s="14"/>
      <c r="D858" s="14"/>
      <c r="E858" s="14"/>
      <c r="F858" s="14"/>
      <c r="G858" s="15"/>
      <c r="H858" s="15"/>
      <c r="I858" s="15"/>
      <c r="J858" s="15"/>
    </row>
    <row r="859" spans="3:10" ht="20.100000000000001" customHeight="1" x14ac:dyDescent="0.25">
      <c r="C859" s="14"/>
      <c r="D859" s="14"/>
      <c r="E859" s="14"/>
      <c r="F859" s="14"/>
      <c r="G859" s="15"/>
      <c r="H859" s="15"/>
      <c r="I859" s="15"/>
      <c r="J859" s="15"/>
    </row>
    <row r="860" spans="3:10" ht="20.100000000000001" customHeight="1" x14ac:dyDescent="0.25">
      <c r="C860" s="14"/>
      <c r="D860" s="14"/>
      <c r="E860" s="14"/>
      <c r="F860" s="14"/>
      <c r="G860" s="15"/>
      <c r="H860" s="15"/>
      <c r="I860" s="15"/>
      <c r="J860" s="15"/>
    </row>
    <row r="861" spans="3:10" ht="20.100000000000001" customHeight="1" x14ac:dyDescent="0.25">
      <c r="C861" s="14"/>
      <c r="D861" s="14"/>
      <c r="E861" s="14"/>
      <c r="F861" s="14"/>
      <c r="G861" s="15"/>
      <c r="H861" s="15"/>
      <c r="I861" s="15"/>
      <c r="J861" s="15"/>
    </row>
    <row r="862" spans="3:10" ht="20.100000000000001" customHeight="1" x14ac:dyDescent="0.25">
      <c r="C862" s="14"/>
      <c r="D862" s="14"/>
      <c r="E862" s="14"/>
      <c r="F862" s="14"/>
      <c r="G862" s="15"/>
      <c r="H862" s="15"/>
      <c r="I862" s="15"/>
      <c r="J862" s="15"/>
    </row>
    <row r="863" spans="3:10" ht="20.100000000000001" customHeight="1" x14ac:dyDescent="0.25">
      <c r="C863" s="14"/>
      <c r="D863" s="14"/>
      <c r="E863" s="14"/>
      <c r="F863" s="14"/>
      <c r="G863" s="15"/>
      <c r="H863" s="15"/>
      <c r="I863" s="15"/>
      <c r="J863" s="15"/>
    </row>
    <row r="864" spans="3:10" ht="20.100000000000001" customHeight="1" x14ac:dyDescent="0.25">
      <c r="C864" s="14"/>
      <c r="D864" s="14"/>
      <c r="E864" s="14"/>
      <c r="F864" s="14"/>
      <c r="G864" s="15"/>
      <c r="H864" s="15"/>
      <c r="I864" s="15"/>
      <c r="J864" s="15"/>
    </row>
    <row r="865" spans="3:10" ht="20.100000000000001" customHeight="1" x14ac:dyDescent="0.25">
      <c r="C865" s="14"/>
      <c r="D865" s="14"/>
      <c r="E865" s="14"/>
      <c r="F865" s="14"/>
      <c r="G865" s="15"/>
      <c r="H865" s="15"/>
      <c r="I865" s="15"/>
      <c r="J865" s="15"/>
    </row>
    <row r="866" spans="3:10" ht="20.100000000000001" customHeight="1" x14ac:dyDescent="0.25">
      <c r="C866" s="14"/>
      <c r="D866" s="14"/>
      <c r="E866" s="14"/>
      <c r="F866" s="14"/>
      <c r="G866" s="15"/>
      <c r="H866" s="15"/>
      <c r="I866" s="15"/>
      <c r="J866" s="15"/>
    </row>
    <row r="867" spans="3:10" ht="20.100000000000001" customHeight="1" x14ac:dyDescent="0.25">
      <c r="C867" s="14"/>
      <c r="D867" s="14"/>
      <c r="E867" s="14"/>
      <c r="F867" s="14"/>
      <c r="G867" s="15"/>
      <c r="H867" s="15"/>
      <c r="I867" s="15"/>
      <c r="J867" s="15"/>
    </row>
    <row r="868" spans="3:10" ht="20.100000000000001" customHeight="1" x14ac:dyDescent="0.25">
      <c r="C868" s="14"/>
      <c r="D868" s="14"/>
      <c r="E868" s="14"/>
      <c r="F868" s="14"/>
      <c r="G868" s="15"/>
      <c r="H868" s="15"/>
      <c r="I868" s="15"/>
      <c r="J868" s="15"/>
    </row>
    <row r="869" spans="3:10" ht="20.100000000000001" customHeight="1" x14ac:dyDescent="0.25">
      <c r="C869" s="14"/>
      <c r="D869" s="14"/>
      <c r="E869" s="14"/>
      <c r="F869" s="14"/>
      <c r="G869" s="15"/>
      <c r="H869" s="15"/>
      <c r="I869" s="15"/>
      <c r="J869" s="15"/>
    </row>
    <row r="870" spans="3:10" ht="20.100000000000001" customHeight="1" x14ac:dyDescent="0.25">
      <c r="C870" s="14"/>
      <c r="D870" s="14"/>
      <c r="E870" s="14"/>
      <c r="F870" s="14"/>
      <c r="G870" s="15"/>
      <c r="H870" s="15"/>
      <c r="I870" s="15"/>
      <c r="J870" s="15"/>
    </row>
    <row r="871" spans="3:10" ht="20.100000000000001" customHeight="1" x14ac:dyDescent="0.25">
      <c r="C871" s="14"/>
      <c r="D871" s="14"/>
      <c r="E871" s="14"/>
      <c r="F871" s="14"/>
      <c r="G871" s="15"/>
      <c r="H871" s="15"/>
      <c r="I871" s="15"/>
      <c r="J871" s="15"/>
    </row>
    <row r="872" spans="3:10" ht="20.100000000000001" customHeight="1" x14ac:dyDescent="0.25">
      <c r="C872" s="14"/>
      <c r="D872" s="14"/>
      <c r="E872" s="14"/>
      <c r="F872" s="14"/>
      <c r="G872" s="15"/>
      <c r="H872" s="15"/>
      <c r="I872" s="15"/>
      <c r="J872" s="15"/>
    </row>
    <row r="873" spans="3:10" ht="20.100000000000001" customHeight="1" x14ac:dyDescent="0.25">
      <c r="C873" s="14"/>
      <c r="D873" s="14"/>
      <c r="E873" s="14"/>
      <c r="F873" s="14"/>
      <c r="G873" s="15"/>
      <c r="H873" s="15"/>
      <c r="I873" s="15"/>
      <c r="J873" s="15"/>
    </row>
    <row r="874" spans="3:10" ht="20.100000000000001" customHeight="1" x14ac:dyDescent="0.25">
      <c r="C874" s="14"/>
      <c r="D874" s="14"/>
      <c r="E874" s="14"/>
      <c r="F874" s="14"/>
      <c r="G874" s="15"/>
      <c r="H874" s="15"/>
      <c r="I874" s="15"/>
      <c r="J874" s="15"/>
    </row>
    <row r="875" spans="3:10" ht="20.100000000000001" customHeight="1" x14ac:dyDescent="0.25">
      <c r="C875" s="14"/>
      <c r="D875" s="14"/>
      <c r="E875" s="14"/>
      <c r="F875" s="14"/>
      <c r="G875" s="15"/>
      <c r="H875" s="15"/>
      <c r="I875" s="15"/>
      <c r="J875" s="15"/>
    </row>
    <row r="876" spans="3:10" ht="20.100000000000001" customHeight="1" x14ac:dyDescent="0.25">
      <c r="C876" s="14"/>
      <c r="D876" s="14"/>
      <c r="E876" s="14"/>
      <c r="F876" s="14"/>
      <c r="G876" s="15"/>
      <c r="H876" s="15"/>
      <c r="I876" s="15"/>
      <c r="J876" s="15"/>
    </row>
    <row r="877" spans="3:10" ht="20.100000000000001" customHeight="1" x14ac:dyDescent="0.25">
      <c r="C877" s="14"/>
      <c r="D877" s="14"/>
      <c r="E877" s="14"/>
      <c r="F877" s="14"/>
      <c r="G877" s="15"/>
      <c r="H877" s="15"/>
      <c r="I877" s="15"/>
      <c r="J877" s="15"/>
    </row>
    <row r="878" spans="3:10" ht="20.100000000000001" customHeight="1" x14ac:dyDescent="0.25">
      <c r="C878" s="14"/>
      <c r="D878" s="14"/>
      <c r="E878" s="14"/>
      <c r="F878" s="14"/>
      <c r="G878" s="15"/>
      <c r="H878" s="15"/>
      <c r="I878" s="15"/>
      <c r="J878" s="15"/>
    </row>
    <row r="879" spans="3:10" ht="20.100000000000001" customHeight="1" x14ac:dyDescent="0.25">
      <c r="C879" s="14"/>
      <c r="D879" s="14"/>
      <c r="E879" s="14"/>
      <c r="F879" s="14"/>
      <c r="G879" s="15"/>
      <c r="H879" s="15"/>
      <c r="I879" s="15"/>
      <c r="J879" s="15"/>
    </row>
    <row r="880" spans="3:10" ht="20.100000000000001" customHeight="1" x14ac:dyDescent="0.25">
      <c r="C880" s="14"/>
      <c r="D880" s="14"/>
      <c r="E880" s="14"/>
      <c r="F880" s="14"/>
      <c r="G880" s="15"/>
      <c r="H880" s="15"/>
      <c r="I880" s="15"/>
      <c r="J880" s="15"/>
    </row>
    <row r="881" spans="3:10" ht="20.100000000000001" customHeight="1" x14ac:dyDescent="0.25">
      <c r="C881" s="14"/>
      <c r="D881" s="14"/>
      <c r="E881" s="14"/>
      <c r="F881" s="14"/>
      <c r="G881" s="15"/>
      <c r="H881" s="15"/>
      <c r="I881" s="15"/>
      <c r="J881" s="15"/>
    </row>
    <row r="882" spans="3:10" ht="20.100000000000001" customHeight="1" x14ac:dyDescent="0.25">
      <c r="C882" s="14"/>
      <c r="D882" s="14"/>
      <c r="E882" s="14"/>
      <c r="F882" s="14"/>
      <c r="G882" s="15"/>
      <c r="H882" s="15"/>
      <c r="I882" s="15"/>
      <c r="J882" s="15"/>
    </row>
    <row r="883" spans="3:10" ht="20.100000000000001" customHeight="1" x14ac:dyDescent="0.25">
      <c r="C883" s="14"/>
      <c r="D883" s="14"/>
      <c r="E883" s="14"/>
      <c r="F883" s="14"/>
      <c r="G883" s="15"/>
      <c r="H883" s="15"/>
      <c r="I883" s="15"/>
      <c r="J883" s="15"/>
    </row>
    <row r="884" spans="3:10" ht="20.100000000000001" customHeight="1" x14ac:dyDescent="0.25">
      <c r="C884" s="14"/>
      <c r="D884" s="14"/>
      <c r="E884" s="14"/>
      <c r="F884" s="14"/>
      <c r="G884" s="15"/>
      <c r="H884" s="15"/>
      <c r="I884" s="15"/>
      <c r="J884" s="15"/>
    </row>
    <row r="885" spans="3:10" ht="20.100000000000001" customHeight="1" x14ac:dyDescent="0.25">
      <c r="C885" s="14"/>
      <c r="D885" s="14"/>
      <c r="E885" s="14"/>
      <c r="F885" s="14"/>
      <c r="G885" s="15"/>
      <c r="H885" s="15"/>
      <c r="I885" s="15"/>
      <c r="J885" s="15"/>
    </row>
    <row r="886" spans="3:10" ht="20.100000000000001" customHeight="1" x14ac:dyDescent="0.25">
      <c r="C886" s="14"/>
      <c r="D886" s="14"/>
      <c r="E886" s="14"/>
      <c r="F886" s="14"/>
      <c r="G886" s="15"/>
      <c r="H886" s="15"/>
      <c r="I886" s="15"/>
      <c r="J886" s="15"/>
    </row>
    <row r="887" spans="3:10" ht="20.100000000000001" customHeight="1" x14ac:dyDescent="0.25">
      <c r="C887" s="14"/>
      <c r="D887" s="14"/>
      <c r="E887" s="14"/>
      <c r="F887" s="14"/>
      <c r="G887" s="15"/>
      <c r="H887" s="15"/>
      <c r="I887" s="15"/>
      <c r="J887" s="15"/>
    </row>
    <row r="888" spans="3:10" ht="20.100000000000001" customHeight="1" x14ac:dyDescent="0.25">
      <c r="C888" s="14"/>
      <c r="D888" s="14"/>
      <c r="E888" s="14"/>
      <c r="F888" s="14"/>
      <c r="G888" s="15"/>
      <c r="H888" s="15"/>
      <c r="I888" s="15"/>
      <c r="J888" s="15"/>
    </row>
    <row r="889" spans="3:10" ht="20.100000000000001" customHeight="1" x14ac:dyDescent="0.25">
      <c r="C889" s="14"/>
      <c r="D889" s="14"/>
      <c r="E889" s="14"/>
      <c r="F889" s="14"/>
      <c r="G889" s="15"/>
      <c r="H889" s="15"/>
      <c r="I889" s="15"/>
      <c r="J889" s="15"/>
    </row>
    <row r="890" spans="3:10" ht="20.100000000000001" customHeight="1" x14ac:dyDescent="0.25">
      <c r="C890" s="14"/>
      <c r="D890" s="14"/>
      <c r="E890" s="14"/>
      <c r="F890" s="14"/>
      <c r="G890" s="15"/>
      <c r="H890" s="15"/>
      <c r="I890" s="15"/>
      <c r="J890" s="15"/>
    </row>
    <row r="891" spans="3:10" ht="20.100000000000001" customHeight="1" x14ac:dyDescent="0.25">
      <c r="C891" s="14"/>
      <c r="D891" s="14"/>
      <c r="E891" s="14"/>
      <c r="F891" s="14"/>
      <c r="G891" s="15"/>
      <c r="H891" s="15"/>
      <c r="I891" s="15"/>
      <c r="J891" s="15"/>
    </row>
    <row r="892" spans="3:10" ht="20.100000000000001" customHeight="1" x14ac:dyDescent="0.25">
      <c r="C892" s="14"/>
      <c r="D892" s="14"/>
      <c r="E892" s="14"/>
      <c r="F892" s="14"/>
      <c r="G892" s="15"/>
      <c r="H892" s="15"/>
      <c r="I892" s="15"/>
      <c r="J892" s="15"/>
    </row>
    <row r="893" spans="3:10" ht="20.100000000000001" customHeight="1" x14ac:dyDescent="0.25">
      <c r="C893" s="14"/>
      <c r="D893" s="14"/>
      <c r="E893" s="14"/>
      <c r="F893" s="14"/>
      <c r="G893" s="15"/>
      <c r="H893" s="15"/>
      <c r="I893" s="15"/>
      <c r="J893" s="15"/>
    </row>
    <row r="894" spans="3:10" ht="20.100000000000001" customHeight="1" x14ac:dyDescent="0.25">
      <c r="C894" s="14"/>
      <c r="D894" s="14"/>
      <c r="E894" s="14"/>
      <c r="F894" s="14"/>
      <c r="G894" s="15"/>
      <c r="H894" s="15"/>
      <c r="I894" s="15"/>
      <c r="J894" s="15"/>
    </row>
    <row r="895" spans="3:10" ht="20.100000000000001" customHeight="1" x14ac:dyDescent="0.25">
      <c r="C895" s="14"/>
      <c r="D895" s="14"/>
      <c r="E895" s="14"/>
      <c r="F895" s="14"/>
      <c r="G895" s="15"/>
      <c r="H895" s="15"/>
      <c r="I895" s="15"/>
      <c r="J895" s="15"/>
    </row>
    <row r="896" spans="3:10" ht="20.100000000000001" customHeight="1" x14ac:dyDescent="0.25">
      <c r="C896" s="14"/>
      <c r="D896" s="14"/>
      <c r="E896" s="14"/>
      <c r="F896" s="14"/>
      <c r="G896" s="15"/>
      <c r="H896" s="15"/>
      <c r="I896" s="15"/>
      <c r="J896" s="15"/>
    </row>
    <row r="897" spans="3:10" ht="20.100000000000001" customHeight="1" x14ac:dyDescent="0.25">
      <c r="C897" s="14"/>
      <c r="D897" s="14"/>
      <c r="E897" s="14"/>
      <c r="F897" s="14"/>
      <c r="G897" s="15"/>
      <c r="H897" s="15"/>
      <c r="I897" s="15"/>
      <c r="J897" s="15"/>
    </row>
    <row r="898" spans="3:10" ht="20.100000000000001" customHeight="1" x14ac:dyDescent="0.25">
      <c r="C898" s="14"/>
      <c r="D898" s="14"/>
      <c r="E898" s="14"/>
      <c r="F898" s="14"/>
      <c r="G898" s="15"/>
      <c r="H898" s="15"/>
      <c r="I898" s="15"/>
      <c r="J898" s="15"/>
    </row>
    <row r="899" spans="3:10" ht="20.100000000000001" customHeight="1" x14ac:dyDescent="0.25">
      <c r="C899" s="14"/>
      <c r="D899" s="14"/>
      <c r="E899" s="14"/>
      <c r="F899" s="14"/>
      <c r="G899" s="15"/>
      <c r="H899" s="15"/>
      <c r="I899" s="15"/>
      <c r="J899" s="15"/>
    </row>
    <row r="900" spans="3:10" ht="20.100000000000001" customHeight="1" x14ac:dyDescent="0.25">
      <c r="C900" s="14"/>
      <c r="D900" s="14"/>
      <c r="E900" s="14"/>
      <c r="F900" s="14"/>
      <c r="G900" s="15"/>
      <c r="H900" s="15"/>
      <c r="I900" s="15"/>
      <c r="J900" s="15"/>
    </row>
    <row r="901" spans="3:10" ht="20.100000000000001" customHeight="1" x14ac:dyDescent="0.25">
      <c r="C901" s="14"/>
      <c r="D901" s="14"/>
      <c r="E901" s="14"/>
      <c r="F901" s="14"/>
      <c r="G901" s="15"/>
      <c r="H901" s="15"/>
      <c r="I901" s="15"/>
      <c r="J901" s="15"/>
    </row>
    <row r="902" spans="3:10" ht="20.100000000000001" customHeight="1" x14ac:dyDescent="0.25">
      <c r="C902" s="14"/>
      <c r="D902" s="14"/>
      <c r="E902" s="14"/>
      <c r="F902" s="14"/>
      <c r="G902" s="15"/>
      <c r="H902" s="15"/>
      <c r="I902" s="15"/>
      <c r="J902" s="15"/>
    </row>
    <row r="903" spans="3:10" ht="20.100000000000001" customHeight="1" x14ac:dyDescent="0.25">
      <c r="C903" s="14"/>
      <c r="D903" s="14"/>
      <c r="E903" s="14"/>
      <c r="F903" s="14"/>
      <c r="G903" s="15"/>
      <c r="H903" s="15"/>
      <c r="I903" s="15"/>
      <c r="J903" s="15"/>
    </row>
    <row r="904" spans="3:10" ht="20.100000000000001" customHeight="1" x14ac:dyDescent="0.25">
      <c r="C904" s="14"/>
      <c r="D904" s="14"/>
      <c r="E904" s="14"/>
      <c r="F904" s="14"/>
      <c r="G904" s="15"/>
      <c r="H904" s="15"/>
      <c r="I904" s="15"/>
      <c r="J904" s="15"/>
    </row>
    <row r="905" spans="3:10" ht="20.100000000000001" customHeight="1" x14ac:dyDescent="0.25">
      <c r="C905" s="14"/>
      <c r="D905" s="14"/>
      <c r="E905" s="14"/>
      <c r="F905" s="14"/>
      <c r="G905" s="15"/>
      <c r="H905" s="15"/>
      <c r="I905" s="15"/>
      <c r="J905" s="15"/>
    </row>
    <row r="906" spans="3:10" ht="20.100000000000001" customHeight="1" x14ac:dyDescent="0.25">
      <c r="C906" s="14"/>
      <c r="D906" s="14"/>
      <c r="E906" s="14"/>
      <c r="F906" s="14"/>
      <c r="G906" s="15"/>
      <c r="H906" s="15"/>
      <c r="I906" s="15"/>
      <c r="J906" s="15"/>
    </row>
    <row r="907" spans="3:10" ht="20.100000000000001" customHeight="1" x14ac:dyDescent="0.25">
      <c r="C907" s="14"/>
      <c r="D907" s="14"/>
      <c r="E907" s="14"/>
      <c r="F907" s="14"/>
      <c r="G907" s="15"/>
      <c r="H907" s="15"/>
      <c r="I907" s="15"/>
      <c r="J907" s="15"/>
    </row>
    <row r="908" spans="3:10" ht="20.100000000000001" customHeight="1" x14ac:dyDescent="0.25">
      <c r="C908" s="14"/>
      <c r="D908" s="14"/>
      <c r="E908" s="14"/>
      <c r="F908" s="14"/>
      <c r="G908" s="15"/>
      <c r="H908" s="15"/>
      <c r="I908" s="15"/>
      <c r="J908" s="15"/>
    </row>
    <row r="909" spans="3:10" ht="20.100000000000001" customHeight="1" x14ac:dyDescent="0.25">
      <c r="C909" s="14"/>
      <c r="D909" s="14"/>
      <c r="E909" s="14"/>
      <c r="F909" s="14"/>
      <c r="G909" s="15"/>
      <c r="H909" s="15"/>
      <c r="I909" s="15"/>
      <c r="J909" s="15"/>
    </row>
    <row r="910" spans="3:10" ht="20.100000000000001" customHeight="1" x14ac:dyDescent="0.25">
      <c r="C910" s="14"/>
      <c r="D910" s="14"/>
      <c r="E910" s="14"/>
      <c r="F910" s="14"/>
      <c r="G910" s="15"/>
      <c r="H910" s="15"/>
      <c r="I910" s="15"/>
      <c r="J910" s="15"/>
    </row>
    <row r="911" spans="3:10" ht="20.100000000000001" customHeight="1" x14ac:dyDescent="0.25">
      <c r="C911" s="14"/>
      <c r="D911" s="14"/>
      <c r="E911" s="14"/>
      <c r="F911" s="14"/>
      <c r="G911" s="15"/>
      <c r="H911" s="15"/>
      <c r="I911" s="15"/>
      <c r="J911" s="15"/>
    </row>
    <row r="912" spans="3:10" ht="20.100000000000001" customHeight="1" x14ac:dyDescent="0.25">
      <c r="C912" s="14"/>
      <c r="D912" s="14"/>
      <c r="E912" s="14"/>
      <c r="F912" s="14"/>
      <c r="G912" s="15"/>
      <c r="H912" s="15"/>
      <c r="I912" s="15"/>
      <c r="J912" s="15"/>
    </row>
    <row r="913" spans="3:10" ht="20.100000000000001" customHeight="1" x14ac:dyDescent="0.25">
      <c r="C913" s="14"/>
      <c r="D913" s="14"/>
      <c r="E913" s="14"/>
      <c r="F913" s="14"/>
      <c r="G913" s="15"/>
      <c r="H913" s="15"/>
      <c r="I913" s="15"/>
      <c r="J913" s="15"/>
    </row>
    <row r="914" spans="3:10" ht="20.100000000000001" customHeight="1" x14ac:dyDescent="0.25">
      <c r="C914" s="14"/>
      <c r="D914" s="14"/>
      <c r="E914" s="14"/>
      <c r="F914" s="14"/>
      <c r="G914" s="15"/>
      <c r="H914" s="15"/>
      <c r="I914" s="15"/>
      <c r="J914" s="15"/>
    </row>
    <row r="915" spans="3:10" ht="20.100000000000001" customHeight="1" x14ac:dyDescent="0.25">
      <c r="C915" s="14"/>
      <c r="D915" s="14"/>
      <c r="E915" s="14"/>
      <c r="F915" s="14"/>
      <c r="G915" s="15"/>
      <c r="H915" s="15"/>
      <c r="I915" s="15"/>
      <c r="J915" s="15"/>
    </row>
    <row r="916" spans="3:10" ht="20.100000000000001" customHeight="1" x14ac:dyDescent="0.25">
      <c r="C916" s="14"/>
      <c r="D916" s="14"/>
      <c r="E916" s="14"/>
      <c r="F916" s="14"/>
      <c r="G916" s="15"/>
      <c r="H916" s="15"/>
      <c r="I916" s="15"/>
      <c r="J916" s="15"/>
    </row>
    <row r="917" spans="3:10" ht="20.100000000000001" customHeight="1" x14ac:dyDescent="0.25">
      <c r="C917" s="14"/>
      <c r="D917" s="14"/>
      <c r="E917" s="14"/>
      <c r="F917" s="14"/>
      <c r="G917" s="15"/>
      <c r="H917" s="15"/>
      <c r="I917" s="15"/>
      <c r="J917" s="15"/>
    </row>
    <row r="918" spans="3:10" ht="20.100000000000001" customHeight="1" x14ac:dyDescent="0.25">
      <c r="C918" s="14"/>
      <c r="D918" s="14"/>
      <c r="E918" s="14"/>
      <c r="F918" s="14"/>
      <c r="G918" s="15"/>
      <c r="H918" s="15"/>
      <c r="I918" s="15"/>
      <c r="J918" s="15"/>
    </row>
    <row r="919" spans="3:10" ht="20.100000000000001" customHeight="1" x14ac:dyDescent="0.25">
      <c r="C919" s="14"/>
      <c r="D919" s="14"/>
      <c r="E919" s="14"/>
      <c r="F919" s="14"/>
      <c r="G919" s="15"/>
      <c r="H919" s="15"/>
      <c r="I919" s="15"/>
      <c r="J919" s="15"/>
    </row>
    <row r="920" spans="3:10" ht="20.100000000000001" customHeight="1" x14ac:dyDescent="0.25">
      <c r="C920" s="14"/>
      <c r="D920" s="14"/>
      <c r="E920" s="14"/>
      <c r="F920" s="14"/>
      <c r="G920" s="15"/>
      <c r="H920" s="15"/>
      <c r="I920" s="15"/>
      <c r="J920" s="15"/>
    </row>
    <row r="921" spans="3:10" ht="20.100000000000001" customHeight="1" x14ac:dyDescent="0.25">
      <c r="C921" s="14"/>
      <c r="D921" s="14"/>
      <c r="E921" s="14"/>
      <c r="F921" s="14"/>
      <c r="G921" s="15"/>
      <c r="H921" s="15"/>
      <c r="I921" s="15"/>
      <c r="J921" s="15"/>
    </row>
    <row r="922" spans="3:10" ht="20.100000000000001" customHeight="1" x14ac:dyDescent="0.25">
      <c r="C922" s="14"/>
      <c r="D922" s="14"/>
      <c r="E922" s="14"/>
      <c r="F922" s="14"/>
      <c r="G922" s="15"/>
      <c r="H922" s="15"/>
      <c r="I922" s="15"/>
      <c r="J922" s="15"/>
    </row>
    <row r="923" spans="3:10" ht="20.100000000000001" customHeight="1" x14ac:dyDescent="0.25">
      <c r="C923" s="14"/>
      <c r="D923" s="14"/>
      <c r="E923" s="14"/>
      <c r="F923" s="14"/>
      <c r="G923" s="15"/>
      <c r="H923" s="15"/>
      <c r="I923" s="15"/>
      <c r="J923" s="15"/>
    </row>
    <row r="924" spans="3:10" ht="20.100000000000001" customHeight="1" x14ac:dyDescent="0.25">
      <c r="C924" s="14"/>
      <c r="D924" s="14"/>
      <c r="E924" s="14"/>
      <c r="F924" s="14"/>
      <c r="G924" s="15"/>
      <c r="H924" s="15"/>
      <c r="I924" s="15"/>
      <c r="J924" s="15"/>
    </row>
    <row r="925" spans="3:10" ht="20.100000000000001" customHeight="1" x14ac:dyDescent="0.25">
      <c r="C925" s="14"/>
      <c r="D925" s="14"/>
      <c r="E925" s="14"/>
      <c r="F925" s="14"/>
      <c r="G925" s="15"/>
      <c r="H925" s="15"/>
      <c r="I925" s="15"/>
      <c r="J925" s="15"/>
    </row>
    <row r="926" spans="3:10" ht="20.100000000000001" customHeight="1" x14ac:dyDescent="0.25">
      <c r="C926" s="14"/>
      <c r="D926" s="14"/>
      <c r="E926" s="14"/>
      <c r="F926" s="14"/>
      <c r="G926" s="15"/>
      <c r="H926" s="15"/>
      <c r="I926" s="15"/>
      <c r="J926" s="15"/>
    </row>
    <row r="927" spans="3:10" ht="20.100000000000001" customHeight="1" x14ac:dyDescent="0.25">
      <c r="C927" s="14"/>
      <c r="D927" s="14"/>
      <c r="E927" s="14"/>
      <c r="F927" s="14"/>
      <c r="G927" s="15"/>
      <c r="H927" s="15"/>
      <c r="I927" s="15"/>
      <c r="J927" s="15"/>
    </row>
    <row r="928" spans="3:10" ht="20.100000000000001" customHeight="1" x14ac:dyDescent="0.25">
      <c r="C928" s="14"/>
      <c r="D928" s="14"/>
      <c r="E928" s="14"/>
      <c r="F928" s="14"/>
      <c r="G928" s="15"/>
      <c r="H928" s="15"/>
      <c r="I928" s="15"/>
      <c r="J928" s="15"/>
    </row>
    <row r="929" spans="3:10" ht="20.100000000000001" customHeight="1" x14ac:dyDescent="0.25">
      <c r="C929" s="14"/>
      <c r="D929" s="14"/>
      <c r="E929" s="14"/>
      <c r="F929" s="14"/>
      <c r="G929" s="15"/>
      <c r="H929" s="15"/>
      <c r="I929" s="15"/>
      <c r="J929" s="15"/>
    </row>
    <row r="930" spans="3:10" ht="20.100000000000001" customHeight="1" x14ac:dyDescent="0.25">
      <c r="C930" s="14"/>
      <c r="D930" s="14"/>
      <c r="E930" s="14"/>
      <c r="F930" s="14"/>
      <c r="G930" s="15"/>
      <c r="H930" s="15"/>
      <c r="I930" s="15"/>
      <c r="J930" s="15"/>
    </row>
    <row r="931" spans="3:10" ht="20.100000000000001" customHeight="1" x14ac:dyDescent="0.25">
      <c r="C931" s="14"/>
      <c r="D931" s="14"/>
      <c r="E931" s="14"/>
      <c r="F931" s="14"/>
      <c r="G931" s="15"/>
      <c r="H931" s="15"/>
      <c r="I931" s="15"/>
      <c r="J931" s="15"/>
    </row>
    <row r="932" spans="3:10" ht="20.100000000000001" customHeight="1" x14ac:dyDescent="0.25">
      <c r="C932" s="14"/>
      <c r="D932" s="14"/>
      <c r="E932" s="14"/>
      <c r="F932" s="14"/>
      <c r="G932" s="15"/>
      <c r="H932" s="15"/>
      <c r="I932" s="15"/>
      <c r="J932" s="15"/>
    </row>
    <row r="933" spans="3:10" ht="20.100000000000001" customHeight="1" x14ac:dyDescent="0.25">
      <c r="C933" s="14"/>
      <c r="D933" s="14"/>
      <c r="E933" s="14"/>
      <c r="F933" s="14"/>
      <c r="G933" s="15"/>
      <c r="H933" s="15"/>
      <c r="I933" s="15"/>
      <c r="J933" s="15"/>
    </row>
    <row r="934" spans="3:10" ht="20.100000000000001" customHeight="1" x14ac:dyDescent="0.25">
      <c r="C934" s="14"/>
      <c r="D934" s="14"/>
      <c r="E934" s="14"/>
      <c r="F934" s="14"/>
      <c r="G934" s="15"/>
      <c r="H934" s="15"/>
      <c r="I934" s="15"/>
      <c r="J934" s="15"/>
    </row>
    <row r="935" spans="3:10" ht="20.100000000000001" customHeight="1" x14ac:dyDescent="0.25">
      <c r="C935" s="14"/>
      <c r="D935" s="14"/>
      <c r="E935" s="14"/>
      <c r="F935" s="14"/>
      <c r="G935" s="15"/>
      <c r="H935" s="15"/>
      <c r="I935" s="15"/>
      <c r="J935" s="15"/>
    </row>
    <row r="936" spans="3:10" ht="20.100000000000001" customHeight="1" x14ac:dyDescent="0.25">
      <c r="C936" s="14"/>
      <c r="D936" s="14"/>
      <c r="E936" s="14"/>
      <c r="F936" s="14"/>
      <c r="G936" s="15"/>
      <c r="H936" s="15"/>
      <c r="I936" s="15"/>
      <c r="J936" s="15"/>
    </row>
    <row r="937" spans="3:10" ht="20.100000000000001" customHeight="1" x14ac:dyDescent="0.25">
      <c r="C937" s="14"/>
      <c r="D937" s="14"/>
      <c r="E937" s="14"/>
      <c r="F937" s="14"/>
      <c r="G937" s="15"/>
      <c r="H937" s="15"/>
      <c r="I937" s="15"/>
      <c r="J937" s="15"/>
    </row>
    <row r="938" spans="3:10" ht="20.100000000000001" customHeight="1" x14ac:dyDescent="0.25">
      <c r="C938" s="14"/>
      <c r="D938" s="14"/>
      <c r="E938" s="14"/>
      <c r="F938" s="14"/>
      <c r="G938" s="15"/>
      <c r="H938" s="15"/>
      <c r="I938" s="15"/>
      <c r="J938" s="15"/>
    </row>
    <row r="939" spans="3:10" ht="20.100000000000001" customHeight="1" x14ac:dyDescent="0.25">
      <c r="C939" s="14"/>
      <c r="D939" s="14"/>
      <c r="E939" s="14"/>
      <c r="F939" s="14"/>
      <c r="G939" s="15"/>
      <c r="H939" s="15"/>
      <c r="I939" s="15"/>
      <c r="J939" s="15"/>
    </row>
    <row r="940" spans="3:10" ht="20.100000000000001" customHeight="1" x14ac:dyDescent="0.25">
      <c r="C940" s="14"/>
      <c r="D940" s="14"/>
      <c r="E940" s="14"/>
      <c r="F940" s="14"/>
      <c r="G940" s="15"/>
      <c r="H940" s="15"/>
      <c r="I940" s="15"/>
      <c r="J940" s="15"/>
    </row>
    <row r="941" spans="3:10" ht="20.100000000000001" customHeight="1" x14ac:dyDescent="0.25">
      <c r="C941" s="14"/>
      <c r="D941" s="14"/>
      <c r="E941" s="14"/>
      <c r="F941" s="14"/>
      <c r="G941" s="15"/>
      <c r="H941" s="15"/>
      <c r="I941" s="15"/>
      <c r="J941" s="15"/>
    </row>
    <row r="942" spans="3:10" ht="20.100000000000001" customHeight="1" x14ac:dyDescent="0.25">
      <c r="C942" s="14"/>
      <c r="D942" s="14"/>
      <c r="E942" s="14"/>
      <c r="F942" s="14"/>
      <c r="G942" s="15"/>
      <c r="H942" s="15"/>
      <c r="I942" s="15"/>
      <c r="J942" s="15"/>
    </row>
    <row r="943" spans="3:10" ht="20.100000000000001" customHeight="1" x14ac:dyDescent="0.25">
      <c r="C943" s="14"/>
      <c r="D943" s="14"/>
      <c r="E943" s="14"/>
      <c r="F943" s="14"/>
      <c r="G943" s="15"/>
      <c r="H943" s="15"/>
      <c r="I943" s="15"/>
      <c r="J943" s="15"/>
    </row>
    <row r="944" spans="3:10" ht="20.100000000000001" customHeight="1" x14ac:dyDescent="0.25">
      <c r="C944" s="14"/>
      <c r="D944" s="14"/>
      <c r="E944" s="14"/>
      <c r="F944" s="14"/>
      <c r="G944" s="15"/>
      <c r="H944" s="15"/>
      <c r="I944" s="15"/>
      <c r="J944" s="15"/>
    </row>
    <row r="945" spans="3:10" ht="20.100000000000001" customHeight="1" x14ac:dyDescent="0.25">
      <c r="C945" s="14"/>
      <c r="D945" s="14"/>
      <c r="E945" s="14"/>
      <c r="F945" s="14"/>
      <c r="G945" s="15"/>
      <c r="H945" s="15"/>
      <c r="I945" s="15"/>
      <c r="J945" s="15"/>
    </row>
    <row r="946" spans="3:10" ht="20.100000000000001" customHeight="1" x14ac:dyDescent="0.25">
      <c r="C946" s="14"/>
      <c r="D946" s="14"/>
      <c r="E946" s="14"/>
      <c r="F946" s="14"/>
      <c r="G946" s="15"/>
      <c r="H946" s="15"/>
      <c r="I946" s="15"/>
      <c r="J946" s="15"/>
    </row>
    <row r="947" spans="3:10" ht="20.100000000000001" customHeight="1" x14ac:dyDescent="0.25">
      <c r="C947" s="14"/>
      <c r="D947" s="14"/>
      <c r="E947" s="14"/>
      <c r="F947" s="14"/>
      <c r="G947" s="15"/>
      <c r="H947" s="15"/>
      <c r="I947" s="15"/>
      <c r="J947" s="15"/>
    </row>
    <row r="948" spans="3:10" ht="20.100000000000001" customHeight="1" x14ac:dyDescent="0.25">
      <c r="C948" s="14"/>
      <c r="D948" s="14"/>
      <c r="E948" s="14"/>
      <c r="F948" s="14"/>
      <c r="G948" s="15"/>
      <c r="H948" s="15"/>
      <c r="I948" s="15"/>
      <c r="J948" s="15"/>
    </row>
    <row r="949" spans="3:10" ht="20.100000000000001" customHeight="1" x14ac:dyDescent="0.25">
      <c r="C949" s="14"/>
      <c r="D949" s="14"/>
      <c r="E949" s="14"/>
      <c r="F949" s="14"/>
      <c r="G949" s="15"/>
      <c r="H949" s="15"/>
      <c r="I949" s="15"/>
      <c r="J949" s="15"/>
    </row>
    <row r="950" spans="3:10" ht="20.100000000000001" customHeight="1" x14ac:dyDescent="0.25">
      <c r="C950" s="14"/>
      <c r="D950" s="14"/>
      <c r="E950" s="14"/>
      <c r="F950" s="14"/>
      <c r="G950" s="15"/>
      <c r="H950" s="15"/>
      <c r="I950" s="15"/>
      <c r="J950" s="15"/>
    </row>
    <row r="951" spans="3:10" ht="20.100000000000001" customHeight="1" x14ac:dyDescent="0.25">
      <c r="C951" s="14"/>
      <c r="D951" s="14"/>
      <c r="E951" s="14"/>
      <c r="F951" s="14"/>
      <c r="G951" s="15"/>
      <c r="H951" s="15"/>
      <c r="I951" s="15"/>
      <c r="J951" s="15"/>
    </row>
    <row r="952" spans="3:10" ht="20.100000000000001" customHeight="1" x14ac:dyDescent="0.25">
      <c r="C952" s="14"/>
      <c r="D952" s="14"/>
      <c r="E952" s="14"/>
      <c r="F952" s="14"/>
      <c r="G952" s="15"/>
      <c r="H952" s="15"/>
      <c r="I952" s="15"/>
      <c r="J952" s="15"/>
    </row>
    <row r="953" spans="3:10" ht="20.100000000000001" customHeight="1" x14ac:dyDescent="0.25">
      <c r="C953" s="14"/>
      <c r="D953" s="14"/>
      <c r="E953" s="14"/>
      <c r="F953" s="14"/>
      <c r="G953" s="15"/>
      <c r="H953" s="15"/>
      <c r="I953" s="15"/>
      <c r="J953" s="15"/>
    </row>
    <row r="954" spans="3:10" ht="20.100000000000001" customHeight="1" x14ac:dyDescent="0.25">
      <c r="C954" s="14"/>
      <c r="D954" s="14"/>
      <c r="E954" s="14"/>
      <c r="F954" s="14"/>
      <c r="G954" s="15"/>
      <c r="H954" s="15"/>
      <c r="I954" s="15"/>
      <c r="J954" s="15"/>
    </row>
    <row r="955" spans="3:10" ht="20.100000000000001" customHeight="1" x14ac:dyDescent="0.25">
      <c r="C955" s="14"/>
      <c r="D955" s="14"/>
      <c r="E955" s="14"/>
      <c r="F955" s="14"/>
      <c r="G955" s="15"/>
      <c r="H955" s="15"/>
      <c r="I955" s="15"/>
      <c r="J955" s="15"/>
    </row>
    <row r="956" spans="3:10" ht="20.100000000000001" customHeight="1" x14ac:dyDescent="0.25">
      <c r="C956" s="14"/>
      <c r="D956" s="14"/>
      <c r="E956" s="14"/>
      <c r="F956" s="14"/>
      <c r="G956" s="15"/>
      <c r="H956" s="15"/>
      <c r="I956" s="15"/>
      <c r="J956" s="15"/>
    </row>
    <row r="957" spans="3:10" ht="20.100000000000001" customHeight="1" x14ac:dyDescent="0.25">
      <c r="C957" s="14"/>
      <c r="D957" s="14"/>
      <c r="E957" s="14"/>
      <c r="F957" s="14"/>
      <c r="G957" s="15"/>
      <c r="H957" s="15"/>
      <c r="I957" s="15"/>
      <c r="J957" s="15"/>
    </row>
    <row r="958" spans="3:10" ht="20.100000000000001" customHeight="1" x14ac:dyDescent="0.25">
      <c r="C958" s="14"/>
      <c r="D958" s="14"/>
      <c r="E958" s="14"/>
      <c r="F958" s="14"/>
      <c r="G958" s="15"/>
      <c r="H958" s="15"/>
      <c r="I958" s="15"/>
      <c r="J958" s="15"/>
    </row>
    <row r="959" spans="3:10" ht="20.100000000000001" customHeight="1" x14ac:dyDescent="0.25">
      <c r="C959" s="14"/>
      <c r="D959" s="14"/>
      <c r="E959" s="14"/>
      <c r="F959" s="14"/>
      <c r="G959" s="15"/>
      <c r="H959" s="15"/>
      <c r="I959" s="15"/>
      <c r="J959" s="15"/>
    </row>
    <row r="960" spans="3:10" ht="20.100000000000001" customHeight="1" x14ac:dyDescent="0.25">
      <c r="C960" s="14"/>
      <c r="D960" s="14"/>
      <c r="E960" s="14"/>
      <c r="F960" s="14"/>
      <c r="G960" s="15"/>
      <c r="H960" s="15"/>
      <c r="I960" s="15"/>
      <c r="J960" s="15"/>
    </row>
    <row r="961" spans="3:10" ht="20.100000000000001" customHeight="1" x14ac:dyDescent="0.25">
      <c r="C961" s="14"/>
      <c r="D961" s="14"/>
      <c r="E961" s="14"/>
      <c r="F961" s="14"/>
      <c r="G961" s="15"/>
      <c r="H961" s="15"/>
      <c r="I961" s="15"/>
      <c r="J961" s="15"/>
    </row>
    <row r="962" spans="3:10" ht="20.100000000000001" customHeight="1" x14ac:dyDescent="0.25">
      <c r="C962" s="14"/>
      <c r="D962" s="14"/>
      <c r="E962" s="14"/>
      <c r="F962" s="14"/>
      <c r="G962" s="15"/>
      <c r="H962" s="15"/>
      <c r="I962" s="15"/>
      <c r="J962" s="15"/>
    </row>
    <row r="963" spans="3:10" ht="20.100000000000001" customHeight="1" x14ac:dyDescent="0.25">
      <c r="C963" s="14"/>
      <c r="D963" s="14"/>
      <c r="E963" s="14"/>
      <c r="F963" s="14"/>
      <c r="G963" s="15"/>
      <c r="H963" s="15"/>
      <c r="I963" s="15"/>
      <c r="J963" s="15"/>
    </row>
    <row r="964" spans="3:10" ht="20.100000000000001" customHeight="1" x14ac:dyDescent="0.25">
      <c r="C964" s="14"/>
      <c r="D964" s="14"/>
      <c r="E964" s="14"/>
      <c r="F964" s="14"/>
      <c r="G964" s="15"/>
      <c r="H964" s="15"/>
      <c r="I964" s="15"/>
      <c r="J964" s="15"/>
    </row>
    <row r="965" spans="3:10" ht="20.100000000000001" customHeight="1" x14ac:dyDescent="0.25">
      <c r="C965" s="14"/>
      <c r="D965" s="14"/>
      <c r="E965" s="14"/>
      <c r="F965" s="14"/>
      <c r="G965" s="15"/>
      <c r="H965" s="15"/>
      <c r="I965" s="15"/>
      <c r="J965" s="15"/>
    </row>
    <row r="966" spans="3:10" ht="20.100000000000001" customHeight="1" x14ac:dyDescent="0.25">
      <c r="C966" s="14"/>
      <c r="D966" s="14"/>
      <c r="E966" s="14"/>
      <c r="F966" s="14"/>
      <c r="G966" s="15"/>
      <c r="H966" s="15"/>
      <c r="I966" s="15"/>
      <c r="J966" s="15"/>
    </row>
    <row r="967" spans="3:10" ht="20.100000000000001" customHeight="1" x14ac:dyDescent="0.25">
      <c r="C967" s="14"/>
      <c r="D967" s="14"/>
      <c r="E967" s="14"/>
      <c r="F967" s="14"/>
      <c r="G967" s="15"/>
      <c r="H967" s="15"/>
      <c r="I967" s="15"/>
      <c r="J967" s="15"/>
    </row>
    <row r="968" spans="3:10" ht="20.100000000000001" customHeight="1" x14ac:dyDescent="0.25">
      <c r="C968" s="14"/>
      <c r="D968" s="14"/>
      <c r="E968" s="14"/>
      <c r="F968" s="14"/>
      <c r="G968" s="15"/>
      <c r="H968" s="15"/>
      <c r="I968" s="15"/>
      <c r="J968" s="15"/>
    </row>
    <row r="969" spans="3:10" ht="20.100000000000001" customHeight="1" x14ac:dyDescent="0.25">
      <c r="C969" s="14"/>
      <c r="D969" s="14"/>
      <c r="E969" s="14"/>
      <c r="F969" s="14"/>
      <c r="G969" s="15"/>
      <c r="H969" s="15"/>
      <c r="I969" s="15"/>
      <c r="J969" s="15"/>
    </row>
    <row r="970" spans="3:10" ht="20.100000000000001" customHeight="1" x14ac:dyDescent="0.25">
      <c r="C970" s="14"/>
      <c r="D970" s="14"/>
      <c r="E970" s="14"/>
      <c r="F970" s="14"/>
      <c r="G970" s="15"/>
      <c r="H970" s="15"/>
      <c r="I970" s="15"/>
      <c r="J970" s="15"/>
    </row>
    <row r="971" spans="3:10" ht="20.100000000000001" customHeight="1" x14ac:dyDescent="0.25">
      <c r="C971" s="14"/>
      <c r="D971" s="14"/>
      <c r="E971" s="14"/>
      <c r="F971" s="14"/>
      <c r="G971" s="15"/>
      <c r="H971" s="15"/>
      <c r="I971" s="15"/>
      <c r="J971" s="15"/>
    </row>
    <row r="972" spans="3:10" ht="20.100000000000001" customHeight="1" x14ac:dyDescent="0.25">
      <c r="C972" s="14"/>
      <c r="D972" s="14"/>
      <c r="E972" s="14"/>
      <c r="F972" s="14"/>
      <c r="G972" s="15"/>
      <c r="H972" s="15"/>
      <c r="I972" s="15"/>
      <c r="J972" s="15"/>
    </row>
    <row r="973" spans="3:10" ht="20.100000000000001" customHeight="1" x14ac:dyDescent="0.25">
      <c r="C973" s="14"/>
      <c r="D973" s="14"/>
      <c r="E973" s="14"/>
      <c r="F973" s="14"/>
      <c r="G973" s="15"/>
      <c r="H973" s="15"/>
      <c r="I973" s="15"/>
      <c r="J973" s="15"/>
    </row>
    <row r="974" spans="3:10" ht="20.100000000000001" customHeight="1" x14ac:dyDescent="0.25">
      <c r="C974" s="14"/>
      <c r="D974" s="14"/>
      <c r="E974" s="14"/>
      <c r="F974" s="14"/>
      <c r="G974" s="15"/>
      <c r="H974" s="15"/>
      <c r="I974" s="15"/>
      <c r="J974" s="15"/>
    </row>
    <row r="975" spans="3:10" ht="20.100000000000001" customHeight="1" x14ac:dyDescent="0.25">
      <c r="C975" s="14"/>
      <c r="D975" s="14"/>
      <c r="E975" s="14"/>
      <c r="F975" s="14"/>
      <c r="G975" s="15"/>
      <c r="H975" s="15"/>
      <c r="I975" s="15"/>
      <c r="J975" s="15"/>
    </row>
    <row r="976" spans="3:10" ht="20.100000000000001" customHeight="1" x14ac:dyDescent="0.25">
      <c r="C976" s="14"/>
      <c r="D976" s="14"/>
      <c r="E976" s="14"/>
      <c r="F976" s="14"/>
      <c r="G976" s="15"/>
      <c r="H976" s="15"/>
      <c r="I976" s="15"/>
      <c r="J976" s="15"/>
    </row>
    <row r="977" spans="3:10" ht="20.100000000000001" customHeight="1" x14ac:dyDescent="0.25">
      <c r="C977" s="14"/>
      <c r="D977" s="14"/>
      <c r="E977" s="14"/>
      <c r="F977" s="14"/>
      <c r="G977" s="15"/>
      <c r="H977" s="15"/>
      <c r="I977" s="15"/>
      <c r="J977" s="15"/>
    </row>
    <row r="978" spans="3:10" ht="20.100000000000001" customHeight="1" x14ac:dyDescent="0.25">
      <c r="C978" s="14"/>
      <c r="D978" s="14"/>
      <c r="E978" s="14"/>
      <c r="F978" s="14"/>
      <c r="G978" s="15"/>
      <c r="H978" s="15"/>
      <c r="I978" s="15"/>
      <c r="J978" s="15"/>
    </row>
    <row r="979" spans="3:10" ht="20.100000000000001" customHeight="1" x14ac:dyDescent="0.25">
      <c r="C979" s="14"/>
      <c r="D979" s="14"/>
      <c r="E979" s="14"/>
      <c r="F979" s="14"/>
      <c r="G979" s="15"/>
      <c r="H979" s="15"/>
      <c r="I979" s="15"/>
      <c r="J979" s="15"/>
    </row>
    <row r="980" spans="3:10" ht="20.100000000000001" customHeight="1" x14ac:dyDescent="0.25">
      <c r="C980" s="14"/>
      <c r="D980" s="14"/>
      <c r="E980" s="14"/>
      <c r="F980" s="14"/>
      <c r="G980" s="15"/>
      <c r="H980" s="15"/>
      <c r="I980" s="15"/>
      <c r="J980" s="15"/>
    </row>
    <row r="981" spans="3:10" ht="20.100000000000001" customHeight="1" x14ac:dyDescent="0.25">
      <c r="C981" s="14"/>
      <c r="D981" s="14"/>
      <c r="E981" s="14"/>
      <c r="F981" s="14"/>
      <c r="G981" s="15"/>
      <c r="H981" s="15"/>
      <c r="I981" s="15"/>
      <c r="J981" s="15"/>
    </row>
    <row r="982" spans="3:10" ht="20.100000000000001" customHeight="1" x14ac:dyDescent="0.25">
      <c r="C982" s="14"/>
      <c r="D982" s="14"/>
      <c r="E982" s="14"/>
      <c r="F982" s="14"/>
      <c r="G982" s="15"/>
      <c r="H982" s="15"/>
      <c r="I982" s="15"/>
      <c r="J982" s="15"/>
    </row>
    <row r="983" spans="3:10" ht="20.100000000000001" customHeight="1" x14ac:dyDescent="0.25">
      <c r="C983" s="14"/>
      <c r="D983" s="14"/>
      <c r="E983" s="14"/>
      <c r="F983" s="14"/>
      <c r="G983" s="15"/>
      <c r="H983" s="15"/>
      <c r="I983" s="15"/>
      <c r="J983" s="15"/>
    </row>
    <row r="984" spans="3:10" ht="20.100000000000001" customHeight="1" x14ac:dyDescent="0.25">
      <c r="C984" s="14"/>
      <c r="D984" s="14"/>
      <c r="E984" s="14"/>
      <c r="F984" s="14"/>
      <c r="G984" s="15"/>
      <c r="H984" s="15"/>
      <c r="I984" s="15"/>
      <c r="J984" s="15"/>
    </row>
    <row r="985" spans="3:10" ht="20.100000000000001" customHeight="1" x14ac:dyDescent="0.25">
      <c r="C985" s="14"/>
      <c r="D985" s="14"/>
      <c r="E985" s="14"/>
      <c r="F985" s="14"/>
      <c r="G985" s="15"/>
      <c r="H985" s="15"/>
      <c r="I985" s="15"/>
      <c r="J985" s="15"/>
    </row>
    <row r="986" spans="3:10" ht="20.100000000000001" customHeight="1" x14ac:dyDescent="0.25">
      <c r="C986" s="14"/>
      <c r="D986" s="14"/>
      <c r="E986" s="14"/>
      <c r="F986" s="14"/>
      <c r="G986" s="15"/>
      <c r="H986" s="15"/>
      <c r="I986" s="15"/>
      <c r="J986" s="15"/>
    </row>
    <row r="987" spans="3:10" ht="20.100000000000001" customHeight="1" x14ac:dyDescent="0.25">
      <c r="C987" s="14"/>
      <c r="D987" s="14"/>
      <c r="E987" s="14"/>
      <c r="F987" s="14"/>
      <c r="G987" s="15"/>
      <c r="H987" s="15"/>
      <c r="I987" s="15"/>
      <c r="J987" s="15"/>
    </row>
    <row r="988" spans="3:10" ht="20.100000000000001" customHeight="1" x14ac:dyDescent="0.25">
      <c r="C988" s="14"/>
      <c r="D988" s="14"/>
      <c r="E988" s="14"/>
      <c r="F988" s="14"/>
      <c r="G988" s="15"/>
      <c r="H988" s="15"/>
      <c r="I988" s="15"/>
      <c r="J988" s="15"/>
    </row>
    <row r="989" spans="3:10" ht="20.100000000000001" customHeight="1" x14ac:dyDescent="0.25">
      <c r="C989" s="14"/>
      <c r="D989" s="14"/>
      <c r="E989" s="14"/>
      <c r="F989" s="14"/>
      <c r="G989" s="15"/>
      <c r="H989" s="15"/>
      <c r="I989" s="15"/>
      <c r="J989" s="15"/>
    </row>
    <row r="990" spans="3:10" ht="20.100000000000001" customHeight="1" x14ac:dyDescent="0.25">
      <c r="C990" s="14"/>
      <c r="D990" s="14"/>
      <c r="E990" s="14"/>
      <c r="F990" s="14"/>
      <c r="G990" s="15"/>
      <c r="H990" s="15"/>
      <c r="I990" s="15"/>
      <c r="J990" s="15"/>
    </row>
    <row r="991" spans="3:10" ht="20.100000000000001" customHeight="1" x14ac:dyDescent="0.25">
      <c r="C991" s="14"/>
      <c r="D991" s="14"/>
      <c r="E991" s="14"/>
      <c r="F991" s="14"/>
      <c r="G991" s="15"/>
      <c r="H991" s="15"/>
      <c r="I991" s="15"/>
      <c r="J991" s="15"/>
    </row>
    <row r="992" spans="3:10" ht="20.100000000000001" customHeight="1" x14ac:dyDescent="0.25">
      <c r="C992" s="14"/>
      <c r="D992" s="14"/>
      <c r="E992" s="14"/>
      <c r="F992" s="14"/>
      <c r="G992" s="15"/>
      <c r="H992" s="15"/>
      <c r="I992" s="15"/>
      <c r="J992" s="15"/>
    </row>
    <row r="993" spans="3:10" ht="20.100000000000001" customHeight="1" x14ac:dyDescent="0.25">
      <c r="C993" s="14"/>
      <c r="D993" s="14"/>
      <c r="E993" s="14"/>
      <c r="F993" s="14"/>
      <c r="G993" s="15"/>
      <c r="H993" s="15"/>
      <c r="I993" s="15"/>
      <c r="J993" s="15"/>
    </row>
    <row r="994" spans="3:10" ht="20.100000000000001" customHeight="1" x14ac:dyDescent="0.25">
      <c r="C994" s="14"/>
      <c r="D994" s="14"/>
      <c r="E994" s="14"/>
      <c r="F994" s="14"/>
      <c r="G994" s="15"/>
      <c r="H994" s="15"/>
      <c r="I994" s="15"/>
      <c r="J994" s="15"/>
    </row>
    <row r="995" spans="3:10" ht="20.100000000000001" customHeight="1" x14ac:dyDescent="0.25">
      <c r="C995" s="14"/>
      <c r="D995" s="14"/>
      <c r="E995" s="14"/>
      <c r="F995" s="14"/>
      <c r="G995" s="15"/>
      <c r="H995" s="15"/>
      <c r="I995" s="15"/>
      <c r="J995" s="15"/>
    </row>
    <row r="996" spans="3:10" ht="20.100000000000001" customHeight="1" x14ac:dyDescent="0.25">
      <c r="C996" s="14"/>
      <c r="D996" s="14"/>
      <c r="E996" s="14"/>
      <c r="F996" s="14"/>
      <c r="G996" s="15"/>
      <c r="H996" s="15"/>
      <c r="I996" s="15"/>
      <c r="J996" s="15"/>
    </row>
    <row r="997" spans="3:10" ht="20.100000000000001" customHeight="1" x14ac:dyDescent="0.25">
      <c r="C997" s="14"/>
      <c r="D997" s="14"/>
      <c r="E997" s="14"/>
      <c r="F997" s="14"/>
      <c r="G997" s="15"/>
      <c r="H997" s="15"/>
      <c r="I997" s="15"/>
      <c r="J997" s="15"/>
    </row>
    <row r="998" spans="3:10" ht="20.100000000000001" customHeight="1" x14ac:dyDescent="0.25">
      <c r="C998" s="14"/>
      <c r="D998" s="14"/>
      <c r="E998" s="14"/>
      <c r="F998" s="14"/>
      <c r="G998" s="15"/>
      <c r="H998" s="15"/>
      <c r="I998" s="15"/>
      <c r="J998" s="15"/>
    </row>
    <row r="999" spans="3:10" ht="20.100000000000001" customHeight="1" x14ac:dyDescent="0.25">
      <c r="C999" s="14"/>
      <c r="D999" s="14"/>
      <c r="E999" s="14"/>
      <c r="F999" s="14"/>
      <c r="G999" s="15"/>
      <c r="H999" s="15"/>
      <c r="I999" s="15"/>
      <c r="J999" s="15"/>
    </row>
    <row r="1000" spans="3:10" ht="20.100000000000001" customHeight="1" x14ac:dyDescent="0.25">
      <c r="C1000" s="14"/>
      <c r="D1000" s="14"/>
      <c r="E1000" s="14"/>
      <c r="F1000" s="14"/>
      <c r="G1000" s="15"/>
      <c r="H1000" s="15"/>
      <c r="I1000" s="15"/>
      <c r="J1000" s="15"/>
    </row>
    <row r="1001" spans="3:10" x14ac:dyDescent="0.25">
      <c r="E1001"/>
      <c r="F1001"/>
      <c r="G1001" s="12"/>
      <c r="H1001" s="12"/>
      <c r="I1001" s="12"/>
      <c r="J1001" s="12"/>
    </row>
    <row r="1002" spans="3:10" x14ac:dyDescent="0.25">
      <c r="E1002"/>
      <c r="F1002"/>
      <c r="G1002" s="12"/>
      <c r="H1002" s="12"/>
      <c r="I1002" s="12"/>
      <c r="J1002" s="12"/>
    </row>
    <row r="1003" spans="3:10" x14ac:dyDescent="0.25">
      <c r="E1003"/>
      <c r="F1003"/>
      <c r="G1003" s="12"/>
      <c r="H1003" s="12"/>
      <c r="I1003" s="12"/>
      <c r="J1003" s="12"/>
    </row>
    <row r="1004" spans="3:10" x14ac:dyDescent="0.25">
      <c r="E1004"/>
      <c r="F1004"/>
      <c r="G1004" s="12"/>
      <c r="H1004" s="12"/>
      <c r="I1004" s="12"/>
      <c r="J1004" s="12"/>
    </row>
    <row r="1005" spans="3:10" x14ac:dyDescent="0.25">
      <c r="E1005"/>
      <c r="F1005"/>
      <c r="G1005" s="12"/>
      <c r="H1005" s="12"/>
      <c r="I1005" s="12"/>
      <c r="J1005" s="12"/>
    </row>
    <row r="1006" spans="3:10" x14ac:dyDescent="0.25">
      <c r="E1006"/>
      <c r="F1006"/>
      <c r="G1006" s="12"/>
      <c r="H1006" s="12"/>
      <c r="I1006" s="12"/>
      <c r="J1006" s="12"/>
    </row>
    <row r="1007" spans="3:10" x14ac:dyDescent="0.25">
      <c r="E1007"/>
      <c r="F1007"/>
      <c r="G1007" s="12"/>
      <c r="H1007" s="12"/>
      <c r="I1007" s="12"/>
      <c r="J1007" s="12"/>
    </row>
    <row r="1008" spans="3:10" x14ac:dyDescent="0.25">
      <c r="E1008"/>
      <c r="F1008"/>
      <c r="G1008" s="12"/>
      <c r="H1008" s="12"/>
      <c r="I1008" s="12"/>
      <c r="J1008" s="12"/>
    </row>
    <row r="1009" spans="5:10" x14ac:dyDescent="0.25">
      <c r="E1009"/>
      <c r="F1009"/>
      <c r="G1009" s="12"/>
      <c r="H1009" s="12"/>
      <c r="I1009" s="12"/>
      <c r="J1009" s="12"/>
    </row>
    <row r="1010" spans="5:10" x14ac:dyDescent="0.25">
      <c r="E1010"/>
      <c r="F1010"/>
      <c r="G1010" s="12"/>
      <c r="H1010" s="12"/>
      <c r="I1010" s="12"/>
      <c r="J1010" s="12"/>
    </row>
    <row r="1011" spans="5:10" x14ac:dyDescent="0.25">
      <c r="E1011"/>
      <c r="F1011"/>
      <c r="G1011" s="12"/>
      <c r="H1011" s="12"/>
      <c r="I1011" s="12"/>
      <c r="J1011" s="12"/>
    </row>
    <row r="1012" spans="5:10" x14ac:dyDescent="0.25">
      <c r="E1012"/>
      <c r="F1012"/>
      <c r="G1012" s="12"/>
      <c r="H1012" s="12"/>
      <c r="I1012" s="12"/>
      <c r="J1012" s="12"/>
    </row>
    <row r="1013" spans="5:10" x14ac:dyDescent="0.25">
      <c r="E1013"/>
      <c r="F1013"/>
      <c r="G1013" s="12"/>
      <c r="H1013" s="12"/>
      <c r="I1013" s="12"/>
      <c r="J1013" s="12"/>
    </row>
    <row r="1014" spans="5:10" x14ac:dyDescent="0.25">
      <c r="E1014"/>
      <c r="F1014"/>
      <c r="G1014" s="12"/>
      <c r="H1014" s="12"/>
      <c r="I1014" s="12"/>
      <c r="J1014" s="12"/>
    </row>
    <row r="1015" spans="5:10" x14ac:dyDescent="0.25">
      <c r="E1015"/>
      <c r="F1015"/>
      <c r="G1015" s="12"/>
      <c r="H1015" s="12"/>
      <c r="I1015" s="12"/>
      <c r="J1015" s="12"/>
    </row>
    <row r="1016" spans="5:10" x14ac:dyDescent="0.25">
      <c r="E1016"/>
      <c r="F1016"/>
      <c r="G1016" s="12"/>
      <c r="H1016" s="12"/>
      <c r="I1016" s="12"/>
      <c r="J1016" s="12"/>
    </row>
    <row r="1017" spans="5:10" x14ac:dyDescent="0.25">
      <c r="E1017"/>
      <c r="F1017"/>
      <c r="G1017" s="12"/>
      <c r="H1017" s="12"/>
      <c r="I1017" s="12"/>
      <c r="J1017" s="12"/>
    </row>
    <row r="1018" spans="5:10" x14ac:dyDescent="0.25">
      <c r="E1018"/>
      <c r="F1018"/>
      <c r="G1018" s="12"/>
      <c r="H1018" s="12"/>
      <c r="I1018" s="12"/>
      <c r="J1018" s="12"/>
    </row>
    <row r="1019" spans="5:10" x14ac:dyDescent="0.25">
      <c r="E1019"/>
      <c r="F1019"/>
      <c r="G1019" s="12"/>
      <c r="H1019" s="12"/>
      <c r="I1019" s="12"/>
      <c r="J1019" s="12"/>
    </row>
    <row r="1020" spans="5:10" x14ac:dyDescent="0.25">
      <c r="E1020"/>
      <c r="F1020"/>
      <c r="G1020" s="12"/>
      <c r="H1020" s="12"/>
      <c r="I1020" s="12"/>
      <c r="J1020" s="12"/>
    </row>
    <row r="1021" spans="5:10" x14ac:dyDescent="0.25">
      <c r="E1021"/>
      <c r="F1021"/>
      <c r="G1021" s="12"/>
      <c r="H1021" s="12"/>
      <c r="I1021" s="12"/>
      <c r="J1021" s="12"/>
    </row>
    <row r="1022" spans="5:10" x14ac:dyDescent="0.25">
      <c r="E1022"/>
      <c r="F1022"/>
      <c r="G1022" s="12"/>
      <c r="H1022" s="12"/>
      <c r="I1022" s="12"/>
      <c r="J1022" s="12"/>
    </row>
    <row r="1023" spans="5:10" x14ac:dyDescent="0.25">
      <c r="E1023"/>
      <c r="F1023"/>
      <c r="G1023" s="12"/>
      <c r="H1023" s="12"/>
      <c r="I1023" s="12"/>
      <c r="J1023" s="12"/>
    </row>
    <row r="1024" spans="5:10" x14ac:dyDescent="0.25">
      <c r="E1024"/>
      <c r="F1024"/>
      <c r="G1024" s="12"/>
      <c r="H1024" s="12"/>
      <c r="I1024" s="12"/>
      <c r="J1024" s="12"/>
    </row>
    <row r="1025" spans="5:10" x14ac:dyDescent="0.25">
      <c r="E1025"/>
      <c r="F1025"/>
      <c r="G1025" s="12"/>
      <c r="H1025" s="12"/>
      <c r="I1025" s="12"/>
      <c r="J1025" s="12"/>
    </row>
    <row r="1026" spans="5:10" x14ac:dyDescent="0.25">
      <c r="E1026"/>
      <c r="F1026"/>
      <c r="G1026" s="12"/>
      <c r="H1026" s="12"/>
      <c r="I1026" s="12"/>
      <c r="J1026" s="12"/>
    </row>
    <row r="1027" spans="5:10" x14ac:dyDescent="0.25">
      <c r="E1027"/>
      <c r="F1027"/>
      <c r="G1027" s="12"/>
      <c r="H1027" s="12"/>
      <c r="I1027" s="12"/>
      <c r="J1027" s="12"/>
    </row>
    <row r="1028" spans="5:10" x14ac:dyDescent="0.25">
      <c r="E1028"/>
      <c r="F1028"/>
      <c r="G1028" s="12"/>
      <c r="H1028" s="12"/>
      <c r="I1028" s="12"/>
      <c r="J1028" s="12"/>
    </row>
    <row r="1029" spans="5:10" x14ac:dyDescent="0.25">
      <c r="E1029"/>
      <c r="F1029"/>
      <c r="G1029" s="12"/>
      <c r="H1029" s="12"/>
      <c r="I1029" s="12"/>
      <c r="J1029" s="12"/>
    </row>
    <row r="1030" spans="5:10" x14ac:dyDescent="0.25">
      <c r="E1030"/>
      <c r="F1030"/>
      <c r="G1030" s="12"/>
      <c r="H1030" s="12"/>
      <c r="I1030" s="12"/>
      <c r="J1030" s="12"/>
    </row>
    <row r="1031" spans="5:10" x14ac:dyDescent="0.25">
      <c r="E1031"/>
      <c r="F1031"/>
      <c r="G1031" s="12"/>
      <c r="H1031" s="12"/>
      <c r="I1031" s="12"/>
      <c r="J1031" s="12"/>
    </row>
    <row r="1032" spans="5:10" x14ac:dyDescent="0.25">
      <c r="E1032"/>
      <c r="F1032"/>
      <c r="G1032" s="12"/>
      <c r="H1032" s="12"/>
      <c r="I1032" s="12"/>
      <c r="J1032" s="12"/>
    </row>
    <row r="1033" spans="5:10" x14ac:dyDescent="0.25">
      <c r="E1033"/>
      <c r="F1033"/>
      <c r="G1033" s="12"/>
      <c r="H1033" s="12"/>
      <c r="I1033" s="12"/>
      <c r="J1033" s="12"/>
    </row>
    <row r="1034" spans="5:10" x14ac:dyDescent="0.25">
      <c r="E1034"/>
      <c r="F1034"/>
      <c r="G1034" s="12"/>
      <c r="H1034" s="12"/>
      <c r="I1034" s="12"/>
      <c r="J1034" s="12"/>
    </row>
    <row r="1035" spans="5:10" x14ac:dyDescent="0.25">
      <c r="E1035"/>
      <c r="F1035"/>
      <c r="G1035" s="12"/>
      <c r="H1035" s="12"/>
      <c r="I1035" s="12"/>
      <c r="J1035" s="12"/>
    </row>
    <row r="1036" spans="5:10" x14ac:dyDescent="0.25">
      <c r="E1036"/>
      <c r="F1036"/>
      <c r="G1036" s="12"/>
      <c r="H1036" s="12"/>
      <c r="I1036" s="12"/>
      <c r="J1036" s="12"/>
    </row>
    <row r="1037" spans="5:10" x14ac:dyDescent="0.25">
      <c r="E1037"/>
      <c r="F1037"/>
      <c r="G1037" s="12"/>
      <c r="H1037" s="12"/>
      <c r="I1037" s="12"/>
      <c r="J1037" s="12"/>
    </row>
    <row r="1038" spans="5:10" x14ac:dyDescent="0.25">
      <c r="E1038"/>
      <c r="F1038"/>
      <c r="G1038" s="12"/>
      <c r="H1038" s="12"/>
      <c r="I1038" s="12"/>
      <c r="J1038" s="12"/>
    </row>
    <row r="1039" spans="5:10" x14ac:dyDescent="0.25">
      <c r="E1039"/>
      <c r="F1039"/>
      <c r="G1039" s="12"/>
      <c r="H1039" s="12"/>
      <c r="I1039" s="12"/>
      <c r="J1039" s="12"/>
    </row>
    <row r="1040" spans="5:10" x14ac:dyDescent="0.25">
      <c r="E1040"/>
      <c r="F1040"/>
      <c r="G1040" s="12"/>
      <c r="H1040" s="12"/>
      <c r="I1040" s="12"/>
      <c r="J1040" s="12"/>
    </row>
    <row r="1041" spans="5:10" x14ac:dyDescent="0.25">
      <c r="E1041"/>
      <c r="F1041"/>
      <c r="G1041" s="12"/>
      <c r="H1041" s="12"/>
      <c r="I1041" s="12"/>
      <c r="J1041" s="12"/>
    </row>
    <row r="1042" spans="5:10" x14ac:dyDescent="0.25">
      <c r="E1042"/>
      <c r="F1042"/>
      <c r="G1042" s="12"/>
      <c r="H1042" s="12"/>
      <c r="I1042" s="12"/>
      <c r="J1042" s="12"/>
    </row>
    <row r="1043" spans="5:10" x14ac:dyDescent="0.25">
      <c r="E1043"/>
      <c r="F1043"/>
      <c r="G1043" s="12"/>
      <c r="H1043" s="12"/>
      <c r="I1043" s="12"/>
      <c r="J1043" s="12"/>
    </row>
    <row r="1044" spans="5:10" x14ac:dyDescent="0.25">
      <c r="E1044"/>
      <c r="F1044"/>
      <c r="G1044" s="12"/>
      <c r="H1044" s="12"/>
      <c r="I1044" s="12"/>
      <c r="J1044" s="12"/>
    </row>
    <row r="1045" spans="5:10" x14ac:dyDescent="0.25">
      <c r="E1045"/>
      <c r="F1045"/>
      <c r="G1045" s="12"/>
      <c r="H1045" s="12"/>
      <c r="I1045" s="12"/>
      <c r="J1045" s="12"/>
    </row>
    <row r="1046" spans="5:10" x14ac:dyDescent="0.25">
      <c r="E1046"/>
      <c r="F1046"/>
      <c r="G1046" s="12"/>
      <c r="H1046" s="12"/>
      <c r="I1046" s="12"/>
      <c r="J1046" s="12"/>
    </row>
    <row r="1047" spans="5:10" x14ac:dyDescent="0.25">
      <c r="E1047"/>
      <c r="F1047"/>
      <c r="G1047" s="12"/>
      <c r="H1047" s="12"/>
      <c r="I1047" s="12"/>
      <c r="J1047" s="12"/>
    </row>
    <row r="1048" spans="5:10" x14ac:dyDescent="0.25">
      <c r="E1048"/>
      <c r="F1048"/>
      <c r="G1048" s="12"/>
      <c r="H1048" s="12"/>
      <c r="I1048" s="12"/>
      <c r="J1048" s="12"/>
    </row>
    <row r="1049" spans="5:10" x14ac:dyDescent="0.25">
      <c r="E1049"/>
      <c r="F1049"/>
      <c r="G1049" s="12"/>
      <c r="H1049" s="12"/>
      <c r="I1049" s="12"/>
      <c r="J1049" s="12"/>
    </row>
    <row r="1050" spans="5:10" x14ac:dyDescent="0.25">
      <c r="E1050"/>
      <c r="F1050"/>
      <c r="G1050" s="12"/>
      <c r="H1050" s="12"/>
      <c r="I1050" s="12"/>
      <c r="J1050" s="12"/>
    </row>
    <row r="1051" spans="5:10" x14ac:dyDescent="0.25">
      <c r="E1051"/>
      <c r="F1051"/>
      <c r="G1051" s="12"/>
      <c r="H1051" s="12"/>
      <c r="I1051" s="12"/>
      <c r="J1051" s="12"/>
    </row>
    <row r="1052" spans="5:10" x14ac:dyDescent="0.25">
      <c r="E1052"/>
      <c r="F1052"/>
      <c r="G1052" s="12"/>
      <c r="H1052" s="12"/>
      <c r="I1052" s="12"/>
      <c r="J1052" s="12"/>
    </row>
    <row r="1053" spans="5:10" x14ac:dyDescent="0.25">
      <c r="E1053"/>
      <c r="F1053"/>
      <c r="G1053" s="12"/>
      <c r="H1053" s="12"/>
      <c r="I1053" s="12"/>
      <c r="J1053" s="12"/>
    </row>
    <row r="1054" spans="5:10" x14ac:dyDescent="0.25">
      <c r="E1054"/>
      <c r="F1054"/>
      <c r="G1054" s="12"/>
      <c r="H1054" s="12"/>
      <c r="I1054" s="12"/>
      <c r="J1054" s="12"/>
    </row>
    <row r="1055" spans="5:10" x14ac:dyDescent="0.25">
      <c r="E1055"/>
      <c r="F1055"/>
      <c r="G1055" s="12"/>
      <c r="H1055" s="12"/>
      <c r="I1055" s="12"/>
      <c r="J1055" s="12"/>
    </row>
    <row r="1056" spans="5:10" x14ac:dyDescent="0.25">
      <c r="E1056"/>
      <c r="F1056"/>
      <c r="G1056" s="12"/>
      <c r="H1056" s="12"/>
      <c r="I1056" s="12"/>
      <c r="J1056" s="12"/>
    </row>
    <row r="1057" spans="5:10" x14ac:dyDescent="0.25">
      <c r="E1057"/>
      <c r="F1057"/>
      <c r="G1057" s="12"/>
      <c r="H1057" s="12"/>
      <c r="I1057" s="12"/>
      <c r="J1057" s="12"/>
    </row>
    <row r="1058" spans="5:10" x14ac:dyDescent="0.25">
      <c r="E1058"/>
      <c r="F1058"/>
      <c r="G1058" s="12"/>
      <c r="H1058" s="12"/>
      <c r="I1058" s="12"/>
      <c r="J1058" s="12"/>
    </row>
    <row r="1059" spans="5:10" x14ac:dyDescent="0.25">
      <c r="E1059"/>
      <c r="F1059"/>
      <c r="G1059" s="12"/>
      <c r="H1059" s="12"/>
      <c r="I1059" s="12"/>
      <c r="J1059" s="12"/>
    </row>
    <row r="1060" spans="5:10" x14ac:dyDescent="0.25">
      <c r="E1060"/>
      <c r="F1060"/>
      <c r="G1060" s="12"/>
      <c r="H1060" s="12"/>
      <c r="I1060" s="12"/>
      <c r="J1060" s="12"/>
    </row>
    <row r="1061" spans="5:10" x14ac:dyDescent="0.25">
      <c r="E1061"/>
      <c r="F1061"/>
      <c r="G1061" s="12"/>
      <c r="H1061" s="12"/>
      <c r="I1061" s="12"/>
      <c r="J1061" s="12"/>
    </row>
    <row r="1062" spans="5:10" x14ac:dyDescent="0.25">
      <c r="E1062"/>
      <c r="F1062"/>
      <c r="G1062" s="12"/>
      <c r="H1062" s="12"/>
      <c r="I1062" s="12"/>
      <c r="J1062" s="12"/>
    </row>
    <row r="1063" spans="5:10" x14ac:dyDescent="0.25">
      <c r="E1063"/>
      <c r="F1063"/>
      <c r="G1063" s="12"/>
      <c r="H1063" s="12"/>
      <c r="I1063" s="12"/>
      <c r="J1063" s="12"/>
    </row>
    <row r="1064" spans="5:10" x14ac:dyDescent="0.25">
      <c r="E1064"/>
      <c r="F1064"/>
      <c r="G1064" s="12"/>
      <c r="H1064" s="12"/>
      <c r="I1064" s="12"/>
      <c r="J1064" s="12"/>
    </row>
    <row r="1065" spans="5:10" x14ac:dyDescent="0.25">
      <c r="E1065"/>
      <c r="F1065"/>
      <c r="G1065" s="12"/>
      <c r="H1065" s="12"/>
      <c r="I1065" s="12"/>
      <c r="J1065" s="12"/>
    </row>
    <row r="1066" spans="5:10" x14ac:dyDescent="0.25">
      <c r="E1066"/>
      <c r="F1066"/>
      <c r="G1066" s="12"/>
      <c r="H1066" s="12"/>
      <c r="I1066" s="12"/>
      <c r="J1066" s="12"/>
    </row>
    <row r="1067" spans="5:10" x14ac:dyDescent="0.25">
      <c r="E1067"/>
      <c r="F1067"/>
      <c r="G1067" s="12"/>
      <c r="H1067" s="12"/>
      <c r="I1067" s="12"/>
      <c r="J1067" s="12"/>
    </row>
    <row r="1068" spans="5:10" x14ac:dyDescent="0.25">
      <c r="E1068"/>
      <c r="F1068"/>
      <c r="G1068" s="12"/>
      <c r="H1068" s="12"/>
      <c r="I1068" s="12"/>
      <c r="J1068" s="12"/>
    </row>
    <row r="1069" spans="5:10" x14ac:dyDescent="0.25">
      <c r="E1069"/>
      <c r="F1069"/>
      <c r="G1069" s="12"/>
      <c r="H1069" s="12"/>
      <c r="I1069" s="12"/>
      <c r="J1069" s="12"/>
    </row>
    <row r="1070" spans="5:10" x14ac:dyDescent="0.25">
      <c r="E1070"/>
      <c r="F1070"/>
      <c r="G1070" s="12"/>
      <c r="H1070" s="12"/>
      <c r="I1070" s="12"/>
      <c r="J1070" s="12"/>
    </row>
    <row r="1071" spans="5:10" x14ac:dyDescent="0.25">
      <c r="E1071"/>
      <c r="F1071"/>
      <c r="G1071" s="12"/>
      <c r="H1071" s="12"/>
      <c r="I1071" s="12"/>
      <c r="J1071" s="12"/>
    </row>
    <row r="1072" spans="5:10" x14ac:dyDescent="0.25">
      <c r="E1072"/>
      <c r="F1072"/>
      <c r="G1072" s="12"/>
      <c r="H1072" s="12"/>
      <c r="I1072" s="12"/>
      <c r="J1072" s="12"/>
    </row>
    <row r="1073" spans="5:10" x14ac:dyDescent="0.25">
      <c r="E1073"/>
      <c r="F1073"/>
      <c r="G1073" s="12"/>
      <c r="H1073" s="12"/>
      <c r="I1073" s="12"/>
      <c r="J1073" s="12"/>
    </row>
    <row r="1074" spans="5:10" x14ac:dyDescent="0.25">
      <c r="E1074"/>
      <c r="F1074"/>
      <c r="G1074" s="12"/>
      <c r="H1074" s="12"/>
      <c r="I1074" s="12"/>
      <c r="J1074" s="12"/>
    </row>
    <row r="1075" spans="5:10" x14ac:dyDescent="0.25">
      <c r="E1075"/>
      <c r="F1075"/>
      <c r="G1075" s="12"/>
      <c r="H1075" s="12"/>
      <c r="I1075" s="12"/>
      <c r="J1075" s="12"/>
    </row>
    <row r="1076" spans="5:10" x14ac:dyDescent="0.25">
      <c r="E1076"/>
      <c r="F1076"/>
      <c r="G1076" s="12"/>
      <c r="H1076" s="12"/>
      <c r="I1076" s="12"/>
      <c r="J1076" s="12"/>
    </row>
    <row r="1077" spans="5:10" x14ac:dyDescent="0.25">
      <c r="E1077"/>
      <c r="F1077"/>
      <c r="G1077" s="12"/>
      <c r="H1077" s="12"/>
      <c r="I1077" s="12"/>
      <c r="J1077" s="12"/>
    </row>
    <row r="1078" spans="5:10" x14ac:dyDescent="0.25">
      <c r="E1078"/>
      <c r="F1078"/>
      <c r="G1078" s="12"/>
      <c r="H1078" s="12"/>
      <c r="I1078" s="12"/>
      <c r="J1078" s="12"/>
    </row>
    <row r="1079" spans="5:10" x14ac:dyDescent="0.25">
      <c r="E1079"/>
      <c r="F1079"/>
      <c r="G1079" s="12"/>
      <c r="H1079" s="12"/>
      <c r="I1079" s="12"/>
      <c r="J1079" s="12"/>
    </row>
    <row r="1080" spans="5:10" x14ac:dyDescent="0.25">
      <c r="E1080"/>
      <c r="F1080"/>
      <c r="G1080" s="12"/>
      <c r="H1080" s="12"/>
      <c r="I1080" s="12"/>
      <c r="J1080" s="12"/>
    </row>
    <row r="1081" spans="5:10" x14ac:dyDescent="0.25">
      <c r="E1081"/>
      <c r="F1081"/>
      <c r="G1081" s="12"/>
      <c r="H1081" s="12"/>
      <c r="I1081" s="12"/>
      <c r="J1081" s="12"/>
    </row>
    <row r="1082" spans="5:10" x14ac:dyDescent="0.25">
      <c r="E1082"/>
      <c r="F1082"/>
      <c r="G1082" s="12"/>
      <c r="H1082" s="12"/>
      <c r="I1082" s="12"/>
      <c r="J1082" s="12"/>
    </row>
    <row r="1083" spans="5:10" x14ac:dyDescent="0.25">
      <c r="E1083"/>
      <c r="F1083"/>
      <c r="G1083" s="12"/>
      <c r="H1083" s="12"/>
      <c r="I1083" s="12"/>
      <c r="J1083" s="12"/>
    </row>
    <row r="1084" spans="5:10" x14ac:dyDescent="0.25">
      <c r="E1084"/>
      <c r="F1084"/>
      <c r="G1084" s="12"/>
      <c r="H1084" s="12"/>
      <c r="I1084" s="12"/>
      <c r="J1084" s="12"/>
    </row>
    <row r="1085" spans="5:10" x14ac:dyDescent="0.25">
      <c r="E1085"/>
      <c r="F1085"/>
      <c r="G1085" s="12"/>
      <c r="H1085" s="12"/>
      <c r="I1085" s="12"/>
      <c r="J1085" s="12"/>
    </row>
    <row r="1086" spans="5:10" x14ac:dyDescent="0.25">
      <c r="E1086"/>
      <c r="F1086"/>
      <c r="G1086" s="12"/>
      <c r="H1086" s="12"/>
      <c r="I1086" s="12"/>
      <c r="J1086" s="12"/>
    </row>
    <row r="1087" spans="5:10" x14ac:dyDescent="0.25">
      <c r="E1087"/>
      <c r="F1087"/>
      <c r="G1087" s="12"/>
      <c r="H1087" s="12"/>
      <c r="I1087" s="12"/>
      <c r="J1087" s="12"/>
    </row>
    <row r="1088" spans="5:10" x14ac:dyDescent="0.25">
      <c r="E1088"/>
      <c r="F1088"/>
      <c r="G1088" s="12"/>
      <c r="H1088" s="12"/>
      <c r="I1088" s="12"/>
      <c r="J1088" s="12"/>
    </row>
    <row r="1089" spans="5:10" x14ac:dyDescent="0.25">
      <c r="E1089"/>
      <c r="F1089"/>
      <c r="G1089" s="12"/>
      <c r="H1089" s="12"/>
      <c r="I1089" s="12"/>
      <c r="J1089" s="12"/>
    </row>
    <row r="1090" spans="5:10" x14ac:dyDescent="0.25">
      <c r="E1090"/>
      <c r="F1090"/>
      <c r="G1090" s="12"/>
      <c r="H1090" s="12"/>
      <c r="I1090" s="12"/>
      <c r="J1090" s="12"/>
    </row>
    <row r="1091" spans="5:10" x14ac:dyDescent="0.25">
      <c r="E1091"/>
      <c r="F1091"/>
      <c r="G1091" s="12"/>
      <c r="H1091" s="12"/>
      <c r="I1091" s="12"/>
      <c r="J1091" s="12"/>
    </row>
    <row r="1092" spans="5:10" x14ac:dyDescent="0.25">
      <c r="E1092"/>
      <c r="F1092"/>
      <c r="G1092" s="12"/>
      <c r="H1092" s="12"/>
      <c r="I1092" s="12"/>
      <c r="J1092" s="12"/>
    </row>
    <row r="1093" spans="5:10" x14ac:dyDescent="0.25">
      <c r="E1093"/>
      <c r="F1093"/>
      <c r="G1093" s="12"/>
      <c r="H1093" s="12"/>
      <c r="I1093" s="12"/>
      <c r="J1093" s="12"/>
    </row>
    <row r="1094" spans="5:10" x14ac:dyDescent="0.25">
      <c r="E1094"/>
      <c r="F1094"/>
      <c r="G1094" s="12"/>
      <c r="H1094" s="12"/>
      <c r="I1094" s="12"/>
      <c r="J1094" s="12"/>
    </row>
    <row r="1095" spans="5:10" x14ac:dyDescent="0.25">
      <c r="E1095"/>
      <c r="F1095"/>
      <c r="G1095" s="12"/>
      <c r="H1095" s="12"/>
      <c r="I1095" s="12"/>
      <c r="J1095" s="12"/>
    </row>
    <row r="1096" spans="5:10" x14ac:dyDescent="0.25">
      <c r="E1096"/>
      <c r="F1096"/>
      <c r="G1096" s="12"/>
      <c r="H1096" s="12"/>
      <c r="I1096" s="12"/>
      <c r="J1096" s="12"/>
    </row>
    <row r="1097" spans="5:10" x14ac:dyDescent="0.25">
      <c r="E1097"/>
      <c r="F1097"/>
      <c r="G1097" s="12"/>
      <c r="H1097" s="12"/>
      <c r="I1097" s="12"/>
      <c r="J1097" s="12"/>
    </row>
    <row r="1098" spans="5:10" x14ac:dyDescent="0.25">
      <c r="E1098"/>
      <c r="F1098"/>
      <c r="G1098" s="12"/>
      <c r="H1098" s="12"/>
      <c r="I1098" s="12"/>
      <c r="J1098" s="12"/>
    </row>
    <row r="1099" spans="5:10" x14ac:dyDescent="0.25">
      <c r="E1099"/>
      <c r="F1099"/>
      <c r="G1099" s="12"/>
      <c r="H1099" s="12"/>
      <c r="I1099" s="12"/>
      <c r="J1099" s="12"/>
    </row>
    <row r="1100" spans="5:10" x14ac:dyDescent="0.25">
      <c r="E1100"/>
      <c r="F1100"/>
      <c r="G1100" s="12"/>
      <c r="H1100" s="12"/>
      <c r="I1100" s="12"/>
      <c r="J1100" s="12"/>
    </row>
    <row r="1101" spans="5:10" x14ac:dyDescent="0.25">
      <c r="E1101"/>
      <c r="F1101"/>
      <c r="G1101" s="12"/>
      <c r="H1101" s="12"/>
      <c r="I1101" s="12"/>
      <c r="J1101" s="12"/>
    </row>
    <row r="1102" spans="5:10" x14ac:dyDescent="0.25">
      <c r="E1102"/>
      <c r="F1102"/>
      <c r="G1102" s="12"/>
      <c r="H1102" s="12"/>
      <c r="I1102" s="12"/>
      <c r="J1102" s="12"/>
    </row>
    <row r="1103" spans="5:10" x14ac:dyDescent="0.25">
      <c r="E1103"/>
      <c r="F1103"/>
      <c r="G1103" s="12"/>
      <c r="H1103" s="12"/>
      <c r="I1103" s="12"/>
      <c r="J1103" s="12"/>
    </row>
    <row r="1104" spans="5:10" x14ac:dyDescent="0.25">
      <c r="E1104"/>
      <c r="F1104"/>
      <c r="G1104" s="12"/>
      <c r="H1104" s="12"/>
      <c r="I1104" s="12"/>
      <c r="J1104" s="12"/>
    </row>
    <row r="1105" spans="5:10" x14ac:dyDescent="0.25">
      <c r="E1105"/>
      <c r="F1105"/>
      <c r="G1105" s="12"/>
      <c r="H1105" s="12"/>
      <c r="I1105" s="12"/>
      <c r="J1105" s="12"/>
    </row>
    <row r="1106" spans="5:10" x14ac:dyDescent="0.25">
      <c r="E1106"/>
      <c r="F1106"/>
      <c r="G1106" s="12"/>
      <c r="H1106" s="12"/>
      <c r="I1106" s="12"/>
      <c r="J1106" s="12"/>
    </row>
    <row r="1107" spans="5:10" x14ac:dyDescent="0.25">
      <c r="E1107"/>
      <c r="F1107"/>
      <c r="G1107" s="12"/>
      <c r="H1107" s="12"/>
      <c r="I1107" s="12"/>
      <c r="J1107" s="12"/>
    </row>
    <row r="1108" spans="5:10" x14ac:dyDescent="0.25">
      <c r="E1108"/>
      <c r="F1108"/>
      <c r="G1108" s="12"/>
      <c r="H1108" s="12"/>
      <c r="I1108" s="12"/>
      <c r="J1108" s="12"/>
    </row>
    <row r="1109" spans="5:10" x14ac:dyDescent="0.25">
      <c r="E1109"/>
      <c r="F1109"/>
      <c r="G1109" s="12"/>
      <c r="H1109" s="12"/>
      <c r="I1109" s="12"/>
      <c r="J1109" s="12"/>
    </row>
    <row r="1110" spans="5:10" x14ac:dyDescent="0.25">
      <c r="E1110"/>
      <c r="F1110"/>
      <c r="G1110" s="12"/>
      <c r="H1110" s="12"/>
      <c r="I1110" s="12"/>
      <c r="J1110" s="12"/>
    </row>
    <row r="1111" spans="5:10" x14ac:dyDescent="0.25">
      <c r="E1111"/>
      <c r="F1111"/>
      <c r="G1111" s="12"/>
      <c r="H1111" s="12"/>
      <c r="I1111" s="12"/>
      <c r="J1111" s="12"/>
    </row>
    <row r="1112" spans="5:10" x14ac:dyDescent="0.25">
      <c r="E1112"/>
      <c r="F1112"/>
      <c r="G1112" s="12"/>
      <c r="H1112" s="12"/>
      <c r="I1112" s="12"/>
      <c r="J1112" s="12"/>
    </row>
    <row r="1113" spans="5:10" x14ac:dyDescent="0.25">
      <c r="E1113"/>
      <c r="F1113"/>
      <c r="G1113" s="12"/>
      <c r="H1113" s="12"/>
      <c r="I1113" s="12"/>
      <c r="J1113" s="12"/>
    </row>
    <row r="1114" spans="5:10" x14ac:dyDescent="0.25">
      <c r="E1114"/>
      <c r="F1114"/>
      <c r="G1114" s="12"/>
      <c r="H1114" s="12"/>
      <c r="I1114" s="12"/>
      <c r="J1114" s="12"/>
    </row>
    <row r="1115" spans="5:10" x14ac:dyDescent="0.25">
      <c r="E1115"/>
      <c r="F1115"/>
      <c r="G1115" s="12"/>
      <c r="H1115" s="12"/>
      <c r="I1115" s="12"/>
      <c r="J1115" s="12"/>
    </row>
    <row r="1116" spans="5:10" x14ac:dyDescent="0.25">
      <c r="E1116"/>
      <c r="F1116"/>
      <c r="G1116" s="12"/>
      <c r="H1116" s="12"/>
      <c r="I1116" s="12"/>
      <c r="J1116" s="12"/>
    </row>
    <row r="1117" spans="5:10" x14ac:dyDescent="0.25">
      <c r="E1117"/>
      <c r="F1117"/>
      <c r="G1117" s="12"/>
      <c r="H1117" s="12"/>
      <c r="I1117" s="12"/>
      <c r="J1117" s="12"/>
    </row>
    <row r="1118" spans="5:10" x14ac:dyDescent="0.25">
      <c r="E1118"/>
      <c r="F1118"/>
      <c r="G1118" s="12"/>
      <c r="H1118" s="12"/>
      <c r="I1118" s="12"/>
      <c r="J1118" s="12"/>
    </row>
    <row r="1119" spans="5:10" x14ac:dyDescent="0.25">
      <c r="E1119"/>
      <c r="F1119"/>
      <c r="G1119" s="12"/>
      <c r="H1119" s="12"/>
      <c r="I1119" s="12"/>
      <c r="J1119" s="12"/>
    </row>
    <row r="1120" spans="5:10" x14ac:dyDescent="0.25">
      <c r="E1120"/>
      <c r="F1120"/>
      <c r="G1120" s="12"/>
      <c r="H1120" s="12"/>
      <c r="I1120" s="12"/>
      <c r="J1120" s="12"/>
    </row>
    <row r="1121" spans="5:10" x14ac:dyDescent="0.25">
      <c r="E1121"/>
      <c r="F1121"/>
      <c r="G1121" s="12"/>
      <c r="H1121" s="12"/>
      <c r="I1121" s="12"/>
      <c r="J1121" s="12"/>
    </row>
    <row r="1122" spans="5:10" x14ac:dyDescent="0.25">
      <c r="E1122"/>
      <c r="F1122"/>
      <c r="G1122" s="12"/>
      <c r="H1122" s="12"/>
      <c r="I1122" s="12"/>
      <c r="J1122" s="12"/>
    </row>
    <row r="1123" spans="5:10" x14ac:dyDescent="0.25">
      <c r="E1123"/>
      <c r="F1123"/>
      <c r="G1123" s="12"/>
      <c r="H1123" s="12"/>
      <c r="I1123" s="12"/>
      <c r="J1123" s="12"/>
    </row>
    <row r="1124" spans="5:10" x14ac:dyDescent="0.25">
      <c r="E1124"/>
      <c r="F1124"/>
      <c r="G1124" s="12"/>
      <c r="H1124" s="12"/>
      <c r="I1124" s="12"/>
      <c r="J1124" s="12"/>
    </row>
    <row r="1125" spans="5:10" x14ac:dyDescent="0.25">
      <c r="E1125"/>
      <c r="F1125"/>
      <c r="G1125" s="12"/>
      <c r="H1125" s="12"/>
      <c r="I1125" s="12"/>
      <c r="J1125" s="12"/>
    </row>
    <row r="1126" spans="5:10" x14ac:dyDescent="0.25">
      <c r="E1126"/>
      <c r="F1126"/>
      <c r="G1126" s="12"/>
      <c r="H1126" s="12"/>
      <c r="I1126" s="12"/>
      <c r="J1126" s="12"/>
    </row>
    <row r="1127" spans="5:10" x14ac:dyDescent="0.25">
      <c r="E1127"/>
      <c r="F1127"/>
      <c r="G1127" s="12"/>
      <c r="H1127" s="12"/>
      <c r="I1127" s="12"/>
      <c r="J1127" s="12"/>
    </row>
    <row r="1128" spans="5:10" x14ac:dyDescent="0.25">
      <c r="E1128"/>
      <c r="F1128"/>
      <c r="G1128" s="12"/>
      <c r="H1128" s="12"/>
      <c r="I1128" s="12"/>
      <c r="J1128" s="12"/>
    </row>
    <row r="1129" spans="5:10" x14ac:dyDescent="0.25">
      <c r="E1129"/>
      <c r="F1129"/>
      <c r="G1129" s="12"/>
      <c r="H1129" s="12"/>
      <c r="I1129" s="12"/>
      <c r="J1129" s="12"/>
    </row>
    <row r="1130" spans="5:10" x14ac:dyDescent="0.25">
      <c r="E1130"/>
      <c r="F1130"/>
      <c r="G1130" s="12"/>
      <c r="H1130" s="12"/>
      <c r="I1130" s="12"/>
      <c r="J1130" s="12"/>
    </row>
    <row r="1131" spans="5:10" x14ac:dyDescent="0.25">
      <c r="E1131"/>
      <c r="F1131"/>
      <c r="G1131" s="12"/>
      <c r="H1131" s="12"/>
      <c r="I1131" s="12"/>
      <c r="J1131" s="12"/>
    </row>
    <row r="1132" spans="5:10" x14ac:dyDescent="0.25">
      <c r="E1132"/>
      <c r="F1132"/>
      <c r="G1132" s="12"/>
      <c r="H1132" s="12"/>
      <c r="I1132" s="12"/>
      <c r="J1132" s="12"/>
    </row>
    <row r="1133" spans="5:10" x14ac:dyDescent="0.25">
      <c r="E1133"/>
      <c r="F1133"/>
      <c r="G1133" s="12"/>
      <c r="H1133" s="12"/>
      <c r="I1133" s="12"/>
      <c r="J1133" s="12"/>
    </row>
    <row r="1134" spans="5:10" x14ac:dyDescent="0.25">
      <c r="E1134"/>
      <c r="F1134"/>
      <c r="G1134" s="12"/>
      <c r="H1134" s="12"/>
      <c r="I1134" s="12"/>
      <c r="J1134" s="12"/>
    </row>
    <row r="1135" spans="5:10" x14ac:dyDescent="0.25">
      <c r="E1135"/>
      <c r="F1135"/>
      <c r="G1135" s="12"/>
      <c r="H1135" s="12"/>
      <c r="I1135" s="12"/>
      <c r="J1135" s="12"/>
    </row>
    <row r="1136" spans="5:10" x14ac:dyDescent="0.25">
      <c r="E1136"/>
      <c r="F1136"/>
      <c r="G1136" s="12"/>
      <c r="H1136" s="12"/>
      <c r="I1136" s="12"/>
      <c r="J1136" s="12"/>
    </row>
    <row r="1137" spans="5:10" x14ac:dyDescent="0.25">
      <c r="E1137"/>
      <c r="F1137"/>
      <c r="G1137" s="12"/>
      <c r="H1137" s="12"/>
      <c r="I1137" s="12"/>
      <c r="J1137" s="12"/>
    </row>
    <row r="1138" spans="5:10" x14ac:dyDescent="0.25">
      <c r="E1138"/>
      <c r="F1138"/>
      <c r="G1138" s="12"/>
      <c r="H1138" s="12"/>
      <c r="I1138" s="12"/>
      <c r="J1138" s="12"/>
    </row>
    <row r="1139" spans="5:10" x14ac:dyDescent="0.25">
      <c r="E1139"/>
      <c r="F1139"/>
      <c r="G1139" s="12"/>
      <c r="H1139" s="12"/>
      <c r="I1139" s="12"/>
      <c r="J1139" s="12"/>
    </row>
    <row r="1140" spans="5:10" x14ac:dyDescent="0.25">
      <c r="E1140"/>
      <c r="F1140"/>
      <c r="G1140" s="12"/>
      <c r="H1140" s="12"/>
      <c r="I1140" s="12"/>
      <c r="J1140" s="12"/>
    </row>
    <row r="1141" spans="5:10" x14ac:dyDescent="0.25">
      <c r="E1141"/>
      <c r="F1141"/>
      <c r="G1141" s="12"/>
      <c r="H1141" s="12"/>
      <c r="I1141" s="12"/>
      <c r="J1141" s="12"/>
    </row>
    <row r="1142" spans="5:10" x14ac:dyDescent="0.25">
      <c r="E1142"/>
      <c r="F1142"/>
      <c r="G1142" s="12"/>
      <c r="H1142" s="12"/>
      <c r="I1142" s="12"/>
      <c r="J1142" s="12"/>
    </row>
    <row r="1143" spans="5:10" x14ac:dyDescent="0.25">
      <c r="E1143"/>
      <c r="F1143"/>
      <c r="G1143" s="12"/>
      <c r="H1143" s="12"/>
      <c r="I1143" s="12"/>
      <c r="J1143" s="12"/>
    </row>
    <row r="1144" spans="5:10" x14ac:dyDescent="0.25">
      <c r="E1144"/>
      <c r="F1144"/>
      <c r="G1144" s="12"/>
      <c r="H1144" s="12"/>
      <c r="I1144" s="12"/>
      <c r="J1144" s="12"/>
    </row>
    <row r="1145" spans="5:10" x14ac:dyDescent="0.25">
      <c r="E1145"/>
      <c r="F1145"/>
      <c r="G1145" s="12"/>
      <c r="H1145" s="12"/>
      <c r="I1145" s="12"/>
      <c r="J1145" s="12"/>
    </row>
    <row r="1146" spans="5:10" x14ac:dyDescent="0.25">
      <c r="E1146"/>
      <c r="F1146"/>
      <c r="G1146" s="12"/>
      <c r="H1146" s="12"/>
      <c r="I1146" s="12"/>
      <c r="J1146" s="12"/>
    </row>
    <row r="1147" spans="5:10" x14ac:dyDescent="0.25">
      <c r="E1147"/>
      <c r="F1147"/>
      <c r="G1147" s="12"/>
      <c r="H1147" s="12"/>
      <c r="I1147" s="12"/>
      <c r="J1147" s="12"/>
    </row>
    <row r="1148" spans="5:10" x14ac:dyDescent="0.25">
      <c r="E1148"/>
      <c r="F1148"/>
      <c r="G1148" s="12"/>
      <c r="H1148" s="12"/>
      <c r="I1148" s="12"/>
      <c r="J1148" s="12"/>
    </row>
    <row r="1149" spans="5:10" x14ac:dyDescent="0.25">
      <c r="E1149"/>
      <c r="F1149"/>
      <c r="G1149" s="12"/>
      <c r="H1149" s="12"/>
      <c r="I1149" s="12"/>
      <c r="J1149" s="12"/>
    </row>
    <row r="1150" spans="5:10" x14ac:dyDescent="0.25">
      <c r="E1150"/>
      <c r="F1150"/>
      <c r="G1150" s="12"/>
      <c r="H1150" s="12"/>
      <c r="I1150" s="12"/>
      <c r="J1150" s="12"/>
    </row>
    <row r="1151" spans="5:10" x14ac:dyDescent="0.25">
      <c r="E1151"/>
      <c r="F1151"/>
      <c r="G1151" s="12"/>
      <c r="H1151" s="12"/>
      <c r="I1151" s="12"/>
      <c r="J1151" s="12"/>
    </row>
    <row r="1152" spans="5:10" x14ac:dyDescent="0.25">
      <c r="E1152"/>
      <c r="F1152"/>
      <c r="G1152" s="12"/>
      <c r="H1152" s="12"/>
      <c r="I1152" s="12"/>
      <c r="J1152" s="12"/>
    </row>
    <row r="1153" spans="5:10" x14ac:dyDescent="0.25">
      <c r="E1153"/>
      <c r="F1153"/>
      <c r="G1153" s="12"/>
      <c r="H1153" s="12"/>
      <c r="I1153" s="12"/>
      <c r="J1153" s="12"/>
    </row>
    <row r="1154" spans="5:10" x14ac:dyDescent="0.25">
      <c r="E1154"/>
      <c r="F1154"/>
      <c r="G1154" s="12"/>
      <c r="H1154" s="12"/>
      <c r="I1154" s="12"/>
      <c r="J1154" s="12"/>
    </row>
    <row r="1155" spans="5:10" x14ac:dyDescent="0.25">
      <c r="E1155"/>
      <c r="F1155"/>
      <c r="G1155" s="12"/>
      <c r="H1155" s="12"/>
      <c r="I1155" s="12"/>
      <c r="J1155" s="12"/>
    </row>
    <row r="1156" spans="5:10" x14ac:dyDescent="0.25">
      <c r="E1156"/>
      <c r="F1156"/>
      <c r="G1156" s="12"/>
      <c r="H1156" s="12"/>
      <c r="I1156" s="12"/>
      <c r="J1156" s="12"/>
    </row>
    <row r="1157" spans="5:10" x14ac:dyDescent="0.25">
      <c r="E1157"/>
      <c r="F1157"/>
      <c r="G1157" s="12"/>
      <c r="H1157" s="12"/>
      <c r="I1157" s="12"/>
      <c r="J1157" s="12"/>
    </row>
    <row r="1158" spans="5:10" x14ac:dyDescent="0.25">
      <c r="E1158"/>
      <c r="F1158"/>
      <c r="G1158" s="12"/>
      <c r="H1158" s="12"/>
      <c r="I1158" s="12"/>
      <c r="J1158" s="12"/>
    </row>
    <row r="1159" spans="5:10" x14ac:dyDescent="0.25">
      <c r="E1159"/>
      <c r="F1159"/>
      <c r="G1159" s="12"/>
      <c r="H1159" s="12"/>
      <c r="I1159" s="12"/>
      <c r="J1159" s="12"/>
    </row>
    <row r="1160" spans="5:10" x14ac:dyDescent="0.25">
      <c r="E1160"/>
      <c r="F1160"/>
      <c r="G1160" s="12"/>
      <c r="H1160" s="12"/>
      <c r="I1160" s="12"/>
      <c r="J1160" s="12"/>
    </row>
    <row r="1161" spans="5:10" x14ac:dyDescent="0.25">
      <c r="E1161"/>
      <c r="F1161"/>
      <c r="G1161" s="12"/>
      <c r="H1161" s="12"/>
      <c r="I1161" s="12"/>
      <c r="J1161" s="12"/>
    </row>
    <row r="1162" spans="5:10" x14ac:dyDescent="0.25">
      <c r="E1162"/>
      <c r="F1162"/>
      <c r="G1162" s="12"/>
      <c r="H1162" s="12"/>
      <c r="I1162" s="12"/>
      <c r="J1162" s="12"/>
    </row>
    <row r="1163" spans="5:10" x14ac:dyDescent="0.25">
      <c r="E1163"/>
      <c r="F1163"/>
      <c r="G1163" s="12"/>
      <c r="H1163" s="12"/>
      <c r="I1163" s="12"/>
      <c r="J1163" s="12"/>
    </row>
    <row r="1164" spans="5:10" x14ac:dyDescent="0.25">
      <c r="E1164"/>
      <c r="F1164"/>
      <c r="G1164" s="12"/>
      <c r="H1164" s="12"/>
      <c r="I1164" s="12"/>
      <c r="J1164" s="12"/>
    </row>
    <row r="1165" spans="5:10" x14ac:dyDescent="0.25">
      <c r="E1165"/>
      <c r="F1165"/>
      <c r="G1165" s="12"/>
      <c r="H1165" s="12"/>
      <c r="I1165" s="12"/>
      <c r="J1165" s="12"/>
    </row>
    <row r="1166" spans="5:10" x14ac:dyDescent="0.25">
      <c r="E1166"/>
      <c r="F1166"/>
      <c r="G1166" s="12"/>
      <c r="H1166" s="12"/>
      <c r="I1166" s="12"/>
      <c r="J1166" s="12"/>
    </row>
    <row r="1167" spans="5:10" x14ac:dyDescent="0.25">
      <c r="E1167"/>
      <c r="F1167"/>
      <c r="G1167" s="12"/>
      <c r="H1167" s="12"/>
      <c r="I1167" s="12"/>
      <c r="J1167" s="12"/>
    </row>
    <row r="1168" spans="5:10" x14ac:dyDescent="0.25">
      <c r="E1168"/>
      <c r="F1168"/>
      <c r="G1168" s="12"/>
      <c r="H1168" s="12"/>
      <c r="I1168" s="12"/>
      <c r="J1168" s="12"/>
    </row>
    <row r="1169" spans="5:10" x14ac:dyDescent="0.25">
      <c r="E1169"/>
      <c r="F1169"/>
      <c r="G1169" s="12"/>
      <c r="H1169" s="12"/>
      <c r="I1169" s="12"/>
      <c r="J1169" s="12"/>
    </row>
    <row r="1170" spans="5:10" x14ac:dyDescent="0.25">
      <c r="E1170"/>
      <c r="F1170"/>
      <c r="G1170" s="12"/>
      <c r="H1170" s="12"/>
      <c r="I1170" s="12"/>
      <c r="J1170" s="12"/>
    </row>
    <row r="1171" spans="5:10" x14ac:dyDescent="0.25">
      <c r="E1171"/>
      <c r="F1171"/>
      <c r="G1171" s="12"/>
      <c r="H1171" s="12"/>
      <c r="I1171" s="12"/>
      <c r="J1171" s="12"/>
    </row>
    <row r="1172" spans="5:10" x14ac:dyDescent="0.25">
      <c r="E1172"/>
      <c r="F1172"/>
      <c r="G1172" s="12"/>
      <c r="H1172" s="12"/>
      <c r="I1172" s="12"/>
      <c r="J1172" s="12"/>
    </row>
    <row r="1173" spans="5:10" x14ac:dyDescent="0.25">
      <c r="E1173"/>
      <c r="F1173"/>
      <c r="G1173" s="12"/>
      <c r="H1173" s="12"/>
      <c r="I1173" s="12"/>
      <c r="J1173" s="12"/>
    </row>
    <row r="1174" spans="5:10" x14ac:dyDescent="0.25">
      <c r="E1174"/>
      <c r="F1174"/>
      <c r="G1174" s="12"/>
      <c r="H1174" s="12"/>
      <c r="I1174" s="12"/>
      <c r="J1174" s="12"/>
    </row>
    <row r="1175" spans="5:10" x14ac:dyDescent="0.25">
      <c r="E1175"/>
      <c r="F1175"/>
      <c r="G1175" s="12"/>
      <c r="H1175" s="12"/>
      <c r="I1175" s="12"/>
      <c r="J1175" s="12"/>
    </row>
    <row r="1176" spans="5:10" x14ac:dyDescent="0.25">
      <c r="E1176"/>
      <c r="F1176"/>
      <c r="G1176" s="12"/>
      <c r="H1176" s="12"/>
      <c r="I1176" s="12"/>
      <c r="J1176" s="12"/>
    </row>
    <row r="1177" spans="5:10" x14ac:dyDescent="0.25">
      <c r="E1177"/>
      <c r="F1177"/>
      <c r="G1177" s="12"/>
      <c r="H1177" s="12"/>
      <c r="I1177" s="12"/>
      <c r="J1177" s="12"/>
    </row>
    <row r="1178" spans="5:10" x14ac:dyDescent="0.25">
      <c r="E1178"/>
      <c r="F1178"/>
      <c r="G1178" s="12"/>
      <c r="H1178" s="12"/>
      <c r="I1178" s="12"/>
      <c r="J1178" s="12"/>
    </row>
    <row r="1179" spans="5:10" x14ac:dyDescent="0.25">
      <c r="E1179"/>
      <c r="F1179"/>
      <c r="G1179" s="12"/>
      <c r="H1179" s="12"/>
      <c r="I1179" s="12"/>
      <c r="J1179" s="12"/>
    </row>
    <row r="1180" spans="5:10" x14ac:dyDescent="0.25">
      <c r="E1180"/>
      <c r="F1180"/>
      <c r="G1180" s="12"/>
      <c r="H1180" s="12"/>
      <c r="I1180" s="12"/>
      <c r="J1180" s="12"/>
    </row>
    <row r="1181" spans="5:10" x14ac:dyDescent="0.25">
      <c r="E1181"/>
      <c r="F1181"/>
      <c r="G1181" s="12"/>
      <c r="H1181" s="12"/>
      <c r="I1181" s="12"/>
      <c r="J1181" s="12"/>
    </row>
    <row r="1182" spans="5:10" x14ac:dyDescent="0.25">
      <c r="E1182"/>
      <c r="F1182"/>
      <c r="G1182" s="12"/>
      <c r="H1182" s="12"/>
      <c r="I1182" s="12"/>
      <c r="J1182" s="12"/>
    </row>
    <row r="1183" spans="5:10" x14ac:dyDescent="0.25">
      <c r="E1183"/>
      <c r="F1183"/>
      <c r="G1183" s="12"/>
      <c r="H1183" s="12"/>
      <c r="I1183" s="12"/>
      <c r="J1183" s="12"/>
    </row>
    <row r="1184" spans="5:10" x14ac:dyDescent="0.25">
      <c r="E1184"/>
      <c r="F1184"/>
      <c r="G1184" s="12"/>
      <c r="H1184" s="12"/>
      <c r="I1184" s="12"/>
      <c r="J1184" s="12"/>
    </row>
    <row r="1185" spans="5:10" x14ac:dyDescent="0.25">
      <c r="E1185"/>
      <c r="F1185"/>
      <c r="G1185" s="12"/>
      <c r="H1185" s="12"/>
      <c r="I1185" s="12"/>
      <c r="J1185" s="12"/>
    </row>
    <row r="1186" spans="5:10" x14ac:dyDescent="0.25">
      <c r="E1186"/>
      <c r="F1186"/>
      <c r="G1186" s="12"/>
      <c r="H1186" s="12"/>
      <c r="I1186" s="12"/>
      <c r="J1186" s="12"/>
    </row>
    <row r="1187" spans="5:10" x14ac:dyDescent="0.25">
      <c r="E1187"/>
      <c r="F1187"/>
      <c r="G1187" s="12"/>
      <c r="H1187" s="12"/>
      <c r="I1187" s="12"/>
      <c r="J1187" s="12"/>
    </row>
    <row r="1188" spans="5:10" x14ac:dyDescent="0.25">
      <c r="E1188"/>
      <c r="F1188"/>
      <c r="G1188" s="12"/>
      <c r="H1188" s="12"/>
      <c r="I1188" s="12"/>
      <c r="J1188" s="12"/>
    </row>
    <row r="1189" spans="5:10" x14ac:dyDescent="0.25">
      <c r="E1189"/>
      <c r="F1189"/>
      <c r="G1189" s="12"/>
      <c r="H1189" s="12"/>
      <c r="I1189" s="12"/>
      <c r="J1189" s="12"/>
    </row>
    <row r="1190" spans="5:10" x14ac:dyDescent="0.25">
      <c r="E1190"/>
      <c r="F1190"/>
      <c r="G1190" s="12"/>
      <c r="H1190" s="12"/>
      <c r="I1190" s="12"/>
      <c r="J1190" s="12"/>
    </row>
    <row r="1191" spans="5:10" x14ac:dyDescent="0.25">
      <c r="E1191"/>
      <c r="F1191"/>
      <c r="G1191" s="12"/>
      <c r="H1191" s="12"/>
      <c r="I1191" s="12"/>
      <c r="J1191" s="12"/>
    </row>
    <row r="1192" spans="5:10" x14ac:dyDescent="0.25">
      <c r="E1192"/>
      <c r="F1192"/>
      <c r="G1192" s="12"/>
      <c r="H1192" s="12"/>
      <c r="I1192" s="12"/>
      <c r="J1192" s="12"/>
    </row>
    <row r="1193" spans="5:10" x14ac:dyDescent="0.25">
      <c r="E1193"/>
      <c r="F1193"/>
      <c r="G1193" s="12"/>
      <c r="H1193" s="12"/>
      <c r="I1193" s="12"/>
      <c r="J1193" s="12"/>
    </row>
    <row r="1194" spans="5:10" x14ac:dyDescent="0.25">
      <c r="E1194"/>
      <c r="F1194"/>
      <c r="G1194" s="12"/>
      <c r="H1194" s="12"/>
      <c r="I1194" s="12"/>
      <c r="J1194" s="12"/>
    </row>
    <row r="1195" spans="5:10" x14ac:dyDescent="0.25">
      <c r="E1195"/>
      <c r="F1195"/>
      <c r="G1195" s="12"/>
      <c r="H1195" s="12"/>
      <c r="I1195" s="12"/>
      <c r="J1195" s="12"/>
    </row>
    <row r="1196" spans="5:10" x14ac:dyDescent="0.25">
      <c r="E1196"/>
      <c r="F1196"/>
      <c r="G1196" s="12"/>
      <c r="H1196" s="12"/>
      <c r="I1196" s="12"/>
      <c r="J1196" s="12"/>
    </row>
    <row r="1197" spans="5:10" x14ac:dyDescent="0.25">
      <c r="E1197"/>
      <c r="F1197"/>
      <c r="G1197" s="12"/>
      <c r="H1197" s="12"/>
      <c r="I1197" s="12"/>
      <c r="J1197" s="12"/>
    </row>
    <row r="1198" spans="5:10" x14ac:dyDescent="0.25">
      <c r="E1198"/>
      <c r="F1198"/>
      <c r="G1198" s="12"/>
      <c r="H1198" s="12"/>
      <c r="I1198" s="12"/>
      <c r="J1198" s="12"/>
    </row>
    <row r="1199" spans="5:10" x14ac:dyDescent="0.25">
      <c r="E1199"/>
      <c r="F1199"/>
      <c r="G1199" s="12"/>
      <c r="H1199" s="12"/>
      <c r="I1199" s="12"/>
      <c r="J1199" s="12"/>
    </row>
    <row r="1200" spans="5:10" x14ac:dyDescent="0.25">
      <c r="E1200"/>
      <c r="F1200"/>
      <c r="G1200" s="12"/>
      <c r="H1200" s="12"/>
      <c r="I1200" s="12"/>
      <c r="J1200" s="12"/>
    </row>
    <row r="1201" spans="5:10" x14ac:dyDescent="0.25">
      <c r="E1201"/>
      <c r="F1201"/>
      <c r="G1201" s="12"/>
      <c r="H1201" s="12"/>
      <c r="I1201" s="12"/>
      <c r="J1201" s="12"/>
    </row>
    <row r="1202" spans="5:10" x14ac:dyDescent="0.25">
      <c r="E1202"/>
      <c r="F1202"/>
      <c r="G1202" s="12"/>
      <c r="H1202" s="12"/>
      <c r="I1202" s="12"/>
      <c r="J1202" s="12"/>
    </row>
    <row r="1203" spans="5:10" x14ac:dyDescent="0.25">
      <c r="E1203"/>
      <c r="F1203"/>
      <c r="G1203" s="12"/>
      <c r="H1203" s="12"/>
      <c r="I1203" s="12"/>
      <c r="J1203" s="12"/>
    </row>
    <row r="1204" spans="5:10" x14ac:dyDescent="0.25">
      <c r="E1204"/>
      <c r="F1204"/>
      <c r="G1204" s="12"/>
      <c r="H1204" s="12"/>
      <c r="I1204" s="12"/>
      <c r="J1204" s="12"/>
    </row>
    <row r="1205" spans="5:10" x14ac:dyDescent="0.25">
      <c r="E1205"/>
      <c r="F1205"/>
      <c r="G1205" s="12"/>
      <c r="H1205" s="12"/>
      <c r="I1205" s="12"/>
      <c r="J1205" s="12"/>
    </row>
    <row r="1206" spans="5:10" x14ac:dyDescent="0.25">
      <c r="E1206"/>
      <c r="F1206"/>
      <c r="G1206" s="12"/>
      <c r="H1206" s="12"/>
      <c r="I1206" s="12"/>
      <c r="J1206" s="12"/>
    </row>
    <row r="1207" spans="5:10" x14ac:dyDescent="0.25">
      <c r="E1207"/>
      <c r="F1207"/>
      <c r="G1207" s="12"/>
      <c r="H1207" s="12"/>
      <c r="I1207" s="12"/>
      <c r="J1207" s="12"/>
    </row>
    <row r="1208" spans="5:10" x14ac:dyDescent="0.25">
      <c r="E1208"/>
      <c r="F1208"/>
      <c r="G1208" s="12"/>
      <c r="H1208" s="12"/>
      <c r="I1208" s="12"/>
      <c r="J1208" s="12"/>
    </row>
    <row r="1209" spans="5:10" x14ac:dyDescent="0.25">
      <c r="E1209"/>
      <c r="F1209"/>
      <c r="G1209" s="12"/>
      <c r="H1209" s="12"/>
      <c r="I1209" s="12"/>
      <c r="J1209" s="12"/>
    </row>
    <row r="1210" spans="5:10" x14ac:dyDescent="0.25">
      <c r="E1210"/>
      <c r="F1210"/>
      <c r="G1210" s="12"/>
      <c r="H1210" s="12"/>
      <c r="I1210" s="12"/>
      <c r="J1210" s="12"/>
    </row>
    <row r="1211" spans="5:10" x14ac:dyDescent="0.25">
      <c r="E1211"/>
      <c r="F1211"/>
      <c r="G1211" s="12"/>
      <c r="H1211" s="12"/>
      <c r="I1211" s="12"/>
      <c r="J1211" s="12"/>
    </row>
    <row r="1212" spans="5:10" x14ac:dyDescent="0.25">
      <c r="E1212"/>
      <c r="F1212"/>
      <c r="G1212" s="12"/>
      <c r="H1212" s="12"/>
      <c r="I1212" s="12"/>
      <c r="J1212" s="12"/>
    </row>
    <row r="1213" spans="5:10" x14ac:dyDescent="0.25">
      <c r="E1213"/>
      <c r="F1213"/>
      <c r="G1213" s="12"/>
      <c r="H1213" s="12"/>
      <c r="I1213" s="12"/>
      <c r="J1213" s="12"/>
    </row>
    <row r="1214" spans="5:10" x14ac:dyDescent="0.25">
      <c r="E1214"/>
      <c r="F1214"/>
      <c r="G1214" s="12"/>
      <c r="H1214" s="12"/>
      <c r="I1214" s="12"/>
      <c r="J1214" s="12"/>
    </row>
    <row r="1215" spans="5:10" x14ac:dyDescent="0.25">
      <c r="E1215"/>
      <c r="F1215"/>
      <c r="G1215" s="12"/>
      <c r="H1215" s="12"/>
      <c r="I1215" s="12"/>
      <c r="J1215" s="12"/>
    </row>
    <row r="1216" spans="5:10" x14ac:dyDescent="0.25">
      <c r="E1216"/>
      <c r="F1216"/>
      <c r="G1216" s="12"/>
      <c r="H1216" s="12"/>
      <c r="I1216" s="12"/>
      <c r="J1216" s="12"/>
    </row>
    <row r="1217" spans="5:10" x14ac:dyDescent="0.25">
      <c r="E1217"/>
      <c r="F1217"/>
      <c r="G1217" s="12"/>
      <c r="H1217" s="12"/>
      <c r="I1217" s="12"/>
      <c r="J1217" s="12"/>
    </row>
    <row r="1218" spans="5:10" x14ac:dyDescent="0.25">
      <c r="E1218"/>
      <c r="F1218"/>
      <c r="G1218" s="12"/>
      <c r="H1218" s="12"/>
      <c r="I1218" s="12"/>
      <c r="J1218" s="12"/>
    </row>
    <row r="1219" spans="5:10" x14ac:dyDescent="0.25">
      <c r="E1219"/>
      <c r="F1219"/>
      <c r="G1219" s="12"/>
      <c r="H1219" s="12"/>
      <c r="I1219" s="12"/>
      <c r="J1219" s="12"/>
    </row>
    <row r="1220" spans="5:10" x14ac:dyDescent="0.25">
      <c r="E1220"/>
      <c r="F1220"/>
      <c r="G1220" s="12"/>
      <c r="H1220" s="12"/>
      <c r="I1220" s="12"/>
      <c r="J1220" s="12"/>
    </row>
    <row r="1221" spans="5:10" x14ac:dyDescent="0.25">
      <c r="E1221"/>
      <c r="F1221"/>
      <c r="G1221" s="12"/>
      <c r="H1221" s="12"/>
      <c r="I1221" s="12"/>
      <c r="J1221" s="12"/>
    </row>
    <row r="1222" spans="5:10" x14ac:dyDescent="0.25">
      <c r="E1222"/>
      <c r="F1222"/>
      <c r="G1222" s="12"/>
      <c r="H1222" s="12"/>
      <c r="I1222" s="12"/>
      <c r="J1222" s="12"/>
    </row>
    <row r="1223" spans="5:10" x14ac:dyDescent="0.25">
      <c r="E1223"/>
      <c r="F1223"/>
      <c r="G1223" s="12"/>
      <c r="H1223" s="12"/>
      <c r="I1223" s="12"/>
      <c r="J1223" s="12"/>
    </row>
    <row r="1224" spans="5:10" x14ac:dyDescent="0.25">
      <c r="E1224"/>
      <c r="F1224"/>
      <c r="G1224" s="12"/>
      <c r="H1224" s="12"/>
      <c r="I1224" s="12"/>
      <c r="J1224" s="12"/>
    </row>
    <row r="1225" spans="5:10" x14ac:dyDescent="0.25">
      <c r="E1225"/>
      <c r="F1225"/>
      <c r="G1225" s="12"/>
      <c r="H1225" s="12"/>
      <c r="I1225" s="12"/>
      <c r="J1225" s="12"/>
    </row>
    <row r="1226" spans="5:10" x14ac:dyDescent="0.25">
      <c r="E1226"/>
      <c r="F1226"/>
      <c r="G1226" s="12"/>
      <c r="H1226" s="12"/>
      <c r="I1226" s="12"/>
      <c r="J1226" s="12"/>
    </row>
    <row r="1227" spans="5:10" x14ac:dyDescent="0.25">
      <c r="E1227"/>
      <c r="F1227"/>
      <c r="G1227" s="12"/>
      <c r="H1227" s="12"/>
      <c r="I1227" s="12"/>
      <c r="J1227" s="12"/>
    </row>
    <row r="1228" spans="5:10" x14ac:dyDescent="0.25">
      <c r="E1228"/>
      <c r="F1228"/>
      <c r="G1228" s="12"/>
      <c r="H1228" s="12"/>
      <c r="I1228" s="12"/>
      <c r="J1228" s="12"/>
    </row>
    <row r="1229" spans="5:10" x14ac:dyDescent="0.25">
      <c r="E1229"/>
      <c r="F1229"/>
      <c r="G1229" s="12"/>
      <c r="H1229" s="12"/>
      <c r="I1229" s="12"/>
      <c r="J1229" s="12"/>
    </row>
    <row r="1230" spans="5:10" x14ac:dyDescent="0.25">
      <c r="E1230"/>
      <c r="F1230"/>
      <c r="G1230" s="12"/>
      <c r="H1230" s="12"/>
      <c r="I1230" s="12"/>
      <c r="J1230" s="12"/>
    </row>
    <row r="1231" spans="5:10" x14ac:dyDescent="0.25">
      <c r="E1231"/>
      <c r="F1231"/>
      <c r="G1231" s="12"/>
      <c r="H1231" s="12"/>
      <c r="I1231" s="12"/>
      <c r="J1231" s="12"/>
    </row>
    <row r="1232" spans="5:10" x14ac:dyDescent="0.25">
      <c r="E1232"/>
      <c r="F1232"/>
      <c r="G1232" s="12"/>
      <c r="H1232" s="12"/>
      <c r="I1232" s="12"/>
      <c r="J1232" s="12"/>
    </row>
    <row r="1233" spans="5:10" x14ac:dyDescent="0.25">
      <c r="E1233"/>
      <c r="F1233"/>
      <c r="G1233" s="12"/>
      <c r="H1233" s="12"/>
      <c r="I1233" s="12"/>
      <c r="J1233" s="12"/>
    </row>
    <row r="1234" spans="5:10" x14ac:dyDescent="0.25">
      <c r="E1234"/>
      <c r="F1234"/>
      <c r="G1234" s="12"/>
      <c r="H1234" s="12"/>
      <c r="I1234" s="12"/>
      <c r="J1234" s="12"/>
    </row>
    <row r="1235" spans="5:10" x14ac:dyDescent="0.25">
      <c r="E1235"/>
      <c r="F1235"/>
      <c r="G1235" s="12"/>
      <c r="H1235" s="12"/>
      <c r="I1235" s="12"/>
      <c r="J1235" s="12"/>
    </row>
    <row r="1236" spans="5:10" x14ac:dyDescent="0.25">
      <c r="E1236"/>
      <c r="F1236"/>
      <c r="G1236" s="12"/>
      <c r="H1236" s="12"/>
      <c r="I1236" s="12"/>
      <c r="J1236" s="12"/>
    </row>
    <row r="1237" spans="5:10" x14ac:dyDescent="0.25">
      <c r="E1237"/>
      <c r="F1237"/>
      <c r="G1237" s="12"/>
      <c r="H1237" s="12"/>
      <c r="I1237" s="12"/>
      <c r="J1237" s="12"/>
    </row>
    <row r="1238" spans="5:10" x14ac:dyDescent="0.25">
      <c r="E1238"/>
      <c r="F1238"/>
      <c r="G1238" s="12"/>
      <c r="H1238" s="12"/>
      <c r="I1238" s="12"/>
      <c r="J1238" s="12"/>
    </row>
    <row r="1239" spans="5:10" x14ac:dyDescent="0.25">
      <c r="E1239"/>
      <c r="F1239"/>
      <c r="G1239" s="12"/>
      <c r="H1239" s="12"/>
      <c r="I1239" s="12"/>
      <c r="J1239" s="12"/>
    </row>
    <row r="1240" spans="5:10" x14ac:dyDescent="0.25">
      <c r="E1240"/>
      <c r="F1240"/>
      <c r="G1240" s="12"/>
      <c r="H1240" s="12"/>
      <c r="I1240" s="12"/>
      <c r="J1240" s="12"/>
    </row>
    <row r="1241" spans="5:10" x14ac:dyDescent="0.25">
      <c r="E1241"/>
      <c r="F1241"/>
      <c r="G1241" s="12"/>
      <c r="H1241" s="12"/>
      <c r="I1241" s="12"/>
      <c r="J1241" s="12"/>
    </row>
    <row r="1242" spans="5:10" x14ac:dyDescent="0.25">
      <c r="E1242"/>
      <c r="F1242"/>
      <c r="G1242" s="12"/>
      <c r="H1242" s="12"/>
      <c r="I1242" s="12"/>
      <c r="J1242" s="12"/>
    </row>
    <row r="1243" spans="5:10" x14ac:dyDescent="0.25">
      <c r="E1243"/>
      <c r="F1243"/>
      <c r="G1243" s="12"/>
      <c r="H1243" s="12"/>
      <c r="I1243" s="12"/>
      <c r="J1243" s="12"/>
    </row>
    <row r="1244" spans="5:10" x14ac:dyDescent="0.25">
      <c r="E1244"/>
      <c r="F1244"/>
      <c r="G1244" s="12"/>
      <c r="H1244" s="12"/>
      <c r="I1244" s="12"/>
      <c r="J1244" s="12"/>
    </row>
    <row r="1245" spans="5:10" x14ac:dyDescent="0.25">
      <c r="E1245"/>
      <c r="F1245"/>
      <c r="G1245" s="12"/>
      <c r="H1245" s="12"/>
      <c r="I1245" s="12"/>
      <c r="J1245" s="12"/>
    </row>
    <row r="1246" spans="5:10" x14ac:dyDescent="0.25">
      <c r="E1246"/>
      <c r="F1246"/>
      <c r="G1246" s="12"/>
      <c r="H1246" s="12"/>
      <c r="I1246" s="12"/>
      <c r="J1246" s="12"/>
    </row>
    <row r="1247" spans="5:10" x14ac:dyDescent="0.25">
      <c r="E1247"/>
      <c r="F1247"/>
      <c r="G1247" s="12"/>
      <c r="H1247" s="12"/>
      <c r="I1247" s="12"/>
      <c r="J1247" s="12"/>
    </row>
    <row r="1248" spans="5:10" x14ac:dyDescent="0.25">
      <c r="E1248"/>
      <c r="F1248"/>
      <c r="G1248" s="12"/>
      <c r="H1248" s="12"/>
      <c r="I1248" s="12"/>
      <c r="J1248" s="12"/>
    </row>
    <row r="1249" spans="5:10" x14ac:dyDescent="0.25">
      <c r="E1249"/>
      <c r="F1249"/>
      <c r="G1249" s="12"/>
      <c r="H1249" s="12"/>
      <c r="I1249" s="12"/>
      <c r="J1249" s="12"/>
    </row>
    <row r="1250" spans="5:10" x14ac:dyDescent="0.25">
      <c r="E1250"/>
      <c r="F1250"/>
      <c r="G1250" s="12"/>
      <c r="H1250" s="12"/>
      <c r="I1250" s="12"/>
      <c r="J1250" s="12"/>
    </row>
    <row r="1251" spans="5:10" x14ac:dyDescent="0.25">
      <c r="E1251"/>
      <c r="F1251"/>
      <c r="G1251" s="12"/>
      <c r="H1251" s="12"/>
      <c r="I1251" s="12"/>
      <c r="J1251" s="12"/>
    </row>
    <row r="1252" spans="5:10" x14ac:dyDescent="0.25">
      <c r="E1252"/>
      <c r="F1252"/>
      <c r="G1252" s="12"/>
      <c r="H1252" s="12"/>
      <c r="I1252" s="12"/>
      <c r="J1252" s="12"/>
    </row>
    <row r="1253" spans="5:10" x14ac:dyDescent="0.25">
      <c r="E1253"/>
      <c r="F1253"/>
      <c r="G1253" s="12"/>
      <c r="H1253" s="12"/>
      <c r="I1253" s="12"/>
      <c r="J1253" s="12"/>
    </row>
    <row r="1254" spans="5:10" x14ac:dyDescent="0.25">
      <c r="E1254"/>
      <c r="F1254"/>
      <c r="G1254" s="12"/>
      <c r="H1254" s="12"/>
      <c r="I1254" s="12"/>
      <c r="J1254" s="12"/>
    </row>
    <row r="1255" spans="5:10" x14ac:dyDescent="0.25">
      <c r="E1255"/>
      <c r="F1255"/>
      <c r="G1255" s="12"/>
      <c r="H1255" s="12"/>
      <c r="I1255" s="12"/>
      <c r="J1255" s="12"/>
    </row>
    <row r="1256" spans="5:10" x14ac:dyDescent="0.25">
      <c r="E1256"/>
      <c r="F1256"/>
      <c r="G1256" s="12"/>
      <c r="H1256" s="12"/>
      <c r="I1256" s="12"/>
      <c r="J1256" s="12"/>
    </row>
    <row r="1257" spans="5:10" x14ac:dyDescent="0.25">
      <c r="E1257"/>
      <c r="F1257"/>
      <c r="G1257" s="12"/>
      <c r="H1257" s="12"/>
      <c r="I1257" s="12"/>
      <c r="J1257" s="12"/>
    </row>
    <row r="1258" spans="5:10" x14ac:dyDescent="0.25">
      <c r="E1258"/>
      <c r="F1258"/>
      <c r="G1258" s="12"/>
      <c r="H1258" s="12"/>
      <c r="I1258" s="12"/>
      <c r="J1258" s="12"/>
    </row>
    <row r="1259" spans="5:10" x14ac:dyDescent="0.25">
      <c r="E1259"/>
      <c r="F1259"/>
      <c r="G1259" s="12"/>
      <c r="H1259" s="12"/>
      <c r="I1259" s="12"/>
      <c r="J1259" s="12"/>
    </row>
    <row r="1260" spans="5:10" x14ac:dyDescent="0.25">
      <c r="E1260"/>
      <c r="F1260"/>
      <c r="G1260" s="12"/>
      <c r="H1260" s="12"/>
      <c r="I1260" s="12"/>
      <c r="J1260" s="12"/>
    </row>
    <row r="1261" spans="5:10" x14ac:dyDescent="0.25">
      <c r="E1261"/>
      <c r="F1261"/>
      <c r="G1261" s="12"/>
      <c r="H1261" s="12"/>
      <c r="I1261" s="12"/>
      <c r="J1261" s="12"/>
    </row>
    <row r="1262" spans="5:10" x14ac:dyDescent="0.25">
      <c r="E1262"/>
      <c r="F1262"/>
      <c r="G1262" s="12"/>
      <c r="H1262" s="12"/>
      <c r="I1262" s="12"/>
      <c r="J1262" s="12"/>
    </row>
    <row r="1263" spans="5:10" x14ac:dyDescent="0.25">
      <c r="E1263"/>
      <c r="F1263"/>
      <c r="G1263" s="12"/>
      <c r="H1263" s="12"/>
      <c r="I1263" s="12"/>
      <c r="J1263" s="12"/>
    </row>
    <row r="1264" spans="5:10" x14ac:dyDescent="0.25">
      <c r="E1264"/>
      <c r="F1264"/>
      <c r="G1264" s="12"/>
      <c r="H1264" s="12"/>
      <c r="I1264" s="12"/>
      <c r="J1264" s="12"/>
    </row>
    <row r="1265" spans="5:10" x14ac:dyDescent="0.25">
      <c r="E1265"/>
      <c r="F1265"/>
      <c r="G1265" s="12"/>
      <c r="H1265" s="12"/>
      <c r="I1265" s="12"/>
      <c r="J1265" s="12"/>
    </row>
    <row r="1266" spans="5:10" x14ac:dyDescent="0.25">
      <c r="E1266"/>
      <c r="F1266"/>
      <c r="G1266" s="12"/>
      <c r="H1266" s="12"/>
      <c r="I1266" s="12"/>
      <c r="J1266" s="12"/>
    </row>
    <row r="1267" spans="5:10" x14ac:dyDescent="0.25">
      <c r="E1267"/>
      <c r="F1267"/>
      <c r="G1267" s="12"/>
      <c r="H1267" s="12"/>
      <c r="I1267" s="12"/>
      <c r="J1267" s="12"/>
    </row>
    <row r="1268" spans="5:10" x14ac:dyDescent="0.25">
      <c r="E1268"/>
      <c r="F1268"/>
      <c r="G1268" s="12"/>
      <c r="H1268" s="12"/>
      <c r="I1268" s="12"/>
      <c r="J1268" s="12"/>
    </row>
    <row r="1269" spans="5:10" x14ac:dyDescent="0.25">
      <c r="E1269"/>
      <c r="F1269"/>
      <c r="G1269" s="12"/>
      <c r="H1269" s="12"/>
      <c r="I1269" s="12"/>
      <c r="J1269" s="12"/>
    </row>
    <row r="1270" spans="5:10" x14ac:dyDescent="0.25">
      <c r="E1270"/>
      <c r="F1270"/>
      <c r="G1270" s="12"/>
      <c r="H1270" s="12"/>
      <c r="I1270" s="12"/>
      <c r="J1270" s="12"/>
    </row>
    <row r="1271" spans="5:10" x14ac:dyDescent="0.25">
      <c r="E1271"/>
      <c r="F1271"/>
      <c r="G1271" s="12"/>
      <c r="H1271" s="12"/>
      <c r="I1271" s="12"/>
      <c r="J1271" s="12"/>
    </row>
    <row r="1272" spans="5:10" x14ac:dyDescent="0.25">
      <c r="E1272"/>
      <c r="F1272"/>
      <c r="G1272" s="12"/>
      <c r="H1272" s="12"/>
      <c r="I1272" s="12"/>
      <c r="J1272" s="12"/>
    </row>
    <row r="1273" spans="5:10" x14ac:dyDescent="0.25">
      <c r="E1273"/>
      <c r="F1273"/>
      <c r="G1273" s="12"/>
      <c r="H1273" s="12"/>
      <c r="I1273" s="12"/>
      <c r="J1273" s="12"/>
    </row>
    <row r="1274" spans="5:10" x14ac:dyDescent="0.25">
      <c r="E1274"/>
      <c r="F1274"/>
      <c r="G1274" s="12"/>
      <c r="H1274" s="12"/>
      <c r="I1274" s="12"/>
      <c r="J1274" s="12"/>
    </row>
    <row r="1275" spans="5:10" x14ac:dyDescent="0.25">
      <c r="E1275"/>
      <c r="F1275"/>
      <c r="G1275" s="12"/>
      <c r="H1275" s="12"/>
      <c r="I1275" s="12"/>
      <c r="J1275" s="12"/>
    </row>
    <row r="1276" spans="5:10" x14ac:dyDescent="0.25">
      <c r="E1276"/>
      <c r="F1276"/>
      <c r="G1276" s="12"/>
      <c r="H1276" s="12"/>
      <c r="I1276" s="12"/>
      <c r="J1276" s="12"/>
    </row>
    <row r="1277" spans="5:10" x14ac:dyDescent="0.25">
      <c r="E1277"/>
      <c r="F1277"/>
      <c r="G1277" s="12"/>
      <c r="H1277" s="12"/>
      <c r="I1277" s="12"/>
      <c r="J1277" s="12"/>
    </row>
    <row r="1278" spans="5:10" x14ac:dyDescent="0.25">
      <c r="E1278"/>
      <c r="F1278"/>
      <c r="G1278" s="12"/>
      <c r="H1278" s="12"/>
      <c r="I1278" s="12"/>
      <c r="J1278" s="12"/>
    </row>
    <row r="1279" spans="5:10" x14ac:dyDescent="0.25">
      <c r="E1279"/>
      <c r="F1279"/>
      <c r="G1279" s="12"/>
      <c r="H1279" s="12"/>
      <c r="I1279" s="12"/>
      <c r="J1279" s="12"/>
    </row>
    <row r="1280" spans="5:10" x14ac:dyDescent="0.25">
      <c r="E1280"/>
      <c r="F1280"/>
      <c r="G1280" s="12"/>
      <c r="H1280" s="12"/>
      <c r="I1280" s="12"/>
      <c r="J1280" s="12"/>
    </row>
    <row r="1281" spans="5:10" x14ac:dyDescent="0.25">
      <c r="E1281"/>
      <c r="F1281"/>
      <c r="G1281" s="12"/>
      <c r="H1281" s="12"/>
      <c r="I1281" s="12"/>
      <c r="J1281" s="12"/>
    </row>
    <row r="1282" spans="5:10" x14ac:dyDescent="0.25">
      <c r="E1282"/>
      <c r="F1282"/>
      <c r="G1282" s="12"/>
      <c r="H1282" s="12"/>
      <c r="I1282" s="12"/>
      <c r="J1282" s="12"/>
    </row>
    <row r="1283" spans="5:10" x14ac:dyDescent="0.25">
      <c r="E1283"/>
      <c r="F1283"/>
      <c r="G1283" s="12"/>
      <c r="H1283" s="12"/>
      <c r="I1283" s="12"/>
      <c r="J1283" s="12"/>
    </row>
    <row r="1284" spans="5:10" x14ac:dyDescent="0.25">
      <c r="E1284"/>
      <c r="F1284"/>
      <c r="G1284" s="12"/>
      <c r="H1284" s="12"/>
      <c r="I1284" s="12"/>
      <c r="J1284" s="12"/>
    </row>
    <row r="1285" spans="5:10" x14ac:dyDescent="0.25">
      <c r="E1285"/>
      <c r="F1285"/>
      <c r="G1285" s="12"/>
      <c r="H1285" s="12"/>
      <c r="I1285" s="12"/>
      <c r="J1285" s="12"/>
    </row>
    <row r="1286" spans="5:10" x14ac:dyDescent="0.25">
      <c r="E1286"/>
      <c r="F1286"/>
      <c r="G1286" s="12"/>
      <c r="H1286" s="12"/>
      <c r="I1286" s="12"/>
      <c r="J1286" s="12"/>
    </row>
    <row r="1287" spans="5:10" x14ac:dyDescent="0.25">
      <c r="E1287"/>
      <c r="F1287"/>
      <c r="G1287" s="12"/>
      <c r="H1287" s="12"/>
      <c r="I1287" s="12"/>
      <c r="J1287" s="12"/>
    </row>
    <row r="1288" spans="5:10" x14ac:dyDescent="0.25">
      <c r="E1288"/>
      <c r="F1288"/>
      <c r="G1288" s="12"/>
      <c r="H1288" s="12"/>
      <c r="I1288" s="12"/>
      <c r="J1288" s="12"/>
    </row>
    <row r="1289" spans="5:10" x14ac:dyDescent="0.25">
      <c r="E1289"/>
      <c r="F1289"/>
      <c r="G1289" s="12"/>
      <c r="H1289" s="12"/>
      <c r="I1289" s="12"/>
      <c r="J1289" s="12"/>
    </row>
    <row r="1290" spans="5:10" x14ac:dyDescent="0.25">
      <c r="E1290"/>
      <c r="F1290"/>
      <c r="G1290" s="12"/>
      <c r="H1290" s="12"/>
      <c r="I1290" s="12"/>
      <c r="J1290" s="12"/>
    </row>
    <row r="1291" spans="5:10" x14ac:dyDescent="0.25">
      <c r="E1291"/>
      <c r="F1291"/>
      <c r="G1291" s="12"/>
      <c r="H1291" s="12"/>
      <c r="I1291" s="12"/>
      <c r="J1291" s="12"/>
    </row>
    <row r="1292" spans="5:10" x14ac:dyDescent="0.25">
      <c r="E1292"/>
      <c r="F1292"/>
      <c r="G1292" s="12"/>
      <c r="H1292" s="12"/>
      <c r="I1292" s="12"/>
      <c r="J1292" s="12"/>
    </row>
    <row r="1293" spans="5:10" x14ac:dyDescent="0.25">
      <c r="E1293"/>
      <c r="F1293"/>
      <c r="G1293" s="12"/>
      <c r="H1293" s="12"/>
      <c r="I1293" s="12"/>
      <c r="J1293" s="12"/>
    </row>
    <row r="1294" spans="5:10" x14ac:dyDescent="0.25">
      <c r="E1294"/>
      <c r="F1294"/>
      <c r="G1294" s="12"/>
      <c r="H1294" s="12"/>
      <c r="I1294" s="12"/>
      <c r="J1294" s="12"/>
    </row>
    <row r="1295" spans="5:10" x14ac:dyDescent="0.25">
      <c r="E1295"/>
      <c r="F1295"/>
      <c r="G1295" s="12"/>
      <c r="H1295" s="12"/>
      <c r="I1295" s="12"/>
      <c r="J1295" s="12"/>
    </row>
    <row r="1296" spans="5:10" x14ac:dyDescent="0.25">
      <c r="E1296"/>
      <c r="F1296"/>
      <c r="G1296" s="12"/>
      <c r="H1296" s="12"/>
      <c r="I1296" s="12"/>
      <c r="J1296" s="12"/>
    </row>
    <row r="1297" spans="5:10" x14ac:dyDescent="0.25">
      <c r="E1297"/>
      <c r="F1297"/>
      <c r="G1297" s="12"/>
      <c r="H1297" s="12"/>
      <c r="I1297" s="12"/>
      <c r="J1297" s="12"/>
    </row>
    <row r="1298" spans="5:10" x14ac:dyDescent="0.25">
      <c r="E1298"/>
      <c r="F1298"/>
      <c r="G1298" s="12"/>
      <c r="H1298" s="12"/>
      <c r="I1298" s="12"/>
      <c r="J1298" s="12"/>
    </row>
    <row r="1299" spans="5:10" x14ac:dyDescent="0.25">
      <c r="E1299"/>
      <c r="F1299"/>
      <c r="G1299" s="12"/>
      <c r="H1299" s="12"/>
      <c r="I1299" s="12"/>
      <c r="J1299" s="12"/>
    </row>
    <row r="1300" spans="5:10" x14ac:dyDescent="0.25">
      <c r="E1300"/>
      <c r="F1300"/>
      <c r="G1300" s="12"/>
      <c r="H1300" s="12"/>
      <c r="I1300" s="12"/>
      <c r="J1300" s="12"/>
    </row>
    <row r="1301" spans="5:10" x14ac:dyDescent="0.25">
      <c r="E1301"/>
      <c r="F1301"/>
      <c r="G1301" s="12"/>
      <c r="H1301" s="12"/>
      <c r="I1301" s="12"/>
      <c r="J1301" s="12"/>
    </row>
    <row r="1302" spans="5:10" x14ac:dyDescent="0.25">
      <c r="E1302"/>
      <c r="F1302"/>
      <c r="G1302" s="12"/>
      <c r="H1302" s="12"/>
      <c r="I1302" s="12"/>
      <c r="J1302" s="12"/>
    </row>
    <row r="1303" spans="5:10" x14ac:dyDescent="0.25">
      <c r="E1303"/>
      <c r="F1303"/>
      <c r="G1303" s="12"/>
      <c r="H1303" s="12"/>
      <c r="I1303" s="12"/>
      <c r="J1303" s="12"/>
    </row>
    <row r="1304" spans="5:10" x14ac:dyDescent="0.25">
      <c r="E1304"/>
      <c r="F1304"/>
      <c r="G1304" s="12"/>
      <c r="H1304" s="12"/>
      <c r="I1304" s="12"/>
      <c r="J1304" s="12"/>
    </row>
    <row r="1305" spans="5:10" x14ac:dyDescent="0.25">
      <c r="E1305"/>
      <c r="F1305"/>
      <c r="G1305" s="12"/>
      <c r="H1305" s="12"/>
      <c r="I1305" s="12"/>
      <c r="J1305" s="12"/>
    </row>
    <row r="1306" spans="5:10" x14ac:dyDescent="0.25">
      <c r="E1306"/>
      <c r="F1306"/>
      <c r="G1306" s="12"/>
      <c r="H1306" s="12"/>
      <c r="I1306" s="12"/>
      <c r="J1306" s="12"/>
    </row>
    <row r="1307" spans="5:10" x14ac:dyDescent="0.25">
      <c r="E1307"/>
      <c r="F1307"/>
      <c r="G1307" s="12"/>
      <c r="H1307" s="12"/>
      <c r="I1307" s="12"/>
      <c r="J1307" s="12"/>
    </row>
    <row r="1308" spans="5:10" x14ac:dyDescent="0.25">
      <c r="E1308"/>
      <c r="F1308"/>
      <c r="G1308" s="12"/>
      <c r="H1308" s="12"/>
      <c r="I1308" s="12"/>
      <c r="J1308" s="12"/>
    </row>
    <row r="1309" spans="5:10" x14ac:dyDescent="0.25">
      <c r="E1309"/>
      <c r="F1309"/>
      <c r="G1309" s="12"/>
      <c r="H1309" s="12"/>
      <c r="I1309" s="12"/>
      <c r="J1309" s="12"/>
    </row>
    <row r="1310" spans="5:10" x14ac:dyDescent="0.25">
      <c r="E1310"/>
      <c r="F1310"/>
      <c r="G1310" s="12"/>
      <c r="H1310" s="12"/>
      <c r="I1310" s="12"/>
      <c r="J1310" s="12"/>
    </row>
    <row r="1311" spans="5:10" x14ac:dyDescent="0.25">
      <c r="E1311"/>
      <c r="F1311"/>
      <c r="G1311" s="12"/>
      <c r="H1311" s="12"/>
      <c r="I1311" s="12"/>
      <c r="J1311" s="12"/>
    </row>
    <row r="1312" spans="5:10" x14ac:dyDescent="0.25">
      <c r="E1312"/>
      <c r="F1312"/>
      <c r="G1312" s="12"/>
      <c r="H1312" s="12"/>
      <c r="I1312" s="12"/>
      <c r="J1312" s="12"/>
    </row>
    <row r="1313" spans="5:10" x14ac:dyDescent="0.25">
      <c r="E1313"/>
      <c r="F1313"/>
      <c r="G1313" s="12"/>
      <c r="H1313" s="12"/>
      <c r="I1313" s="12"/>
      <c r="J1313" s="12"/>
    </row>
    <row r="1314" spans="5:10" x14ac:dyDescent="0.25">
      <c r="E1314"/>
      <c r="F1314"/>
      <c r="G1314" s="12"/>
      <c r="H1314" s="12"/>
      <c r="I1314" s="12"/>
      <c r="J1314" s="12"/>
    </row>
    <row r="1315" spans="5:10" x14ac:dyDescent="0.25">
      <c r="E1315"/>
      <c r="F1315"/>
      <c r="G1315" s="12"/>
      <c r="H1315" s="12"/>
      <c r="I1315" s="12"/>
      <c r="J1315" s="12"/>
    </row>
    <row r="1316" spans="5:10" x14ac:dyDescent="0.25">
      <c r="E1316"/>
      <c r="F1316"/>
      <c r="G1316" s="12"/>
      <c r="H1316" s="12"/>
      <c r="I1316" s="12"/>
      <c r="J1316" s="12"/>
    </row>
    <row r="1317" spans="5:10" x14ac:dyDescent="0.25">
      <c r="E1317"/>
      <c r="F1317"/>
      <c r="G1317" s="12"/>
      <c r="H1317" s="12"/>
      <c r="I1317" s="12"/>
      <c r="J1317" s="12"/>
    </row>
    <row r="1318" spans="5:10" x14ac:dyDescent="0.25">
      <c r="E1318"/>
      <c r="F1318"/>
      <c r="G1318" s="12"/>
      <c r="H1318" s="12"/>
      <c r="I1318" s="12"/>
      <c r="J1318" s="12"/>
    </row>
    <row r="1319" spans="5:10" x14ac:dyDescent="0.25">
      <c r="E1319"/>
      <c r="F1319"/>
      <c r="G1319" s="12"/>
      <c r="H1319" s="12"/>
      <c r="I1319" s="12"/>
      <c r="J1319" s="12"/>
    </row>
    <row r="1320" spans="5:10" x14ac:dyDescent="0.25">
      <c r="E1320"/>
      <c r="F1320"/>
      <c r="G1320" s="12"/>
      <c r="H1320" s="12"/>
      <c r="I1320" s="12"/>
      <c r="J1320" s="12"/>
    </row>
    <row r="1321" spans="5:10" x14ac:dyDescent="0.25">
      <c r="E1321"/>
      <c r="F1321"/>
      <c r="G1321" s="12"/>
      <c r="H1321" s="12"/>
      <c r="I1321" s="12"/>
      <c r="J1321" s="12"/>
    </row>
    <row r="1322" spans="5:10" x14ac:dyDescent="0.25">
      <c r="E1322"/>
      <c r="F1322"/>
      <c r="G1322" s="12"/>
      <c r="H1322" s="12"/>
      <c r="I1322" s="12"/>
      <c r="J1322" s="12"/>
    </row>
    <row r="1323" spans="5:10" x14ac:dyDescent="0.25">
      <c r="E1323"/>
      <c r="F1323"/>
      <c r="G1323" s="12"/>
      <c r="H1323" s="12"/>
      <c r="I1323" s="12"/>
      <c r="J1323" s="12"/>
    </row>
    <row r="1324" spans="5:10" x14ac:dyDescent="0.25">
      <c r="E1324"/>
      <c r="F1324"/>
      <c r="G1324" s="12"/>
      <c r="H1324" s="12"/>
      <c r="I1324" s="12"/>
      <c r="J1324" s="12"/>
    </row>
    <row r="1325" spans="5:10" x14ac:dyDescent="0.25">
      <c r="E1325"/>
      <c r="F1325"/>
      <c r="G1325" s="12"/>
      <c r="H1325" s="12"/>
      <c r="I1325" s="12"/>
      <c r="J1325" s="12"/>
    </row>
    <row r="1326" spans="5:10" x14ac:dyDescent="0.25">
      <c r="E1326"/>
      <c r="F1326"/>
      <c r="G1326" s="12"/>
      <c r="H1326" s="12"/>
      <c r="I1326" s="12"/>
      <c r="J1326" s="12"/>
    </row>
    <row r="1327" spans="5:10" x14ac:dyDescent="0.25">
      <c r="E1327"/>
      <c r="F1327"/>
      <c r="G1327" s="12"/>
      <c r="H1327" s="12"/>
      <c r="I1327" s="12"/>
      <c r="J1327" s="12"/>
    </row>
    <row r="1328" spans="5:10" x14ac:dyDescent="0.25">
      <c r="E1328"/>
      <c r="F1328"/>
      <c r="G1328" s="12"/>
      <c r="H1328" s="12"/>
      <c r="I1328" s="12"/>
      <c r="J1328" s="12"/>
    </row>
    <row r="1329" spans="5:10" x14ac:dyDescent="0.25">
      <c r="E1329"/>
      <c r="F1329"/>
      <c r="G1329" s="12"/>
      <c r="H1329" s="12"/>
      <c r="I1329" s="12"/>
      <c r="J1329" s="12"/>
    </row>
    <row r="1330" spans="5:10" x14ac:dyDescent="0.25">
      <c r="E1330"/>
      <c r="F1330"/>
      <c r="G1330" s="12"/>
      <c r="H1330" s="12"/>
      <c r="I1330" s="12"/>
      <c r="J1330" s="12"/>
    </row>
    <row r="1331" spans="5:10" x14ac:dyDescent="0.25">
      <c r="E1331"/>
      <c r="F1331"/>
      <c r="G1331" s="12"/>
      <c r="H1331" s="12"/>
      <c r="I1331" s="12"/>
      <c r="J1331" s="12"/>
    </row>
    <row r="1332" spans="5:10" x14ac:dyDescent="0.25">
      <c r="E1332"/>
      <c r="F1332"/>
      <c r="G1332" s="12"/>
      <c r="H1332" s="12"/>
      <c r="I1332" s="12"/>
      <c r="J1332" s="12"/>
    </row>
    <row r="1333" spans="5:10" x14ac:dyDescent="0.25">
      <c r="E1333"/>
      <c r="F1333"/>
      <c r="G1333" s="12"/>
      <c r="H1333" s="12"/>
      <c r="I1333" s="12"/>
      <c r="J1333" s="12"/>
    </row>
    <row r="1334" spans="5:10" x14ac:dyDescent="0.25">
      <c r="E1334"/>
      <c r="F1334"/>
      <c r="G1334" s="12"/>
      <c r="H1334" s="12"/>
      <c r="I1334" s="12"/>
      <c r="J1334" s="12"/>
    </row>
    <row r="1335" spans="5:10" x14ac:dyDescent="0.25">
      <c r="E1335"/>
      <c r="F1335"/>
      <c r="G1335" s="12"/>
      <c r="H1335" s="12"/>
      <c r="I1335" s="12"/>
      <c r="J1335" s="12"/>
    </row>
    <row r="1336" spans="5:10" x14ac:dyDescent="0.25">
      <c r="E1336"/>
      <c r="F1336"/>
      <c r="G1336" s="12"/>
      <c r="H1336" s="12"/>
      <c r="I1336" s="12"/>
      <c r="J1336" s="12"/>
    </row>
    <row r="1337" spans="5:10" x14ac:dyDescent="0.25">
      <c r="E1337"/>
      <c r="F1337"/>
      <c r="G1337" s="12"/>
      <c r="H1337" s="12"/>
      <c r="I1337" s="12"/>
      <c r="J1337" s="12"/>
    </row>
    <row r="1338" spans="5:10" x14ac:dyDescent="0.25">
      <c r="E1338"/>
      <c r="F1338"/>
      <c r="G1338" s="12"/>
      <c r="H1338" s="12"/>
      <c r="I1338" s="12"/>
      <c r="J1338" s="12"/>
    </row>
    <row r="1339" spans="5:10" x14ac:dyDescent="0.25">
      <c r="E1339"/>
      <c r="F1339"/>
      <c r="G1339" s="12"/>
      <c r="H1339" s="12"/>
      <c r="I1339" s="12"/>
      <c r="J1339" s="12"/>
    </row>
    <row r="1340" spans="5:10" x14ac:dyDescent="0.25">
      <c r="E1340"/>
      <c r="F1340"/>
      <c r="G1340" s="12"/>
      <c r="H1340" s="12"/>
      <c r="I1340" s="12"/>
      <c r="J1340" s="12"/>
    </row>
    <row r="1341" spans="5:10" x14ac:dyDescent="0.25">
      <c r="E1341"/>
      <c r="F1341"/>
      <c r="G1341" s="12"/>
      <c r="H1341" s="12"/>
      <c r="I1341" s="12"/>
      <c r="J1341" s="12"/>
    </row>
    <row r="1342" spans="5:10" x14ac:dyDescent="0.25">
      <c r="E1342"/>
      <c r="F1342"/>
      <c r="G1342" s="12"/>
      <c r="H1342" s="12"/>
      <c r="I1342" s="12"/>
      <c r="J1342" s="12"/>
    </row>
    <row r="1343" spans="5:10" x14ac:dyDescent="0.25">
      <c r="E1343"/>
      <c r="F1343"/>
      <c r="G1343" s="12"/>
      <c r="H1343" s="12"/>
      <c r="I1343" s="12"/>
      <c r="J1343" s="12"/>
    </row>
    <row r="1344" spans="5:10" x14ac:dyDescent="0.25">
      <c r="E1344"/>
      <c r="F1344"/>
      <c r="G1344" s="12"/>
      <c r="H1344" s="12"/>
      <c r="I1344" s="12"/>
      <c r="J1344" s="12"/>
    </row>
    <row r="1345" spans="5:10" x14ac:dyDescent="0.25">
      <c r="E1345"/>
      <c r="F1345"/>
      <c r="G1345" s="12"/>
      <c r="H1345" s="12"/>
      <c r="I1345" s="12"/>
      <c r="J1345" s="12"/>
    </row>
    <row r="1346" spans="5:10" x14ac:dyDescent="0.25">
      <c r="E1346"/>
      <c r="F1346"/>
      <c r="G1346" s="12"/>
      <c r="H1346" s="12"/>
      <c r="I1346" s="12"/>
      <c r="J1346" s="12"/>
    </row>
    <row r="1347" spans="5:10" x14ac:dyDescent="0.25">
      <c r="E1347"/>
      <c r="F1347"/>
      <c r="G1347" s="12"/>
      <c r="H1347" s="12"/>
      <c r="I1347" s="12"/>
      <c r="J1347" s="12"/>
    </row>
    <row r="1348" spans="5:10" x14ac:dyDescent="0.25">
      <c r="E1348"/>
      <c r="F1348"/>
      <c r="G1348" s="12"/>
      <c r="H1348" s="12"/>
      <c r="I1348" s="12"/>
      <c r="J1348" s="12"/>
    </row>
    <row r="1349" spans="5:10" x14ac:dyDescent="0.25">
      <c r="E1349"/>
      <c r="F1349"/>
      <c r="G1349" s="12"/>
      <c r="H1349" s="12"/>
      <c r="I1349" s="12"/>
      <c r="J1349" s="12"/>
    </row>
    <row r="1350" spans="5:10" x14ac:dyDescent="0.25">
      <c r="E1350"/>
      <c r="F1350"/>
      <c r="G1350" s="12"/>
      <c r="H1350" s="12"/>
      <c r="I1350" s="12"/>
      <c r="J1350" s="12"/>
    </row>
    <row r="1351" spans="5:10" x14ac:dyDescent="0.25">
      <c r="E1351"/>
      <c r="F1351"/>
      <c r="G1351" s="12"/>
      <c r="H1351" s="12"/>
      <c r="I1351" s="12"/>
      <c r="J1351" s="12"/>
    </row>
    <row r="1352" spans="5:10" x14ac:dyDescent="0.25">
      <c r="E1352"/>
      <c r="F1352"/>
      <c r="G1352" s="12"/>
      <c r="H1352" s="12"/>
      <c r="I1352" s="12"/>
      <c r="J1352" s="12"/>
    </row>
    <row r="1353" spans="5:10" x14ac:dyDescent="0.25">
      <c r="E1353"/>
      <c r="F1353"/>
      <c r="G1353" s="12"/>
      <c r="H1353" s="12"/>
      <c r="I1353" s="12"/>
      <c r="J1353" s="12"/>
    </row>
    <row r="1354" spans="5:10" x14ac:dyDescent="0.25">
      <c r="E1354"/>
      <c r="F1354"/>
      <c r="G1354" s="12"/>
      <c r="H1354" s="12"/>
      <c r="I1354" s="12"/>
      <c r="J1354" s="12"/>
    </row>
    <row r="1355" spans="5:10" x14ac:dyDescent="0.25">
      <c r="E1355"/>
      <c r="F1355"/>
      <c r="G1355" s="12"/>
      <c r="H1355" s="12"/>
      <c r="I1355" s="12"/>
      <c r="J1355" s="12"/>
    </row>
    <row r="1356" spans="5:10" x14ac:dyDescent="0.25">
      <c r="E1356"/>
      <c r="F1356"/>
      <c r="G1356" s="12"/>
      <c r="H1356" s="12"/>
      <c r="I1356" s="12"/>
      <c r="J1356" s="12"/>
    </row>
    <row r="1357" spans="5:10" x14ac:dyDescent="0.25">
      <c r="E1357"/>
      <c r="F1357"/>
      <c r="G1357" s="12"/>
      <c r="H1357" s="12"/>
      <c r="I1357" s="12"/>
      <c r="J1357" s="12"/>
    </row>
    <row r="1358" spans="5:10" x14ac:dyDescent="0.25">
      <c r="E1358"/>
      <c r="F1358"/>
      <c r="G1358" s="12"/>
      <c r="H1358" s="12"/>
      <c r="I1358" s="12"/>
      <c r="J1358" s="12"/>
    </row>
    <row r="1359" spans="5:10" x14ac:dyDescent="0.25">
      <c r="E1359"/>
      <c r="F1359"/>
      <c r="G1359" s="12"/>
      <c r="H1359" s="12"/>
      <c r="I1359" s="12"/>
      <c r="J1359" s="12"/>
    </row>
    <row r="1360" spans="5:10" x14ac:dyDescent="0.25">
      <c r="E1360"/>
      <c r="F1360"/>
      <c r="G1360" s="12"/>
      <c r="H1360" s="12"/>
      <c r="I1360" s="12"/>
      <c r="J1360" s="12"/>
    </row>
    <row r="1361" spans="5:10" x14ac:dyDescent="0.25">
      <c r="E1361"/>
      <c r="F1361"/>
      <c r="G1361" s="12"/>
      <c r="H1361" s="12"/>
      <c r="I1361" s="12"/>
      <c r="J1361" s="12"/>
    </row>
    <row r="1362" spans="5:10" x14ac:dyDescent="0.25">
      <c r="E1362"/>
      <c r="F1362"/>
      <c r="G1362" s="12"/>
      <c r="H1362" s="12"/>
      <c r="I1362" s="12"/>
      <c r="J1362" s="12"/>
    </row>
    <row r="1363" spans="5:10" x14ac:dyDescent="0.25">
      <c r="E1363"/>
      <c r="F1363"/>
      <c r="G1363" s="12"/>
      <c r="H1363" s="12"/>
      <c r="I1363" s="12"/>
      <c r="J1363" s="12"/>
    </row>
    <row r="1364" spans="5:10" x14ac:dyDescent="0.25">
      <c r="E1364"/>
      <c r="F1364"/>
      <c r="G1364" s="12"/>
      <c r="H1364" s="12"/>
      <c r="I1364" s="12"/>
      <c r="J1364" s="12"/>
    </row>
    <row r="1365" spans="5:10" x14ac:dyDescent="0.25">
      <c r="E1365"/>
      <c r="F1365"/>
      <c r="G1365" s="12"/>
      <c r="H1365" s="12"/>
      <c r="I1365" s="12"/>
      <c r="J1365" s="12"/>
    </row>
    <row r="1366" spans="5:10" x14ac:dyDescent="0.25">
      <c r="E1366"/>
      <c r="F1366"/>
      <c r="G1366" s="12"/>
      <c r="H1366" s="12"/>
      <c r="I1366" s="12"/>
      <c r="J1366" s="12"/>
    </row>
    <row r="1367" spans="5:10" x14ac:dyDescent="0.25">
      <c r="E1367"/>
      <c r="F1367"/>
      <c r="G1367" s="12"/>
      <c r="H1367" s="12"/>
      <c r="I1367" s="12"/>
      <c r="J1367" s="12"/>
    </row>
    <row r="1368" spans="5:10" x14ac:dyDescent="0.25">
      <c r="E1368"/>
      <c r="F1368"/>
      <c r="G1368" s="12"/>
      <c r="H1368" s="12"/>
      <c r="I1368" s="12"/>
      <c r="J1368" s="12"/>
    </row>
    <row r="1369" spans="5:10" x14ac:dyDescent="0.25">
      <c r="E1369"/>
      <c r="F1369"/>
      <c r="G1369" s="12"/>
      <c r="H1369" s="12"/>
      <c r="I1369" s="12"/>
      <c r="J1369" s="12"/>
    </row>
    <row r="1370" spans="5:10" x14ac:dyDescent="0.25">
      <c r="E1370"/>
      <c r="F1370"/>
      <c r="G1370" s="12"/>
      <c r="H1370" s="12"/>
      <c r="I1370" s="12"/>
      <c r="J1370" s="12"/>
    </row>
    <row r="1371" spans="5:10" x14ac:dyDescent="0.25">
      <c r="E1371"/>
      <c r="F1371"/>
      <c r="G1371" s="12"/>
      <c r="H1371" s="12"/>
      <c r="I1371" s="12"/>
      <c r="J1371" s="12"/>
    </row>
    <row r="1372" spans="5:10" x14ac:dyDescent="0.25">
      <c r="E1372"/>
      <c r="F1372"/>
      <c r="G1372" s="12"/>
      <c r="H1372" s="12"/>
      <c r="I1372" s="12"/>
      <c r="J1372" s="12"/>
    </row>
    <row r="1373" spans="5:10" x14ac:dyDescent="0.25">
      <c r="E1373"/>
      <c r="F1373"/>
      <c r="G1373" s="12"/>
      <c r="H1373" s="12"/>
      <c r="I1373" s="12"/>
      <c r="J1373" s="12"/>
    </row>
    <row r="1374" spans="5:10" x14ac:dyDescent="0.25">
      <c r="E1374"/>
      <c r="F1374"/>
      <c r="G1374" s="12"/>
      <c r="H1374" s="12"/>
      <c r="I1374" s="12"/>
      <c r="J1374" s="12"/>
    </row>
    <row r="1375" spans="5:10" x14ac:dyDescent="0.25">
      <c r="E1375"/>
      <c r="F1375"/>
      <c r="G1375" s="12"/>
      <c r="H1375" s="12"/>
      <c r="I1375" s="12"/>
      <c r="J1375" s="12"/>
    </row>
    <row r="1376" spans="5:10" x14ac:dyDescent="0.25">
      <c r="E1376"/>
      <c r="F1376"/>
      <c r="G1376" s="12"/>
      <c r="H1376" s="12"/>
      <c r="I1376" s="12"/>
      <c r="J1376" s="12"/>
    </row>
    <row r="1377" spans="5:10" x14ac:dyDescent="0.25">
      <c r="E1377"/>
      <c r="F1377"/>
      <c r="G1377" s="12"/>
      <c r="H1377" s="12"/>
      <c r="I1377" s="12"/>
      <c r="J1377" s="12"/>
    </row>
    <row r="1378" spans="5:10" x14ac:dyDescent="0.25">
      <c r="E1378"/>
      <c r="F1378"/>
      <c r="G1378" s="12"/>
      <c r="H1378" s="12"/>
      <c r="I1378" s="12"/>
      <c r="J1378" s="12"/>
    </row>
    <row r="1379" spans="5:10" x14ac:dyDescent="0.25">
      <c r="E1379"/>
      <c r="F1379"/>
      <c r="G1379" s="12"/>
      <c r="H1379" s="12"/>
      <c r="I1379" s="12"/>
      <c r="J1379" s="12"/>
    </row>
    <row r="1380" spans="5:10" x14ac:dyDescent="0.25">
      <c r="E1380"/>
      <c r="F1380"/>
      <c r="G1380" s="12"/>
      <c r="H1380" s="12"/>
      <c r="I1380" s="12"/>
      <c r="J1380" s="12"/>
    </row>
    <row r="1381" spans="5:10" x14ac:dyDescent="0.25">
      <c r="E1381"/>
      <c r="F1381"/>
      <c r="G1381" s="12"/>
      <c r="H1381" s="12"/>
      <c r="I1381" s="12"/>
      <c r="J1381" s="12"/>
    </row>
    <row r="1382" spans="5:10" x14ac:dyDescent="0.25">
      <c r="E1382"/>
      <c r="F1382"/>
      <c r="G1382" s="12"/>
      <c r="H1382" s="12"/>
      <c r="I1382" s="12"/>
      <c r="J1382" s="12"/>
    </row>
    <row r="1383" spans="5:10" x14ac:dyDescent="0.25">
      <c r="E1383"/>
      <c r="F1383"/>
      <c r="G1383" s="12"/>
      <c r="H1383" s="12"/>
      <c r="I1383" s="12"/>
      <c r="J1383" s="12"/>
    </row>
    <row r="1384" spans="5:10" x14ac:dyDescent="0.25">
      <c r="E1384"/>
      <c r="F1384"/>
      <c r="G1384" s="12"/>
      <c r="H1384" s="12"/>
      <c r="I1384" s="12"/>
      <c r="J1384" s="12"/>
    </row>
    <row r="1385" spans="5:10" x14ac:dyDescent="0.25">
      <c r="E1385"/>
      <c r="F1385"/>
      <c r="G1385" s="12"/>
      <c r="H1385" s="12"/>
      <c r="I1385" s="12"/>
      <c r="J1385" s="12"/>
    </row>
    <row r="1386" spans="5:10" x14ac:dyDescent="0.25">
      <c r="E1386"/>
      <c r="F1386"/>
      <c r="G1386" s="12"/>
      <c r="H1386" s="12"/>
      <c r="I1386" s="12"/>
      <c r="J1386" s="12"/>
    </row>
    <row r="1387" spans="5:10" x14ac:dyDescent="0.25">
      <c r="E1387"/>
      <c r="F1387"/>
      <c r="G1387" s="12"/>
      <c r="H1387" s="12"/>
      <c r="I1387" s="12"/>
      <c r="J1387" s="12"/>
    </row>
    <row r="1388" spans="5:10" x14ac:dyDescent="0.25">
      <c r="E1388"/>
      <c r="F1388"/>
      <c r="G1388" s="12"/>
      <c r="H1388" s="12"/>
      <c r="I1388" s="12"/>
      <c r="J1388" s="12"/>
    </row>
    <row r="1389" spans="5:10" x14ac:dyDescent="0.25">
      <c r="E1389"/>
      <c r="F1389"/>
      <c r="G1389" s="12"/>
      <c r="H1389" s="12"/>
      <c r="I1389" s="12"/>
      <c r="J1389" s="12"/>
    </row>
    <row r="1390" spans="5:10" x14ac:dyDescent="0.25">
      <c r="E1390"/>
      <c r="F1390"/>
      <c r="G1390" s="12"/>
      <c r="H1390" s="12"/>
      <c r="I1390" s="12"/>
      <c r="J1390" s="12"/>
    </row>
    <row r="1391" spans="5:10" x14ac:dyDescent="0.25">
      <c r="E1391"/>
      <c r="F1391"/>
      <c r="G1391" s="12"/>
      <c r="H1391" s="12"/>
      <c r="I1391" s="12"/>
      <c r="J1391" s="12"/>
    </row>
    <row r="1392" spans="5:10" x14ac:dyDescent="0.25">
      <c r="E1392"/>
      <c r="F1392"/>
      <c r="G1392" s="12"/>
      <c r="H1392" s="12"/>
      <c r="I1392" s="12"/>
      <c r="J1392" s="12"/>
    </row>
    <row r="1393" spans="5:10" x14ac:dyDescent="0.25">
      <c r="E1393"/>
      <c r="F1393"/>
      <c r="G1393" s="12"/>
      <c r="H1393" s="12"/>
      <c r="I1393" s="12"/>
      <c r="J1393" s="12"/>
    </row>
    <row r="1394" spans="5:10" x14ac:dyDescent="0.25">
      <c r="E1394"/>
      <c r="F1394"/>
      <c r="G1394" s="12"/>
      <c r="H1394" s="12"/>
      <c r="I1394" s="12"/>
      <c r="J1394" s="12"/>
    </row>
    <row r="1395" spans="5:10" x14ac:dyDescent="0.25">
      <c r="E1395"/>
      <c r="F1395"/>
      <c r="G1395" s="12"/>
      <c r="H1395" s="12"/>
      <c r="I1395" s="12"/>
      <c r="J1395" s="12"/>
    </row>
    <row r="1396" spans="5:10" x14ac:dyDescent="0.25">
      <c r="E1396"/>
      <c r="F1396"/>
      <c r="G1396" s="12"/>
      <c r="H1396" s="12"/>
      <c r="I1396" s="12"/>
      <c r="J1396" s="12"/>
    </row>
    <row r="1397" spans="5:10" x14ac:dyDescent="0.25">
      <c r="E1397"/>
      <c r="F1397"/>
      <c r="G1397" s="12"/>
      <c r="H1397" s="12"/>
      <c r="I1397" s="12"/>
      <c r="J1397" s="12"/>
    </row>
    <row r="1398" spans="5:10" x14ac:dyDescent="0.25">
      <c r="E1398"/>
      <c r="F1398"/>
      <c r="G1398" s="12"/>
      <c r="H1398" s="12"/>
      <c r="I1398" s="12"/>
      <c r="J1398" s="12"/>
    </row>
    <row r="1399" spans="5:10" x14ac:dyDescent="0.25">
      <c r="E1399"/>
      <c r="F1399"/>
      <c r="G1399" s="12"/>
      <c r="H1399" s="12"/>
      <c r="I1399" s="12"/>
      <c r="J1399" s="12"/>
    </row>
    <row r="1400" spans="5:10" x14ac:dyDescent="0.25">
      <c r="E1400"/>
      <c r="F1400"/>
      <c r="G1400" s="12"/>
      <c r="H1400" s="12"/>
      <c r="I1400" s="12"/>
      <c r="J1400" s="12"/>
    </row>
    <row r="1401" spans="5:10" x14ac:dyDescent="0.25">
      <c r="E1401"/>
      <c r="F1401"/>
      <c r="G1401" s="12"/>
      <c r="H1401" s="12"/>
      <c r="I1401" s="12"/>
      <c r="J1401" s="12"/>
    </row>
    <row r="1402" spans="5:10" x14ac:dyDescent="0.25">
      <c r="E1402"/>
      <c r="F1402"/>
      <c r="G1402" s="12"/>
      <c r="H1402" s="12"/>
      <c r="I1402" s="12"/>
      <c r="J1402" s="12"/>
    </row>
    <row r="1403" spans="5:10" x14ac:dyDescent="0.25">
      <c r="E1403"/>
      <c r="F1403"/>
      <c r="G1403" s="12"/>
      <c r="H1403" s="12"/>
      <c r="I1403" s="12"/>
      <c r="J1403" s="12"/>
    </row>
    <row r="1404" spans="5:10" x14ac:dyDescent="0.25">
      <c r="E1404"/>
      <c r="F1404"/>
      <c r="G1404" s="12"/>
      <c r="H1404" s="12"/>
      <c r="I1404" s="12"/>
      <c r="J1404" s="12"/>
    </row>
    <row r="1405" spans="5:10" x14ac:dyDescent="0.25">
      <c r="E1405"/>
      <c r="F1405"/>
      <c r="G1405" s="12"/>
      <c r="H1405" s="12"/>
      <c r="I1405" s="12"/>
      <c r="J1405" s="12"/>
    </row>
    <row r="1406" spans="5:10" x14ac:dyDescent="0.25">
      <c r="E1406"/>
      <c r="F1406"/>
      <c r="G1406" s="12"/>
      <c r="H1406" s="12"/>
      <c r="I1406" s="12"/>
      <c r="J1406" s="12"/>
    </row>
    <row r="1407" spans="5:10" x14ac:dyDescent="0.25">
      <c r="E1407"/>
      <c r="F1407"/>
      <c r="G1407" s="12"/>
      <c r="H1407" s="12"/>
      <c r="I1407" s="12"/>
      <c r="J1407" s="12"/>
    </row>
    <row r="1408" spans="5:10" x14ac:dyDescent="0.25">
      <c r="E1408"/>
      <c r="F1408"/>
      <c r="G1408" s="12"/>
      <c r="H1408" s="12"/>
      <c r="I1408" s="12"/>
      <c r="J1408" s="12"/>
    </row>
    <row r="1409" spans="5:10" x14ac:dyDescent="0.25">
      <c r="E1409"/>
      <c r="F1409"/>
      <c r="G1409" s="12"/>
      <c r="H1409" s="12"/>
      <c r="I1409" s="12"/>
      <c r="J1409" s="12"/>
    </row>
    <row r="1410" spans="5:10" x14ac:dyDescent="0.25">
      <c r="E1410"/>
      <c r="F1410"/>
      <c r="G1410" s="12"/>
      <c r="H1410" s="12"/>
      <c r="I1410" s="12"/>
      <c r="J1410" s="12"/>
    </row>
    <row r="1411" spans="5:10" x14ac:dyDescent="0.25">
      <c r="E1411"/>
      <c r="F1411"/>
      <c r="G1411" s="12"/>
      <c r="H1411" s="12"/>
      <c r="I1411" s="12"/>
      <c r="J1411" s="12"/>
    </row>
    <row r="1412" spans="5:10" x14ac:dyDescent="0.25">
      <c r="E1412"/>
      <c r="F1412"/>
      <c r="G1412" s="12"/>
      <c r="H1412" s="12"/>
      <c r="I1412" s="12"/>
      <c r="J1412" s="12"/>
    </row>
    <row r="1413" spans="5:10" x14ac:dyDescent="0.25">
      <c r="E1413"/>
      <c r="F1413"/>
      <c r="G1413" s="12"/>
      <c r="H1413" s="12"/>
      <c r="I1413" s="12"/>
      <c r="J1413" s="12"/>
    </row>
    <row r="1414" spans="5:10" x14ac:dyDescent="0.25">
      <c r="E1414"/>
      <c r="F1414"/>
      <c r="G1414" s="12"/>
      <c r="H1414" s="12"/>
      <c r="I1414" s="12"/>
      <c r="J1414" s="12"/>
    </row>
    <row r="1415" spans="5:10" x14ac:dyDescent="0.25">
      <c r="E1415"/>
      <c r="F1415"/>
      <c r="G1415" s="12"/>
      <c r="H1415" s="12"/>
      <c r="I1415" s="12"/>
      <c r="J1415" s="12"/>
    </row>
    <row r="1416" spans="5:10" x14ac:dyDescent="0.25">
      <c r="E1416"/>
      <c r="F1416"/>
      <c r="G1416" s="12"/>
      <c r="H1416" s="12"/>
      <c r="I1416" s="12"/>
      <c r="J1416" s="12"/>
    </row>
    <row r="1417" spans="5:10" x14ac:dyDescent="0.25">
      <c r="E1417"/>
      <c r="F1417"/>
      <c r="G1417" s="12"/>
      <c r="H1417" s="12"/>
      <c r="I1417" s="12"/>
      <c r="J1417" s="12"/>
    </row>
    <row r="1418" spans="5:10" x14ac:dyDescent="0.25">
      <c r="E1418"/>
      <c r="F1418"/>
      <c r="G1418" s="12"/>
      <c r="H1418" s="12"/>
      <c r="I1418" s="12"/>
      <c r="J1418" s="12"/>
    </row>
    <row r="1419" spans="5:10" x14ac:dyDescent="0.25">
      <c r="E1419"/>
      <c r="F1419"/>
      <c r="G1419" s="12"/>
      <c r="H1419" s="12"/>
      <c r="I1419" s="12"/>
      <c r="J1419" s="12"/>
    </row>
    <row r="1420" spans="5:10" x14ac:dyDescent="0.25">
      <c r="E1420"/>
      <c r="F1420"/>
      <c r="G1420" s="12"/>
      <c r="H1420" s="12"/>
      <c r="I1420" s="12"/>
      <c r="J1420" s="12"/>
    </row>
    <row r="1421" spans="5:10" x14ac:dyDescent="0.25">
      <c r="E1421"/>
      <c r="F1421"/>
      <c r="G1421" s="12"/>
      <c r="H1421" s="12"/>
      <c r="I1421" s="12"/>
      <c r="J1421" s="12"/>
    </row>
    <row r="1422" spans="5:10" x14ac:dyDescent="0.25">
      <c r="E1422"/>
      <c r="F1422"/>
      <c r="G1422" s="12"/>
      <c r="H1422" s="12"/>
      <c r="I1422" s="12"/>
      <c r="J1422" s="12"/>
    </row>
    <row r="1423" spans="5:10" x14ac:dyDescent="0.25">
      <c r="E1423"/>
      <c r="F1423"/>
      <c r="G1423" s="12"/>
      <c r="H1423" s="12"/>
      <c r="I1423" s="12"/>
      <c r="J1423" s="12"/>
    </row>
    <row r="1424" spans="5:10" x14ac:dyDescent="0.25">
      <c r="E1424"/>
      <c r="F1424"/>
      <c r="G1424" s="12"/>
      <c r="H1424" s="12"/>
      <c r="I1424" s="12"/>
      <c r="J1424" s="12"/>
    </row>
    <row r="1425" spans="5:10" x14ac:dyDescent="0.25">
      <c r="E1425"/>
      <c r="F1425"/>
      <c r="G1425" s="12"/>
      <c r="H1425" s="12"/>
      <c r="I1425" s="12"/>
      <c r="J1425" s="12"/>
    </row>
    <row r="1426" spans="5:10" x14ac:dyDescent="0.25">
      <c r="E1426"/>
      <c r="F1426"/>
      <c r="G1426" s="12"/>
      <c r="H1426" s="12"/>
      <c r="I1426" s="12"/>
      <c r="J1426" s="12"/>
    </row>
    <row r="1427" spans="5:10" x14ac:dyDescent="0.25">
      <c r="E1427"/>
      <c r="F1427"/>
      <c r="G1427" s="12"/>
      <c r="H1427" s="12"/>
      <c r="I1427" s="12"/>
      <c r="J1427" s="12"/>
    </row>
    <row r="1428" spans="5:10" x14ac:dyDescent="0.25">
      <c r="E1428"/>
      <c r="F1428"/>
      <c r="G1428" s="12"/>
      <c r="H1428" s="12"/>
      <c r="I1428" s="12"/>
      <c r="J1428" s="12"/>
    </row>
    <row r="1429" spans="5:10" x14ac:dyDescent="0.25">
      <c r="E1429"/>
      <c r="F1429"/>
      <c r="G1429" s="12"/>
      <c r="H1429" s="12"/>
      <c r="I1429" s="12"/>
      <c r="J1429" s="12"/>
    </row>
    <row r="1430" spans="5:10" x14ac:dyDescent="0.25">
      <c r="E1430"/>
      <c r="F1430"/>
      <c r="G1430" s="12"/>
      <c r="H1430" s="12"/>
      <c r="I1430" s="12"/>
      <c r="J1430" s="12"/>
    </row>
    <row r="1431" spans="5:10" x14ac:dyDescent="0.25">
      <c r="E1431"/>
      <c r="F1431"/>
      <c r="G1431" s="12"/>
      <c r="H1431" s="12"/>
      <c r="I1431" s="12"/>
      <c r="J1431" s="12"/>
    </row>
    <row r="1432" spans="5:10" x14ac:dyDescent="0.25">
      <c r="E1432"/>
      <c r="F1432"/>
      <c r="G1432" s="12"/>
      <c r="H1432" s="12"/>
      <c r="I1432" s="12"/>
      <c r="J1432" s="12"/>
    </row>
    <row r="1433" spans="5:10" x14ac:dyDescent="0.25">
      <c r="E1433"/>
      <c r="F1433"/>
      <c r="G1433" s="12"/>
      <c r="H1433" s="12"/>
      <c r="I1433" s="12"/>
      <c r="J1433" s="12"/>
    </row>
    <row r="1434" spans="5:10" x14ac:dyDescent="0.25">
      <c r="E1434"/>
      <c r="F1434"/>
      <c r="G1434" s="12"/>
      <c r="H1434" s="12"/>
      <c r="I1434" s="12"/>
      <c r="J1434" s="12"/>
    </row>
    <row r="1435" spans="5:10" x14ac:dyDescent="0.25">
      <c r="E1435"/>
      <c r="F1435"/>
      <c r="G1435" s="12"/>
      <c r="H1435" s="12"/>
      <c r="I1435" s="12"/>
      <c r="J1435" s="12"/>
    </row>
    <row r="1436" spans="5:10" x14ac:dyDescent="0.25">
      <c r="E1436"/>
      <c r="F1436"/>
      <c r="G1436" s="12"/>
      <c r="H1436" s="12"/>
      <c r="I1436" s="12"/>
      <c r="J1436" s="12"/>
    </row>
    <row r="1437" spans="5:10" x14ac:dyDescent="0.25">
      <c r="E1437"/>
      <c r="F1437"/>
      <c r="G1437" s="12"/>
      <c r="H1437" s="12"/>
      <c r="I1437" s="12"/>
      <c r="J1437" s="12"/>
    </row>
    <row r="1438" spans="5:10" x14ac:dyDescent="0.25">
      <c r="E1438"/>
      <c r="F1438"/>
      <c r="G1438" s="12"/>
      <c r="H1438" s="12"/>
      <c r="I1438" s="12"/>
      <c r="J1438" s="12"/>
    </row>
    <row r="1439" spans="5:10" x14ac:dyDescent="0.25">
      <c r="E1439"/>
      <c r="F1439"/>
      <c r="G1439" s="12"/>
      <c r="H1439" s="12"/>
      <c r="I1439" s="12"/>
      <c r="J1439" s="12"/>
    </row>
    <row r="1440" spans="5:10" x14ac:dyDescent="0.25">
      <c r="E1440"/>
      <c r="F1440"/>
      <c r="G1440" s="12"/>
      <c r="H1440" s="12"/>
      <c r="I1440" s="12"/>
      <c r="J1440" s="12"/>
    </row>
    <row r="1441" spans="5:10" x14ac:dyDescent="0.25">
      <c r="E1441"/>
      <c r="F1441"/>
      <c r="G1441" s="12"/>
      <c r="H1441" s="12"/>
      <c r="I1441" s="12"/>
      <c r="J1441" s="12"/>
    </row>
    <row r="1442" spans="5:10" x14ac:dyDescent="0.25">
      <c r="E1442"/>
      <c r="F1442"/>
      <c r="G1442" s="12"/>
      <c r="H1442" s="12"/>
      <c r="I1442" s="12"/>
      <c r="J1442" s="12"/>
    </row>
    <row r="1443" spans="5:10" x14ac:dyDescent="0.25">
      <c r="E1443"/>
      <c r="F1443"/>
      <c r="G1443" s="12"/>
      <c r="H1443" s="12"/>
      <c r="I1443" s="12"/>
      <c r="J1443" s="12"/>
    </row>
    <row r="1444" spans="5:10" x14ac:dyDescent="0.25">
      <c r="E1444"/>
      <c r="F1444"/>
      <c r="G1444" s="12"/>
      <c r="H1444" s="12"/>
      <c r="I1444" s="12"/>
      <c r="J1444" s="12"/>
    </row>
    <row r="1445" spans="5:10" x14ac:dyDescent="0.25">
      <c r="E1445"/>
      <c r="F1445"/>
      <c r="G1445" s="12"/>
      <c r="H1445" s="12"/>
      <c r="I1445" s="12"/>
      <c r="J1445" s="12"/>
    </row>
    <row r="1446" spans="5:10" x14ac:dyDescent="0.25">
      <c r="E1446"/>
      <c r="F1446"/>
      <c r="G1446" s="12"/>
      <c r="H1446" s="12"/>
      <c r="I1446" s="12"/>
      <c r="J1446" s="12"/>
    </row>
    <row r="1447" spans="5:10" x14ac:dyDescent="0.25">
      <c r="E1447"/>
      <c r="F1447"/>
      <c r="G1447" s="12"/>
      <c r="H1447" s="12"/>
      <c r="I1447" s="12"/>
      <c r="J1447" s="12"/>
    </row>
    <row r="1448" spans="5:10" x14ac:dyDescent="0.25">
      <c r="E1448"/>
      <c r="F1448"/>
      <c r="G1448" s="12"/>
      <c r="H1448" s="12"/>
      <c r="I1448" s="12"/>
      <c r="J1448" s="12"/>
    </row>
    <row r="1449" spans="5:10" x14ac:dyDescent="0.25">
      <c r="E1449"/>
      <c r="F1449"/>
      <c r="G1449" s="12"/>
      <c r="H1449" s="12"/>
      <c r="I1449" s="12"/>
      <c r="J1449" s="12"/>
    </row>
    <row r="1450" spans="5:10" x14ac:dyDescent="0.25">
      <c r="E1450"/>
      <c r="F1450"/>
      <c r="G1450" s="12"/>
      <c r="H1450" s="12"/>
      <c r="I1450" s="12"/>
      <c r="J1450" s="12"/>
    </row>
    <row r="1451" spans="5:10" x14ac:dyDescent="0.25">
      <c r="E1451"/>
      <c r="F1451"/>
      <c r="G1451" s="12"/>
      <c r="H1451" s="12"/>
      <c r="I1451" s="12"/>
      <c r="J1451" s="12"/>
    </row>
    <row r="1452" spans="5:10" x14ac:dyDescent="0.25">
      <c r="E1452"/>
      <c r="F1452"/>
      <c r="G1452" s="12"/>
      <c r="H1452" s="12"/>
      <c r="I1452" s="12"/>
      <c r="J1452" s="12"/>
    </row>
    <row r="1453" spans="5:10" x14ac:dyDescent="0.25">
      <c r="E1453"/>
      <c r="F1453"/>
      <c r="G1453" s="12"/>
      <c r="H1453" s="12"/>
      <c r="I1453" s="12"/>
      <c r="J1453" s="12"/>
    </row>
    <row r="1454" spans="5:10" x14ac:dyDescent="0.25">
      <c r="E1454"/>
      <c r="F1454"/>
      <c r="G1454" s="12"/>
      <c r="H1454" s="12"/>
      <c r="I1454" s="12"/>
      <c r="J1454" s="12"/>
    </row>
    <row r="1455" spans="5:10" x14ac:dyDescent="0.25">
      <c r="E1455"/>
      <c r="F1455"/>
      <c r="G1455" s="12"/>
      <c r="H1455" s="12"/>
      <c r="I1455" s="12"/>
      <c r="J1455" s="12"/>
    </row>
    <row r="1456" spans="5:10" x14ac:dyDescent="0.25">
      <c r="E1456"/>
      <c r="F1456"/>
      <c r="G1456" s="12"/>
      <c r="H1456" s="12"/>
      <c r="I1456" s="12"/>
      <c r="J1456" s="12"/>
    </row>
    <row r="1457" spans="5:10" x14ac:dyDescent="0.25">
      <c r="E1457"/>
      <c r="F1457"/>
      <c r="G1457" s="12"/>
      <c r="H1457" s="12"/>
      <c r="I1457" s="12"/>
      <c r="J1457" s="12"/>
    </row>
    <row r="1458" spans="5:10" x14ac:dyDescent="0.25">
      <c r="E1458"/>
      <c r="F1458"/>
      <c r="G1458" s="12"/>
      <c r="H1458" s="12"/>
      <c r="I1458" s="12"/>
      <c r="J1458" s="12"/>
    </row>
    <row r="1459" spans="5:10" x14ac:dyDescent="0.25">
      <c r="E1459"/>
      <c r="F1459"/>
      <c r="G1459" s="12"/>
      <c r="H1459" s="12"/>
      <c r="I1459" s="12"/>
      <c r="J1459" s="12"/>
    </row>
    <row r="1460" spans="5:10" x14ac:dyDescent="0.25">
      <c r="E1460"/>
      <c r="F1460"/>
      <c r="G1460" s="12"/>
      <c r="H1460" s="12"/>
      <c r="I1460" s="12"/>
      <c r="J1460" s="12"/>
    </row>
    <row r="1461" spans="5:10" x14ac:dyDescent="0.25">
      <c r="E1461"/>
      <c r="F1461"/>
      <c r="G1461" s="12"/>
      <c r="H1461" s="12"/>
      <c r="I1461" s="12"/>
      <c r="J1461" s="12"/>
    </row>
    <row r="1462" spans="5:10" x14ac:dyDescent="0.25">
      <c r="E1462"/>
      <c r="F1462"/>
      <c r="G1462" s="12"/>
      <c r="H1462" s="12"/>
      <c r="I1462" s="12"/>
      <c r="J1462" s="12"/>
    </row>
    <row r="1463" spans="5:10" x14ac:dyDescent="0.25">
      <c r="E1463"/>
      <c r="F1463"/>
      <c r="G1463" s="12"/>
      <c r="H1463" s="12"/>
      <c r="I1463" s="12"/>
      <c r="J1463" s="12"/>
    </row>
    <row r="1464" spans="5:10" x14ac:dyDescent="0.25">
      <c r="E1464"/>
      <c r="F1464"/>
      <c r="G1464" s="12"/>
      <c r="H1464" s="12"/>
      <c r="I1464" s="12"/>
      <c r="J1464" s="12"/>
    </row>
    <row r="1465" spans="5:10" x14ac:dyDescent="0.25">
      <c r="E1465"/>
      <c r="F1465"/>
      <c r="G1465" s="12"/>
      <c r="H1465" s="12"/>
      <c r="I1465" s="12"/>
      <c r="J1465" s="12"/>
    </row>
    <row r="1466" spans="5:10" x14ac:dyDescent="0.25">
      <c r="E1466"/>
      <c r="F1466"/>
      <c r="G1466" s="12"/>
      <c r="H1466" s="12"/>
      <c r="I1466" s="12"/>
      <c r="J1466" s="12"/>
    </row>
    <row r="1467" spans="5:10" x14ac:dyDescent="0.25">
      <c r="E1467"/>
      <c r="F1467"/>
      <c r="G1467" s="12"/>
      <c r="H1467" s="12"/>
      <c r="I1467" s="12"/>
      <c r="J1467" s="12"/>
    </row>
    <row r="1468" spans="5:10" x14ac:dyDescent="0.25">
      <c r="E1468"/>
      <c r="F1468"/>
      <c r="G1468" s="12"/>
      <c r="H1468" s="12"/>
      <c r="I1468" s="12"/>
      <c r="J1468" s="12"/>
    </row>
    <row r="1469" spans="5:10" x14ac:dyDescent="0.25">
      <c r="E1469"/>
      <c r="F1469"/>
      <c r="G1469" s="12"/>
      <c r="H1469" s="12"/>
      <c r="I1469" s="12"/>
      <c r="J1469" s="12"/>
    </row>
    <row r="1470" spans="5:10" x14ac:dyDescent="0.25">
      <c r="E1470"/>
      <c r="F1470"/>
      <c r="G1470" s="12"/>
      <c r="H1470" s="12"/>
      <c r="I1470" s="12"/>
      <c r="J1470" s="12"/>
    </row>
    <row r="1471" spans="5:10" x14ac:dyDescent="0.25">
      <c r="E1471"/>
      <c r="F1471"/>
      <c r="G1471" s="12"/>
      <c r="H1471" s="12"/>
      <c r="I1471" s="12"/>
      <c r="J1471" s="12"/>
    </row>
    <row r="1472" spans="5:10" x14ac:dyDescent="0.25">
      <c r="E1472"/>
      <c r="F1472"/>
      <c r="G1472" s="12"/>
      <c r="H1472" s="12"/>
      <c r="I1472" s="12"/>
      <c r="J1472" s="12"/>
    </row>
    <row r="1473" spans="5:10" x14ac:dyDescent="0.25">
      <c r="E1473"/>
      <c r="F1473"/>
      <c r="G1473" s="12"/>
      <c r="H1473" s="12"/>
      <c r="I1473" s="12"/>
      <c r="J1473" s="12"/>
    </row>
    <row r="1474" spans="5:10" x14ac:dyDescent="0.25">
      <c r="E1474"/>
      <c r="F1474"/>
      <c r="G1474" s="12"/>
      <c r="H1474" s="12"/>
      <c r="I1474" s="12"/>
      <c r="J1474" s="12"/>
    </row>
    <row r="1475" spans="5:10" x14ac:dyDescent="0.25">
      <c r="E1475"/>
      <c r="F1475"/>
      <c r="G1475" s="12"/>
      <c r="H1475" s="12"/>
      <c r="I1475" s="12"/>
      <c r="J1475" s="12"/>
    </row>
    <row r="1476" spans="5:10" x14ac:dyDescent="0.25">
      <c r="E1476"/>
      <c r="F1476"/>
      <c r="G1476" s="12"/>
      <c r="H1476" s="12"/>
      <c r="I1476" s="12"/>
      <c r="J1476" s="12"/>
    </row>
    <row r="1477" spans="5:10" x14ac:dyDescent="0.25">
      <c r="E1477"/>
      <c r="F1477"/>
      <c r="G1477" s="12"/>
      <c r="H1477" s="12"/>
      <c r="I1477" s="12"/>
      <c r="J1477" s="12"/>
    </row>
    <row r="1478" spans="5:10" x14ac:dyDescent="0.25">
      <c r="E1478"/>
      <c r="F1478"/>
      <c r="G1478" s="12"/>
      <c r="H1478" s="12"/>
      <c r="I1478" s="12"/>
      <c r="J1478" s="12"/>
    </row>
    <row r="1479" spans="5:10" x14ac:dyDescent="0.25">
      <c r="E1479"/>
      <c r="F1479"/>
      <c r="G1479" s="12"/>
      <c r="H1479" s="12"/>
      <c r="I1479" s="12"/>
      <c r="J1479" s="12"/>
    </row>
    <row r="1480" spans="5:10" x14ac:dyDescent="0.25">
      <c r="E1480"/>
      <c r="F1480"/>
      <c r="G1480" s="12"/>
      <c r="H1480" s="12"/>
      <c r="I1480" s="12"/>
      <c r="J1480" s="12"/>
    </row>
    <row r="1481" spans="5:10" x14ac:dyDescent="0.25">
      <c r="E1481"/>
      <c r="F1481"/>
      <c r="G1481" s="12"/>
      <c r="H1481" s="12"/>
      <c r="I1481" s="12"/>
      <c r="J1481" s="12"/>
    </row>
    <row r="1482" spans="5:10" x14ac:dyDescent="0.25">
      <c r="E1482"/>
      <c r="F1482"/>
      <c r="G1482" s="12"/>
      <c r="H1482" s="12"/>
      <c r="I1482" s="12"/>
      <c r="J1482" s="12"/>
    </row>
    <row r="1483" spans="5:10" x14ac:dyDescent="0.25">
      <c r="E1483"/>
      <c r="F1483"/>
      <c r="G1483" s="12"/>
      <c r="H1483" s="12"/>
      <c r="I1483" s="12"/>
      <c r="J1483" s="12"/>
    </row>
    <row r="1484" spans="5:10" x14ac:dyDescent="0.25">
      <c r="E1484"/>
      <c r="F1484"/>
      <c r="G1484" s="12"/>
      <c r="H1484" s="12"/>
      <c r="I1484" s="12"/>
      <c r="J1484" s="12"/>
    </row>
    <row r="1485" spans="5:10" x14ac:dyDescent="0.25">
      <c r="E1485"/>
      <c r="F1485"/>
      <c r="G1485" s="12"/>
      <c r="H1485" s="12"/>
      <c r="I1485" s="12"/>
      <c r="J1485" s="12"/>
    </row>
    <row r="1486" spans="5:10" x14ac:dyDescent="0.25">
      <c r="E1486"/>
      <c r="F1486"/>
      <c r="G1486" s="12"/>
      <c r="H1486" s="12"/>
      <c r="I1486" s="12"/>
      <c r="J1486" s="12"/>
    </row>
    <row r="1487" spans="5:10" x14ac:dyDescent="0.25">
      <c r="E1487"/>
      <c r="F1487"/>
      <c r="G1487" s="12"/>
      <c r="H1487" s="12"/>
      <c r="I1487" s="12"/>
      <c r="J1487" s="12"/>
    </row>
    <row r="1488" spans="5:10" x14ac:dyDescent="0.25">
      <c r="E1488"/>
      <c r="F1488"/>
      <c r="G1488" s="12"/>
      <c r="H1488" s="12"/>
      <c r="I1488" s="12"/>
      <c r="J1488" s="12"/>
    </row>
    <row r="1489" spans="5:10" x14ac:dyDescent="0.25">
      <c r="E1489"/>
      <c r="F1489"/>
      <c r="G1489" s="12"/>
      <c r="H1489" s="12"/>
      <c r="I1489" s="12"/>
      <c r="J1489" s="12"/>
    </row>
    <row r="1490" spans="5:10" x14ac:dyDescent="0.25">
      <c r="E1490"/>
      <c r="F1490"/>
      <c r="G1490" s="12"/>
      <c r="H1490" s="12"/>
      <c r="I1490" s="12"/>
      <c r="J1490" s="12"/>
    </row>
    <row r="1491" spans="5:10" x14ac:dyDescent="0.25">
      <c r="E1491"/>
      <c r="F1491"/>
      <c r="G1491" s="12"/>
      <c r="H1491" s="12"/>
      <c r="I1491" s="12"/>
      <c r="J1491" s="12"/>
    </row>
    <row r="1492" spans="5:10" x14ac:dyDescent="0.25">
      <c r="E1492"/>
      <c r="F1492"/>
      <c r="G1492" s="12"/>
      <c r="H1492" s="12"/>
      <c r="I1492" s="12"/>
      <c r="J1492" s="12"/>
    </row>
    <row r="1493" spans="5:10" x14ac:dyDescent="0.25">
      <c r="E1493"/>
      <c r="F1493"/>
      <c r="G1493" s="12"/>
      <c r="H1493" s="12"/>
      <c r="I1493" s="12"/>
      <c r="J1493" s="12"/>
    </row>
    <row r="1494" spans="5:10" x14ac:dyDescent="0.25">
      <c r="E1494"/>
      <c r="F1494"/>
      <c r="G1494" s="12"/>
      <c r="H1494" s="12"/>
      <c r="I1494" s="12"/>
      <c r="J1494" s="12"/>
    </row>
    <row r="1495" spans="5:10" x14ac:dyDescent="0.25">
      <c r="E1495"/>
      <c r="F1495"/>
      <c r="G1495" s="12"/>
      <c r="H1495" s="12"/>
      <c r="I1495" s="12"/>
      <c r="J1495" s="12"/>
    </row>
    <row r="1496" spans="5:10" x14ac:dyDescent="0.25">
      <c r="E1496"/>
      <c r="F1496"/>
      <c r="G1496" s="12"/>
      <c r="H1496" s="12"/>
      <c r="I1496" s="12"/>
      <c r="J1496" s="12"/>
    </row>
    <row r="1497" spans="5:10" x14ac:dyDescent="0.25">
      <c r="E1497"/>
      <c r="F1497"/>
      <c r="G1497" s="12"/>
      <c r="H1497" s="12"/>
      <c r="I1497" s="12"/>
      <c r="J1497" s="12"/>
    </row>
    <row r="1498" spans="5:10" x14ac:dyDescent="0.25">
      <c r="E1498"/>
      <c r="F1498"/>
      <c r="G1498" s="12"/>
      <c r="H1498" s="12"/>
      <c r="I1498" s="12"/>
      <c r="J1498" s="12"/>
    </row>
    <row r="1499" spans="5:10" x14ac:dyDescent="0.25">
      <c r="E1499"/>
      <c r="F1499"/>
      <c r="G1499" s="12"/>
      <c r="H1499" s="12"/>
      <c r="I1499" s="12"/>
      <c r="J1499" s="12"/>
    </row>
    <row r="1500" spans="5:10" x14ac:dyDescent="0.25">
      <c r="E1500"/>
      <c r="F1500"/>
      <c r="G1500" s="12"/>
      <c r="H1500" s="12"/>
      <c r="I1500" s="12"/>
      <c r="J1500" s="12"/>
    </row>
    <row r="1501" spans="5:10" x14ac:dyDescent="0.25">
      <c r="E1501"/>
      <c r="F1501"/>
      <c r="G1501" s="12"/>
      <c r="H1501" s="12"/>
      <c r="I1501" s="12"/>
      <c r="J1501" s="12"/>
    </row>
    <row r="1502" spans="5:10" x14ac:dyDescent="0.25">
      <c r="E1502"/>
      <c r="F1502"/>
      <c r="G1502" s="12"/>
      <c r="H1502" s="12"/>
      <c r="I1502" s="12"/>
      <c r="J1502" s="12"/>
    </row>
    <row r="1503" spans="5:10" x14ac:dyDescent="0.25">
      <c r="E1503"/>
      <c r="F1503"/>
      <c r="G1503" s="12"/>
      <c r="H1503" s="12"/>
      <c r="I1503" s="12"/>
      <c r="J1503" s="12"/>
    </row>
    <row r="1504" spans="5:10" x14ac:dyDescent="0.25">
      <c r="E1504"/>
      <c r="F1504"/>
      <c r="G1504" s="12"/>
      <c r="H1504" s="12"/>
      <c r="I1504" s="12"/>
      <c r="J1504" s="12"/>
    </row>
    <row r="1505" spans="5:10" x14ac:dyDescent="0.25">
      <c r="E1505"/>
      <c r="F1505"/>
      <c r="G1505" s="12"/>
      <c r="H1505" s="12"/>
      <c r="I1505" s="12"/>
      <c r="J1505" s="12"/>
    </row>
    <row r="1506" spans="5:10" x14ac:dyDescent="0.25">
      <c r="E1506"/>
      <c r="F1506"/>
      <c r="G1506" s="12"/>
      <c r="H1506" s="12"/>
      <c r="I1506" s="12"/>
      <c r="J1506" s="12"/>
    </row>
    <row r="1507" spans="5:10" x14ac:dyDescent="0.25">
      <c r="E1507"/>
      <c r="F1507"/>
      <c r="G1507" s="12"/>
      <c r="H1507" s="12"/>
      <c r="I1507" s="12"/>
      <c r="J1507" s="12"/>
    </row>
    <row r="1508" spans="5:10" x14ac:dyDescent="0.25">
      <c r="E1508"/>
      <c r="F1508"/>
      <c r="G1508" s="12"/>
      <c r="H1508" s="12"/>
      <c r="I1508" s="12"/>
      <c r="J1508" s="12"/>
    </row>
    <row r="1509" spans="5:10" x14ac:dyDescent="0.25">
      <c r="E1509"/>
      <c r="F1509"/>
      <c r="G1509" s="12"/>
      <c r="H1509" s="12"/>
      <c r="I1509" s="12"/>
      <c r="J1509" s="12"/>
    </row>
    <row r="1510" spans="5:10" x14ac:dyDescent="0.25">
      <c r="E1510"/>
      <c r="F1510"/>
      <c r="G1510" s="12"/>
      <c r="H1510" s="12"/>
      <c r="I1510" s="12"/>
      <c r="J1510" s="12"/>
    </row>
    <row r="1511" spans="5:10" x14ac:dyDescent="0.25">
      <c r="E1511"/>
      <c r="F1511"/>
      <c r="G1511" s="12"/>
      <c r="H1511" s="12"/>
      <c r="I1511" s="12"/>
      <c r="J1511" s="12"/>
    </row>
    <row r="1512" spans="5:10" x14ac:dyDescent="0.25">
      <c r="E1512"/>
      <c r="F1512"/>
      <c r="G1512" s="12"/>
      <c r="H1512" s="12"/>
      <c r="I1512" s="12"/>
      <c r="J1512" s="12"/>
    </row>
    <row r="1513" spans="5:10" x14ac:dyDescent="0.25">
      <c r="E1513"/>
      <c r="F1513"/>
      <c r="G1513" s="12"/>
      <c r="H1513" s="12"/>
      <c r="I1513" s="12"/>
      <c r="J1513" s="12"/>
    </row>
    <row r="1514" spans="5:10" x14ac:dyDescent="0.25">
      <c r="E1514"/>
      <c r="F1514"/>
      <c r="G1514" s="12"/>
      <c r="H1514" s="12"/>
      <c r="I1514" s="12"/>
      <c r="J1514" s="12"/>
    </row>
    <row r="1515" spans="5:10" x14ac:dyDescent="0.25">
      <c r="E1515"/>
      <c r="F1515"/>
      <c r="G1515" s="12"/>
      <c r="H1515" s="12"/>
      <c r="I1515" s="12"/>
      <c r="J1515" s="12"/>
    </row>
    <row r="1516" spans="5:10" x14ac:dyDescent="0.25">
      <c r="E1516"/>
      <c r="F1516"/>
      <c r="G1516" s="12"/>
      <c r="H1516" s="12"/>
      <c r="I1516" s="12"/>
      <c r="J1516" s="12"/>
    </row>
    <row r="1517" spans="5:10" x14ac:dyDescent="0.25">
      <c r="E1517"/>
      <c r="F1517"/>
      <c r="G1517" s="12"/>
      <c r="H1517" s="12"/>
      <c r="I1517" s="12"/>
      <c r="J1517" s="12"/>
    </row>
    <row r="1518" spans="5:10" x14ac:dyDescent="0.25">
      <c r="E1518"/>
      <c r="F1518"/>
      <c r="G1518" s="12"/>
      <c r="H1518" s="12"/>
      <c r="I1518" s="12"/>
      <c r="J1518" s="12"/>
    </row>
    <row r="1519" spans="5:10" x14ac:dyDescent="0.25">
      <c r="E1519"/>
      <c r="F1519"/>
      <c r="G1519" s="12"/>
      <c r="H1519" s="12"/>
      <c r="I1519" s="12"/>
      <c r="J1519" s="12"/>
    </row>
    <row r="1520" spans="5:10" x14ac:dyDescent="0.25">
      <c r="E1520"/>
      <c r="F1520"/>
      <c r="G1520" s="12"/>
      <c r="H1520" s="12"/>
      <c r="I1520" s="12"/>
      <c r="J1520" s="12"/>
    </row>
    <row r="1521" spans="5:10" x14ac:dyDescent="0.25">
      <c r="E1521"/>
      <c r="F1521"/>
      <c r="G1521" s="12"/>
      <c r="H1521" s="12"/>
      <c r="I1521" s="12"/>
      <c r="J1521" s="12"/>
    </row>
    <row r="1522" spans="5:10" x14ac:dyDescent="0.25">
      <c r="E1522"/>
      <c r="F1522"/>
      <c r="G1522" s="12"/>
      <c r="H1522" s="12"/>
      <c r="I1522" s="12"/>
      <c r="J1522" s="12"/>
    </row>
    <row r="1523" spans="5:10" x14ac:dyDescent="0.25">
      <c r="E1523"/>
      <c r="F1523"/>
      <c r="G1523" s="12"/>
      <c r="H1523" s="12"/>
      <c r="I1523" s="12"/>
      <c r="J1523" s="12"/>
    </row>
    <row r="1524" spans="5:10" x14ac:dyDescent="0.25">
      <c r="E1524"/>
      <c r="F1524"/>
      <c r="G1524" s="12"/>
      <c r="H1524" s="12"/>
      <c r="I1524" s="12"/>
      <c r="J1524" s="12"/>
    </row>
    <row r="1525" spans="5:10" x14ac:dyDescent="0.25">
      <c r="E1525"/>
      <c r="F1525"/>
      <c r="G1525" s="12"/>
      <c r="H1525" s="12"/>
      <c r="I1525" s="12"/>
      <c r="J1525" s="12"/>
    </row>
    <row r="1526" spans="5:10" x14ac:dyDescent="0.25">
      <c r="E1526"/>
      <c r="F1526"/>
      <c r="G1526" s="12"/>
      <c r="H1526" s="12"/>
      <c r="I1526" s="12"/>
      <c r="J1526" s="12"/>
    </row>
    <row r="1527" spans="5:10" x14ac:dyDescent="0.25">
      <c r="E1527"/>
      <c r="F1527"/>
      <c r="G1527" s="12"/>
      <c r="H1527" s="12"/>
      <c r="I1527" s="12"/>
      <c r="J1527" s="12"/>
    </row>
    <row r="1528" spans="5:10" x14ac:dyDescent="0.25">
      <c r="E1528"/>
      <c r="F1528"/>
      <c r="G1528" s="12"/>
      <c r="H1528" s="12"/>
      <c r="I1528" s="12"/>
      <c r="J1528" s="12"/>
    </row>
    <row r="1529" spans="5:10" x14ac:dyDescent="0.25">
      <c r="E1529"/>
      <c r="F1529"/>
      <c r="G1529" s="12"/>
      <c r="H1529" s="12"/>
      <c r="I1529" s="12"/>
      <c r="J1529" s="12"/>
    </row>
    <row r="1530" spans="5:10" x14ac:dyDescent="0.25">
      <c r="E1530"/>
      <c r="F1530"/>
      <c r="G1530" s="12"/>
      <c r="H1530" s="12"/>
      <c r="I1530" s="12"/>
      <c r="J1530" s="12"/>
    </row>
    <row r="1531" spans="5:10" x14ac:dyDescent="0.25">
      <c r="E1531"/>
      <c r="F1531"/>
      <c r="G1531" s="12"/>
      <c r="H1531" s="12"/>
      <c r="I1531" s="12"/>
      <c r="J1531" s="12"/>
    </row>
    <row r="1532" spans="5:10" x14ac:dyDescent="0.25">
      <c r="E1532"/>
      <c r="F1532"/>
      <c r="G1532" s="12"/>
      <c r="H1532" s="12"/>
      <c r="I1532" s="12"/>
      <c r="J1532" s="12"/>
    </row>
    <row r="1533" spans="5:10" x14ac:dyDescent="0.25">
      <c r="E1533"/>
      <c r="F1533"/>
      <c r="G1533" s="12"/>
      <c r="H1533" s="12"/>
      <c r="I1533" s="12"/>
      <c r="J1533" s="12"/>
    </row>
    <row r="1534" spans="5:10" x14ac:dyDescent="0.25">
      <c r="E1534"/>
      <c r="F1534"/>
      <c r="G1534" s="12"/>
      <c r="H1534" s="12"/>
      <c r="I1534" s="12"/>
      <c r="J1534" s="12"/>
    </row>
    <row r="1535" spans="5:10" x14ac:dyDescent="0.25">
      <c r="E1535"/>
      <c r="F1535"/>
      <c r="G1535" s="12"/>
      <c r="H1535" s="12"/>
      <c r="I1535" s="12"/>
      <c r="J1535" s="12"/>
    </row>
    <row r="1536" spans="5:10" x14ac:dyDescent="0.25">
      <c r="E1536"/>
      <c r="F1536"/>
      <c r="G1536" s="12"/>
      <c r="H1536" s="12"/>
      <c r="I1536" s="12"/>
      <c r="J1536" s="12"/>
    </row>
    <row r="1537" spans="5:10" x14ac:dyDescent="0.25">
      <c r="E1537"/>
      <c r="F1537"/>
      <c r="G1537" s="12"/>
      <c r="H1537" s="12"/>
      <c r="I1537" s="12"/>
      <c r="J1537" s="12"/>
    </row>
    <row r="1538" spans="5:10" x14ac:dyDescent="0.25">
      <c r="E1538"/>
      <c r="F1538"/>
      <c r="G1538" s="12"/>
      <c r="H1538" s="12"/>
      <c r="I1538" s="12"/>
      <c r="J1538" s="12"/>
    </row>
    <row r="1539" spans="5:10" x14ac:dyDescent="0.25">
      <c r="E1539"/>
      <c r="F1539"/>
      <c r="G1539" s="12"/>
      <c r="H1539" s="12"/>
      <c r="I1539" s="12"/>
      <c r="J1539" s="12"/>
    </row>
    <row r="1540" spans="5:10" x14ac:dyDescent="0.25">
      <c r="E1540"/>
      <c r="F1540"/>
      <c r="G1540" s="12"/>
      <c r="H1540" s="12"/>
      <c r="I1540" s="12"/>
      <c r="J1540" s="12"/>
    </row>
    <row r="1541" spans="5:10" x14ac:dyDescent="0.25">
      <c r="E1541"/>
      <c r="F1541"/>
      <c r="G1541" s="12"/>
      <c r="H1541" s="12"/>
      <c r="I1541" s="12"/>
      <c r="J1541" s="12"/>
    </row>
    <row r="1542" spans="5:10" x14ac:dyDescent="0.25">
      <c r="E1542"/>
      <c r="F1542"/>
      <c r="G1542" s="12"/>
      <c r="H1542" s="12"/>
      <c r="I1542" s="12"/>
      <c r="J1542" s="12"/>
    </row>
    <row r="1543" spans="5:10" x14ac:dyDescent="0.25">
      <c r="E1543"/>
      <c r="F1543"/>
      <c r="G1543" s="12"/>
      <c r="H1543" s="12"/>
      <c r="I1543" s="12"/>
      <c r="J1543" s="12"/>
    </row>
    <row r="1544" spans="5:10" x14ac:dyDescent="0.25">
      <c r="E1544"/>
      <c r="F1544"/>
      <c r="G1544" s="12"/>
      <c r="H1544" s="12"/>
      <c r="I1544" s="12"/>
      <c r="J1544" s="12"/>
    </row>
    <row r="1545" spans="5:10" x14ac:dyDescent="0.25">
      <c r="E1545"/>
      <c r="F1545"/>
      <c r="G1545" s="12"/>
      <c r="H1545" s="12"/>
      <c r="I1545" s="12"/>
      <c r="J1545" s="12"/>
    </row>
    <row r="1546" spans="5:10" x14ac:dyDescent="0.25">
      <c r="E1546"/>
      <c r="F1546"/>
      <c r="G1546" s="12"/>
      <c r="H1546" s="12"/>
      <c r="I1546" s="12"/>
      <c r="J1546" s="12"/>
    </row>
    <row r="1547" spans="5:10" x14ac:dyDescent="0.25">
      <c r="E1547"/>
      <c r="F1547"/>
      <c r="G1547" s="12"/>
      <c r="H1547" s="12"/>
      <c r="I1547" s="12"/>
      <c r="J1547" s="12"/>
    </row>
    <row r="1548" spans="5:10" x14ac:dyDescent="0.25">
      <c r="E1548"/>
      <c r="F1548"/>
      <c r="G1548" s="12"/>
      <c r="H1548" s="12"/>
      <c r="I1548" s="12"/>
      <c r="J1548" s="12"/>
    </row>
    <row r="1549" spans="5:10" x14ac:dyDescent="0.25">
      <c r="E1549"/>
      <c r="F1549"/>
      <c r="G1549" s="12"/>
      <c r="H1549" s="12"/>
      <c r="I1549" s="12"/>
      <c r="J1549" s="12"/>
    </row>
    <row r="1550" spans="5:10" x14ac:dyDescent="0.25">
      <c r="E1550"/>
      <c r="F1550"/>
      <c r="G1550" s="12"/>
      <c r="H1550" s="12"/>
      <c r="I1550" s="12"/>
      <c r="J1550" s="12"/>
    </row>
    <row r="1551" spans="5:10" x14ac:dyDescent="0.25">
      <c r="E1551"/>
      <c r="F1551"/>
      <c r="G1551" s="12"/>
      <c r="H1551" s="12"/>
      <c r="I1551" s="12"/>
      <c r="J1551" s="12"/>
    </row>
    <row r="1552" spans="5:10" x14ac:dyDescent="0.25">
      <c r="E1552"/>
      <c r="F1552"/>
      <c r="G1552" s="12"/>
      <c r="H1552" s="12"/>
      <c r="I1552" s="12"/>
      <c r="J1552" s="12"/>
    </row>
    <row r="1553" spans="5:10" x14ac:dyDescent="0.25">
      <c r="E1553"/>
      <c r="F1553"/>
      <c r="G1553" s="12"/>
      <c r="H1553" s="12"/>
      <c r="I1553" s="12"/>
      <c r="J1553" s="12"/>
    </row>
    <row r="1554" spans="5:10" x14ac:dyDescent="0.25">
      <c r="E1554"/>
      <c r="F1554"/>
      <c r="G1554" s="12"/>
      <c r="H1554" s="12"/>
      <c r="I1554" s="12"/>
      <c r="J1554" s="12"/>
    </row>
    <row r="1555" spans="5:10" x14ac:dyDescent="0.25">
      <c r="E1555"/>
      <c r="F1555"/>
      <c r="G1555" s="12"/>
      <c r="H1555" s="12"/>
      <c r="I1555" s="12"/>
      <c r="J1555" s="12"/>
    </row>
    <row r="1556" spans="5:10" x14ac:dyDescent="0.25">
      <c r="E1556"/>
      <c r="F1556"/>
      <c r="G1556" s="12"/>
      <c r="H1556" s="12"/>
      <c r="I1556" s="12"/>
      <c r="J1556" s="12"/>
    </row>
    <row r="1557" spans="5:10" x14ac:dyDescent="0.25">
      <c r="E1557"/>
      <c r="F1557"/>
      <c r="G1557" s="12"/>
      <c r="H1557" s="12"/>
      <c r="I1557" s="12"/>
      <c r="J1557" s="12"/>
    </row>
    <row r="1558" spans="5:10" x14ac:dyDescent="0.25">
      <c r="E1558"/>
      <c r="F1558"/>
      <c r="G1558" s="12"/>
      <c r="H1558" s="12"/>
      <c r="I1558" s="12"/>
      <c r="J1558" s="12"/>
    </row>
    <row r="1559" spans="5:10" x14ac:dyDescent="0.25">
      <c r="E1559"/>
      <c r="F1559"/>
      <c r="G1559" s="12"/>
      <c r="H1559" s="12"/>
      <c r="I1559" s="12"/>
      <c r="J1559" s="12"/>
    </row>
    <row r="1560" spans="5:10" x14ac:dyDescent="0.25">
      <c r="E1560"/>
      <c r="F1560"/>
      <c r="G1560" s="12"/>
      <c r="H1560" s="12"/>
      <c r="I1560" s="12"/>
      <c r="J1560" s="12"/>
    </row>
    <row r="1561" spans="5:10" x14ac:dyDescent="0.25">
      <c r="E1561"/>
      <c r="F1561"/>
      <c r="G1561" s="12"/>
      <c r="H1561" s="12"/>
      <c r="I1561" s="12"/>
      <c r="J1561" s="12"/>
    </row>
    <row r="1562" spans="5:10" x14ac:dyDescent="0.25">
      <c r="E1562"/>
      <c r="F1562"/>
      <c r="G1562" s="12"/>
      <c r="H1562" s="12"/>
      <c r="I1562" s="12"/>
      <c r="J1562" s="12"/>
    </row>
    <row r="1563" spans="5:10" x14ac:dyDescent="0.25">
      <c r="E1563"/>
      <c r="F1563"/>
      <c r="G1563" s="12"/>
      <c r="H1563" s="12"/>
      <c r="I1563" s="12"/>
      <c r="J1563" s="12"/>
    </row>
    <row r="1564" spans="5:10" x14ac:dyDescent="0.25">
      <c r="E1564"/>
      <c r="F1564"/>
      <c r="G1564" s="12"/>
      <c r="H1564" s="12"/>
      <c r="I1564" s="12"/>
      <c r="J1564" s="12"/>
    </row>
    <row r="1565" spans="5:10" x14ac:dyDescent="0.25">
      <c r="E1565"/>
      <c r="F1565"/>
      <c r="G1565" s="12"/>
      <c r="H1565" s="12"/>
      <c r="I1565" s="12"/>
      <c r="J1565" s="12"/>
    </row>
    <row r="1566" spans="5:10" x14ac:dyDescent="0.25">
      <c r="E1566"/>
      <c r="F1566"/>
      <c r="G1566" s="12"/>
      <c r="H1566" s="12"/>
      <c r="I1566" s="12"/>
      <c r="J1566" s="12"/>
    </row>
    <row r="1567" spans="5:10" x14ac:dyDescent="0.25">
      <c r="E1567"/>
      <c r="F1567"/>
      <c r="G1567" s="12"/>
      <c r="H1567" s="12"/>
      <c r="I1567" s="12"/>
      <c r="J1567" s="12"/>
    </row>
    <row r="1568" spans="5:10" x14ac:dyDescent="0.25">
      <c r="E1568"/>
      <c r="F1568"/>
      <c r="G1568" s="12"/>
      <c r="H1568" s="12"/>
      <c r="I1568" s="12"/>
      <c r="J1568" s="12"/>
    </row>
    <row r="1569" spans="5:10" x14ac:dyDescent="0.25">
      <c r="E1569"/>
      <c r="F1569"/>
      <c r="G1569" s="12"/>
      <c r="H1569" s="12"/>
      <c r="I1569" s="12"/>
      <c r="J1569" s="12"/>
    </row>
    <row r="1570" spans="5:10" x14ac:dyDescent="0.25">
      <c r="E1570"/>
      <c r="F1570"/>
      <c r="G1570" s="12"/>
      <c r="H1570" s="12"/>
      <c r="I1570" s="12"/>
      <c r="J1570" s="12"/>
    </row>
    <row r="1571" spans="5:10" x14ac:dyDescent="0.25">
      <c r="E1571"/>
      <c r="F1571"/>
      <c r="G1571" s="12"/>
      <c r="H1571" s="12"/>
      <c r="I1571" s="12"/>
      <c r="J1571" s="12"/>
    </row>
    <row r="1572" spans="5:10" x14ac:dyDescent="0.25">
      <c r="E1572"/>
      <c r="F1572"/>
      <c r="G1572" s="12"/>
      <c r="H1572" s="12"/>
      <c r="I1572" s="12"/>
      <c r="J1572" s="12"/>
    </row>
    <row r="1573" spans="5:10" x14ac:dyDescent="0.25">
      <c r="E1573"/>
      <c r="F1573"/>
      <c r="G1573" s="12"/>
      <c r="H1573" s="12"/>
      <c r="I1573" s="12"/>
      <c r="J1573" s="12"/>
    </row>
    <row r="1574" spans="5:10" x14ac:dyDescent="0.25">
      <c r="E1574"/>
      <c r="F1574"/>
      <c r="G1574" s="12"/>
      <c r="H1574" s="12"/>
      <c r="I1574" s="12"/>
      <c r="J1574" s="12"/>
    </row>
    <row r="1575" spans="5:10" x14ac:dyDescent="0.25">
      <c r="E1575"/>
      <c r="F1575"/>
      <c r="G1575" s="12"/>
      <c r="H1575" s="12"/>
      <c r="I1575" s="12"/>
      <c r="J1575" s="12"/>
    </row>
    <row r="1576" spans="5:10" x14ac:dyDescent="0.25">
      <c r="E1576"/>
      <c r="F1576"/>
      <c r="G1576" s="12"/>
      <c r="H1576" s="12"/>
      <c r="I1576" s="12"/>
      <c r="J1576" s="12"/>
    </row>
    <row r="1577" spans="5:10" x14ac:dyDescent="0.25">
      <c r="E1577"/>
      <c r="F1577"/>
      <c r="G1577" s="12"/>
      <c r="H1577" s="12"/>
      <c r="I1577" s="12"/>
      <c r="J1577" s="12"/>
    </row>
    <row r="1578" spans="5:10" x14ac:dyDescent="0.25">
      <c r="E1578"/>
      <c r="F1578"/>
      <c r="G1578" s="12"/>
      <c r="H1578" s="12"/>
      <c r="I1578" s="12"/>
      <c r="J1578" s="12"/>
    </row>
    <row r="1579" spans="5:10" x14ac:dyDescent="0.25">
      <c r="E1579"/>
      <c r="F1579"/>
      <c r="G1579" s="12"/>
      <c r="H1579" s="12"/>
      <c r="I1579" s="12"/>
      <c r="J1579" s="12"/>
    </row>
    <row r="1580" spans="5:10" x14ac:dyDescent="0.25">
      <c r="E1580"/>
      <c r="F1580"/>
      <c r="G1580" s="12"/>
      <c r="H1580" s="12"/>
      <c r="I1580" s="12"/>
      <c r="J1580" s="12"/>
    </row>
    <row r="1581" spans="5:10" x14ac:dyDescent="0.25">
      <c r="E1581"/>
      <c r="F1581"/>
      <c r="G1581" s="12"/>
      <c r="H1581" s="12"/>
      <c r="I1581" s="12"/>
      <c r="J1581" s="12"/>
    </row>
    <row r="1582" spans="5:10" x14ac:dyDescent="0.25">
      <c r="E1582"/>
      <c r="F1582"/>
      <c r="G1582" s="12"/>
      <c r="H1582" s="12"/>
      <c r="I1582" s="12"/>
      <c r="J1582" s="12"/>
    </row>
    <row r="1583" spans="5:10" x14ac:dyDescent="0.25">
      <c r="E1583"/>
      <c r="F1583"/>
      <c r="G1583" s="12"/>
      <c r="H1583" s="12"/>
      <c r="I1583" s="12"/>
      <c r="J1583" s="12"/>
    </row>
    <row r="1584" spans="5:10" x14ac:dyDescent="0.25">
      <c r="E1584"/>
      <c r="F1584"/>
      <c r="G1584" s="12"/>
      <c r="H1584" s="12"/>
      <c r="I1584" s="12"/>
      <c r="J1584" s="12"/>
    </row>
    <row r="1585" spans="5:10" x14ac:dyDescent="0.25">
      <c r="E1585"/>
      <c r="F1585"/>
      <c r="G1585" s="12"/>
      <c r="H1585" s="12"/>
      <c r="I1585" s="12"/>
      <c r="J1585" s="12"/>
    </row>
    <row r="1586" spans="5:10" x14ac:dyDescent="0.25">
      <c r="E1586"/>
      <c r="F1586"/>
      <c r="G1586" s="12"/>
      <c r="H1586" s="12"/>
      <c r="I1586" s="12"/>
      <c r="J1586" s="12"/>
    </row>
    <row r="1587" spans="5:10" x14ac:dyDescent="0.25">
      <c r="E1587"/>
      <c r="F1587"/>
      <c r="G1587" s="12"/>
      <c r="H1587" s="12"/>
      <c r="I1587" s="12"/>
      <c r="J1587" s="12"/>
    </row>
    <row r="1588" spans="5:10" x14ac:dyDescent="0.25">
      <c r="E1588"/>
      <c r="F1588"/>
      <c r="G1588" s="12"/>
      <c r="H1588" s="12"/>
      <c r="I1588" s="12"/>
      <c r="J1588" s="12"/>
    </row>
    <row r="1589" spans="5:10" x14ac:dyDescent="0.25">
      <c r="E1589"/>
      <c r="F1589"/>
      <c r="G1589" s="12"/>
      <c r="H1589" s="12"/>
      <c r="I1589" s="12"/>
      <c r="J1589" s="12"/>
    </row>
    <row r="1590" spans="5:10" x14ac:dyDescent="0.25">
      <c r="E1590"/>
      <c r="F1590"/>
      <c r="G1590" s="12"/>
      <c r="H1590" s="12"/>
      <c r="I1590" s="12"/>
      <c r="J1590" s="12"/>
    </row>
    <row r="1591" spans="5:10" x14ac:dyDescent="0.25">
      <c r="E1591"/>
      <c r="F1591"/>
      <c r="G1591" s="12"/>
      <c r="H1591" s="12"/>
      <c r="I1591" s="12"/>
      <c r="J1591" s="12"/>
    </row>
    <row r="1592" spans="5:10" x14ac:dyDescent="0.25">
      <c r="E1592"/>
      <c r="F1592"/>
      <c r="G1592" s="12"/>
      <c r="H1592" s="12"/>
      <c r="I1592" s="12"/>
      <c r="J1592" s="12"/>
    </row>
    <row r="1593" spans="5:10" x14ac:dyDescent="0.25">
      <c r="E1593"/>
      <c r="F1593"/>
      <c r="G1593" s="12"/>
      <c r="H1593" s="12"/>
      <c r="I1593" s="12"/>
      <c r="J1593" s="12"/>
    </row>
    <row r="1594" spans="5:10" x14ac:dyDescent="0.25">
      <c r="E1594"/>
      <c r="F1594"/>
      <c r="G1594" s="12"/>
      <c r="H1594" s="12"/>
      <c r="I1594" s="12"/>
      <c r="J1594" s="12"/>
    </row>
    <row r="1595" spans="5:10" x14ac:dyDescent="0.25">
      <c r="E1595"/>
      <c r="F1595"/>
      <c r="G1595" s="12"/>
      <c r="H1595" s="12"/>
      <c r="I1595" s="12"/>
      <c r="J1595" s="12"/>
    </row>
    <row r="1596" spans="5:10" x14ac:dyDescent="0.25">
      <c r="E1596"/>
      <c r="F1596"/>
      <c r="G1596" s="12"/>
      <c r="H1596" s="12"/>
      <c r="I1596" s="12"/>
      <c r="J1596" s="12"/>
    </row>
    <row r="1597" spans="5:10" x14ac:dyDescent="0.25">
      <c r="E1597"/>
      <c r="F1597"/>
      <c r="G1597" s="12"/>
      <c r="H1597" s="12"/>
      <c r="I1597" s="12"/>
      <c r="J1597" s="12"/>
    </row>
    <row r="1598" spans="5:10" x14ac:dyDescent="0.25">
      <c r="E1598"/>
      <c r="F1598"/>
      <c r="G1598" s="12"/>
      <c r="H1598" s="12"/>
      <c r="I1598" s="12"/>
      <c r="J1598" s="12"/>
    </row>
    <row r="1599" spans="5:10" x14ac:dyDescent="0.25">
      <c r="E1599"/>
      <c r="F1599"/>
      <c r="G1599" s="12"/>
      <c r="H1599" s="12"/>
      <c r="I1599" s="12"/>
      <c r="J1599" s="12"/>
    </row>
    <row r="1600" spans="5:10" x14ac:dyDescent="0.25">
      <c r="E1600"/>
      <c r="F1600"/>
      <c r="G1600" s="12"/>
      <c r="H1600" s="12"/>
      <c r="I1600" s="12"/>
      <c r="J1600" s="12"/>
    </row>
    <row r="1601" spans="5:10" x14ac:dyDescent="0.25">
      <c r="E1601"/>
      <c r="F1601"/>
      <c r="G1601" s="12"/>
      <c r="H1601" s="12"/>
      <c r="I1601" s="12"/>
      <c r="J1601" s="12"/>
    </row>
    <row r="1602" spans="5:10" x14ac:dyDescent="0.25">
      <c r="E1602"/>
      <c r="F1602"/>
      <c r="G1602" s="12"/>
      <c r="H1602" s="12"/>
      <c r="I1602" s="12"/>
      <c r="J1602" s="12"/>
    </row>
    <row r="1603" spans="5:10" x14ac:dyDescent="0.25">
      <c r="E1603"/>
      <c r="F1603"/>
      <c r="G1603" s="12"/>
      <c r="H1603" s="12"/>
      <c r="I1603" s="12"/>
      <c r="J1603" s="12"/>
    </row>
    <row r="1604" spans="5:10" x14ac:dyDescent="0.25">
      <c r="E1604"/>
      <c r="F1604"/>
      <c r="G1604" s="12"/>
      <c r="H1604" s="12"/>
      <c r="I1604" s="12"/>
      <c r="J1604" s="12"/>
    </row>
    <row r="1605" spans="5:10" x14ac:dyDescent="0.25">
      <c r="E1605"/>
      <c r="F1605"/>
      <c r="G1605" s="12"/>
      <c r="H1605" s="12"/>
      <c r="I1605" s="12"/>
      <c r="J1605" s="12"/>
    </row>
    <row r="1606" spans="5:10" x14ac:dyDescent="0.25">
      <c r="E1606"/>
      <c r="F1606"/>
      <c r="G1606" s="12"/>
      <c r="H1606" s="12"/>
      <c r="I1606" s="12"/>
      <c r="J1606" s="12"/>
    </row>
    <row r="1607" spans="5:10" x14ac:dyDescent="0.25">
      <c r="E1607"/>
      <c r="F1607"/>
      <c r="G1607" s="12"/>
      <c r="H1607" s="12"/>
      <c r="I1607" s="12"/>
      <c r="J1607" s="12"/>
    </row>
    <row r="1608" spans="5:10" x14ac:dyDescent="0.25">
      <c r="E1608"/>
      <c r="F1608"/>
      <c r="G1608" s="12"/>
      <c r="H1608" s="12"/>
      <c r="I1608" s="12"/>
      <c r="J1608" s="12"/>
    </row>
    <row r="1609" spans="5:10" x14ac:dyDescent="0.25">
      <c r="E1609"/>
      <c r="F1609"/>
      <c r="G1609" s="12"/>
      <c r="H1609" s="12"/>
      <c r="I1609" s="12"/>
      <c r="J1609" s="12"/>
    </row>
    <row r="1610" spans="5:10" x14ac:dyDescent="0.25">
      <c r="E1610"/>
      <c r="F1610"/>
      <c r="G1610" s="12"/>
      <c r="H1610" s="12"/>
      <c r="I1610" s="12"/>
      <c r="J1610" s="12"/>
    </row>
    <row r="1611" spans="5:10" x14ac:dyDescent="0.25">
      <c r="E1611"/>
      <c r="F1611"/>
      <c r="G1611" s="12"/>
      <c r="H1611" s="12"/>
      <c r="I1611" s="12"/>
      <c r="J1611" s="12"/>
    </row>
    <row r="1612" spans="5:10" x14ac:dyDescent="0.25">
      <c r="E1612"/>
      <c r="F1612"/>
      <c r="G1612" s="12"/>
      <c r="H1612" s="12"/>
      <c r="I1612" s="12"/>
      <c r="J1612" s="12"/>
    </row>
    <row r="1613" spans="5:10" x14ac:dyDescent="0.25">
      <c r="E1613"/>
      <c r="F1613"/>
      <c r="G1613" s="12"/>
      <c r="H1613" s="12"/>
      <c r="I1613" s="12"/>
      <c r="J1613" s="12"/>
    </row>
    <row r="1614" spans="5:10" x14ac:dyDescent="0.25">
      <c r="E1614"/>
      <c r="F1614"/>
      <c r="G1614" s="12"/>
      <c r="H1614" s="12"/>
      <c r="I1614" s="12"/>
      <c r="J1614" s="12"/>
    </row>
    <row r="1615" spans="5:10" x14ac:dyDescent="0.25">
      <c r="E1615"/>
      <c r="F1615"/>
      <c r="G1615" s="12"/>
      <c r="H1615" s="12"/>
      <c r="I1615" s="12"/>
      <c r="J1615" s="12"/>
    </row>
    <row r="1616" spans="5:10" x14ac:dyDescent="0.25">
      <c r="E1616"/>
      <c r="F1616"/>
      <c r="G1616" s="12"/>
      <c r="H1616" s="12"/>
      <c r="I1616" s="12"/>
      <c r="J1616" s="12"/>
    </row>
    <row r="1617" spans="5:10" x14ac:dyDescent="0.25">
      <c r="E1617"/>
      <c r="F1617"/>
      <c r="G1617" s="12"/>
      <c r="H1617" s="12"/>
      <c r="I1617" s="12"/>
      <c r="J1617" s="12"/>
    </row>
    <row r="1618" spans="5:10" x14ac:dyDescent="0.25">
      <c r="E1618"/>
      <c r="F1618"/>
      <c r="G1618" s="12"/>
      <c r="H1618" s="12"/>
      <c r="I1618" s="12"/>
      <c r="J1618" s="12"/>
    </row>
    <row r="1619" spans="5:10" x14ac:dyDescent="0.25">
      <c r="E1619"/>
      <c r="F1619"/>
      <c r="G1619" s="12"/>
      <c r="H1619" s="12"/>
      <c r="I1619" s="12"/>
      <c r="J1619" s="12"/>
    </row>
    <row r="1620" spans="5:10" x14ac:dyDescent="0.25">
      <c r="E1620"/>
      <c r="F1620"/>
      <c r="G1620" s="12"/>
      <c r="H1620" s="12"/>
      <c r="I1620" s="12"/>
      <c r="J1620" s="12"/>
    </row>
    <row r="1621" spans="5:10" x14ac:dyDescent="0.25">
      <c r="E1621"/>
      <c r="F1621"/>
      <c r="G1621" s="12"/>
      <c r="H1621" s="12"/>
      <c r="I1621" s="12"/>
      <c r="J1621" s="12"/>
    </row>
    <row r="1622" spans="5:10" x14ac:dyDescent="0.25">
      <c r="E1622"/>
      <c r="F1622"/>
      <c r="G1622" s="12"/>
      <c r="H1622" s="12"/>
      <c r="I1622" s="12"/>
      <c r="J1622" s="12"/>
    </row>
    <row r="1623" spans="5:10" x14ac:dyDescent="0.25">
      <c r="E1623"/>
      <c r="F1623"/>
      <c r="G1623" s="12"/>
      <c r="H1623" s="12"/>
      <c r="I1623" s="12"/>
      <c r="J1623" s="12"/>
    </row>
    <row r="1624" spans="5:10" x14ac:dyDescent="0.25">
      <c r="E1624"/>
      <c r="F1624"/>
      <c r="G1624" s="12"/>
      <c r="H1624" s="12"/>
      <c r="I1624" s="12"/>
      <c r="J1624" s="12"/>
    </row>
    <row r="1625" spans="5:10" x14ac:dyDescent="0.25">
      <c r="E1625"/>
      <c r="F1625"/>
      <c r="G1625" s="12"/>
      <c r="H1625" s="12"/>
      <c r="I1625" s="12"/>
      <c r="J1625" s="12"/>
    </row>
    <row r="1626" spans="5:10" x14ac:dyDescent="0.25">
      <c r="E1626"/>
      <c r="F1626"/>
      <c r="G1626" s="12"/>
      <c r="H1626" s="12"/>
      <c r="I1626" s="12"/>
      <c r="J1626" s="12"/>
    </row>
    <row r="1627" spans="5:10" x14ac:dyDescent="0.25">
      <c r="E1627"/>
      <c r="F1627"/>
      <c r="G1627" s="12"/>
      <c r="H1627" s="12"/>
      <c r="I1627" s="12"/>
      <c r="J1627" s="12"/>
    </row>
    <row r="1628" spans="5:10" x14ac:dyDescent="0.25">
      <c r="E1628"/>
      <c r="F1628"/>
      <c r="G1628" s="12"/>
      <c r="H1628" s="12"/>
      <c r="I1628" s="12"/>
      <c r="J1628" s="12"/>
    </row>
    <row r="1629" spans="5:10" x14ac:dyDescent="0.25">
      <c r="E1629"/>
      <c r="F1629"/>
      <c r="G1629" s="12"/>
      <c r="H1629" s="12"/>
      <c r="I1629" s="12"/>
      <c r="J1629" s="12"/>
    </row>
    <row r="1630" spans="5:10" x14ac:dyDescent="0.25">
      <c r="E1630"/>
      <c r="F1630"/>
      <c r="G1630" s="12"/>
      <c r="H1630" s="12"/>
      <c r="I1630" s="12"/>
      <c r="J1630" s="12"/>
    </row>
    <row r="1631" spans="5:10" x14ac:dyDescent="0.25">
      <c r="E1631"/>
      <c r="F1631"/>
      <c r="G1631" s="12"/>
      <c r="H1631" s="12"/>
      <c r="I1631" s="12"/>
      <c r="J1631" s="12"/>
    </row>
    <row r="1632" spans="5:10" x14ac:dyDescent="0.25">
      <c r="E1632"/>
      <c r="F1632"/>
      <c r="G1632" s="12"/>
      <c r="H1632" s="12"/>
      <c r="I1632" s="12"/>
      <c r="J1632" s="12"/>
    </row>
    <row r="1633" spans="5:10" x14ac:dyDescent="0.25">
      <c r="E1633"/>
      <c r="F1633"/>
      <c r="G1633" s="12"/>
      <c r="H1633" s="12"/>
      <c r="I1633" s="12"/>
      <c r="J1633" s="12"/>
    </row>
    <row r="1634" spans="5:10" x14ac:dyDescent="0.25">
      <c r="E1634"/>
      <c r="F1634"/>
      <c r="G1634" s="12"/>
      <c r="H1634" s="12"/>
      <c r="I1634" s="12"/>
      <c r="J1634" s="12"/>
    </row>
    <row r="1635" spans="5:10" x14ac:dyDescent="0.25">
      <c r="E1635"/>
      <c r="F1635"/>
      <c r="G1635" s="12"/>
      <c r="H1635" s="12"/>
      <c r="I1635" s="12"/>
      <c r="J1635" s="12"/>
    </row>
    <row r="1636" spans="5:10" x14ac:dyDescent="0.25">
      <c r="E1636"/>
      <c r="F1636"/>
      <c r="G1636" s="12"/>
      <c r="H1636" s="12"/>
      <c r="I1636" s="12"/>
      <c r="J1636" s="12"/>
    </row>
    <row r="1637" spans="5:10" x14ac:dyDescent="0.25">
      <c r="E1637"/>
      <c r="F1637"/>
      <c r="G1637" s="12"/>
      <c r="H1637" s="12"/>
      <c r="I1637" s="12"/>
      <c r="J1637" s="12"/>
    </row>
    <row r="1638" spans="5:10" x14ac:dyDescent="0.25">
      <c r="E1638"/>
      <c r="F1638"/>
      <c r="G1638" s="12"/>
      <c r="H1638" s="12"/>
      <c r="I1638" s="12"/>
      <c r="J1638" s="12"/>
    </row>
    <row r="1639" spans="5:10" x14ac:dyDescent="0.25">
      <c r="E1639"/>
      <c r="F1639"/>
      <c r="G1639" s="12"/>
      <c r="H1639" s="12"/>
      <c r="I1639" s="12"/>
      <c r="J1639" s="12"/>
    </row>
    <row r="1640" spans="5:10" x14ac:dyDescent="0.25">
      <c r="E1640"/>
      <c r="F1640"/>
      <c r="G1640" s="12"/>
      <c r="H1640" s="12"/>
      <c r="I1640" s="12"/>
      <c r="J1640" s="12"/>
    </row>
    <row r="1641" spans="5:10" x14ac:dyDescent="0.25">
      <c r="E1641"/>
      <c r="F1641"/>
      <c r="G1641" s="12"/>
      <c r="H1641" s="12"/>
      <c r="I1641" s="12"/>
      <c r="J1641" s="12"/>
    </row>
    <row r="1642" spans="5:10" x14ac:dyDescent="0.25">
      <c r="E1642"/>
      <c r="F1642"/>
      <c r="G1642" s="12"/>
      <c r="H1642" s="12"/>
      <c r="I1642" s="12"/>
      <c r="J1642" s="12"/>
    </row>
    <row r="1643" spans="5:10" x14ac:dyDescent="0.25">
      <c r="E1643"/>
      <c r="F1643"/>
      <c r="G1643" s="12"/>
      <c r="H1643" s="12"/>
      <c r="I1643" s="12"/>
      <c r="J1643" s="12"/>
    </row>
    <row r="1644" spans="5:10" x14ac:dyDescent="0.25">
      <c r="E1644"/>
      <c r="F1644"/>
      <c r="G1644" s="12"/>
      <c r="H1644" s="12"/>
      <c r="I1644" s="12"/>
      <c r="J1644" s="12"/>
    </row>
    <row r="1645" spans="5:10" x14ac:dyDescent="0.25">
      <c r="E1645"/>
      <c r="F1645"/>
      <c r="G1645" s="12"/>
      <c r="H1645" s="12"/>
      <c r="I1645" s="12"/>
      <c r="J1645" s="12"/>
    </row>
    <row r="1646" spans="5:10" x14ac:dyDescent="0.25">
      <c r="E1646"/>
      <c r="F1646"/>
      <c r="G1646" s="12"/>
      <c r="H1646" s="12"/>
      <c r="I1646" s="12"/>
      <c r="J1646" s="12"/>
    </row>
    <row r="1647" spans="5:10" x14ac:dyDescent="0.25">
      <c r="E1647"/>
      <c r="F1647"/>
      <c r="G1647" s="12"/>
      <c r="H1647" s="12"/>
      <c r="I1647" s="12"/>
      <c r="J1647" s="12"/>
    </row>
    <row r="1648" spans="5:10" x14ac:dyDescent="0.25">
      <c r="E1648"/>
      <c r="F1648"/>
      <c r="G1648" s="12"/>
      <c r="H1648" s="12"/>
      <c r="I1648" s="12"/>
      <c r="J1648" s="12"/>
    </row>
    <row r="1649" spans="5:10" x14ac:dyDescent="0.25">
      <c r="E1649"/>
      <c r="F1649"/>
      <c r="G1649" s="12"/>
      <c r="H1649" s="12"/>
      <c r="I1649" s="12"/>
      <c r="J1649" s="12"/>
    </row>
    <row r="1650" spans="5:10" x14ac:dyDescent="0.25">
      <c r="E1650"/>
      <c r="F1650"/>
      <c r="G1650" s="12"/>
      <c r="H1650" s="12"/>
      <c r="I1650" s="12"/>
      <c r="J1650" s="12"/>
    </row>
    <row r="1651" spans="5:10" x14ac:dyDescent="0.25">
      <c r="E1651"/>
      <c r="F1651"/>
      <c r="G1651" s="12"/>
      <c r="H1651" s="12"/>
      <c r="I1651" s="12"/>
      <c r="J1651" s="12"/>
    </row>
    <row r="1652" spans="5:10" x14ac:dyDescent="0.25">
      <c r="E1652"/>
      <c r="F1652"/>
      <c r="G1652" s="12"/>
      <c r="H1652" s="12"/>
      <c r="I1652" s="12"/>
      <c r="J1652" s="12"/>
    </row>
    <row r="1653" spans="5:10" x14ac:dyDescent="0.25">
      <c r="E1653"/>
      <c r="F1653"/>
      <c r="G1653" s="12"/>
      <c r="H1653" s="12"/>
      <c r="I1653" s="12"/>
      <c r="J1653" s="12"/>
    </row>
    <row r="1654" spans="5:10" x14ac:dyDescent="0.25">
      <c r="E1654"/>
      <c r="F1654"/>
      <c r="G1654" s="12"/>
      <c r="H1654" s="12"/>
      <c r="I1654" s="12"/>
      <c r="J1654" s="12"/>
    </row>
    <row r="1655" spans="5:10" x14ac:dyDescent="0.25">
      <c r="E1655"/>
      <c r="F1655"/>
      <c r="G1655" s="12"/>
      <c r="H1655" s="12"/>
      <c r="I1655" s="12"/>
      <c r="J1655" s="12"/>
    </row>
    <row r="1656" spans="5:10" x14ac:dyDescent="0.25">
      <c r="E1656"/>
      <c r="F1656"/>
      <c r="G1656" s="12"/>
      <c r="H1656" s="12"/>
      <c r="I1656" s="12"/>
      <c r="J1656" s="12"/>
    </row>
    <row r="1657" spans="5:10" x14ac:dyDescent="0.25">
      <c r="E1657"/>
      <c r="F1657"/>
      <c r="G1657" s="12"/>
      <c r="H1657" s="12"/>
      <c r="I1657" s="12"/>
      <c r="J1657" s="12"/>
    </row>
    <row r="1658" spans="5:10" x14ac:dyDescent="0.25">
      <c r="E1658"/>
      <c r="F1658"/>
      <c r="G1658" s="12"/>
      <c r="H1658" s="12"/>
      <c r="I1658" s="12"/>
      <c r="J1658" s="12"/>
    </row>
    <row r="1659" spans="5:10" x14ac:dyDescent="0.25">
      <c r="E1659"/>
      <c r="F1659"/>
      <c r="G1659" s="12"/>
      <c r="H1659" s="12"/>
      <c r="I1659" s="12"/>
      <c r="J1659" s="12"/>
    </row>
    <row r="1660" spans="5:10" x14ac:dyDescent="0.25">
      <c r="E1660"/>
      <c r="F1660"/>
      <c r="G1660" s="12"/>
      <c r="H1660" s="12"/>
      <c r="I1660" s="12"/>
      <c r="J1660" s="12"/>
    </row>
    <row r="1661" spans="5:10" x14ac:dyDescent="0.25">
      <c r="E1661"/>
      <c r="F1661"/>
      <c r="G1661" s="12"/>
      <c r="H1661" s="12"/>
      <c r="I1661" s="12"/>
      <c r="J1661" s="12"/>
    </row>
    <row r="1662" spans="5:10" x14ac:dyDescent="0.25">
      <c r="E1662"/>
      <c r="F1662"/>
      <c r="G1662" s="12"/>
      <c r="H1662" s="12"/>
      <c r="I1662" s="12"/>
      <c r="J1662" s="12"/>
    </row>
    <row r="1663" spans="5:10" x14ac:dyDescent="0.25">
      <c r="E1663"/>
      <c r="F1663"/>
      <c r="G1663" s="12"/>
      <c r="H1663" s="12"/>
      <c r="I1663" s="12"/>
      <c r="J1663" s="12"/>
    </row>
    <row r="1664" spans="5:10" x14ac:dyDescent="0.25">
      <c r="E1664"/>
      <c r="F1664"/>
      <c r="G1664" s="12"/>
      <c r="H1664" s="12"/>
      <c r="I1664" s="12"/>
      <c r="J1664" s="12"/>
    </row>
    <row r="1665" spans="5:10" x14ac:dyDescent="0.25">
      <c r="E1665"/>
      <c r="F1665"/>
      <c r="G1665" s="12"/>
      <c r="H1665" s="12"/>
      <c r="I1665" s="12"/>
      <c r="J1665" s="12"/>
    </row>
    <row r="1666" spans="5:10" x14ac:dyDescent="0.25">
      <c r="E1666"/>
      <c r="F1666"/>
      <c r="G1666" s="12"/>
      <c r="H1666" s="12"/>
      <c r="I1666" s="12"/>
      <c r="J1666" s="12"/>
    </row>
    <row r="1667" spans="5:10" x14ac:dyDescent="0.25">
      <c r="E1667"/>
      <c r="F1667"/>
      <c r="G1667" s="12"/>
      <c r="H1667" s="12"/>
      <c r="I1667" s="12"/>
      <c r="J1667" s="12"/>
    </row>
    <row r="1668" spans="5:10" x14ac:dyDescent="0.25">
      <c r="E1668"/>
      <c r="F1668"/>
      <c r="G1668" s="12"/>
      <c r="H1668" s="12"/>
      <c r="I1668" s="12"/>
      <c r="J1668" s="12"/>
    </row>
    <row r="1669" spans="5:10" x14ac:dyDescent="0.25">
      <c r="E1669"/>
      <c r="F1669"/>
      <c r="G1669" s="12"/>
      <c r="H1669" s="12"/>
      <c r="I1669" s="12"/>
      <c r="J1669" s="12"/>
    </row>
    <row r="1670" spans="5:10" x14ac:dyDescent="0.25">
      <c r="E1670"/>
      <c r="F1670"/>
      <c r="G1670" s="12"/>
      <c r="H1670" s="12"/>
      <c r="I1670" s="12"/>
      <c r="J1670" s="12"/>
    </row>
    <row r="1671" spans="5:10" x14ac:dyDescent="0.25">
      <c r="E1671"/>
      <c r="F1671"/>
      <c r="G1671" s="12"/>
      <c r="H1671" s="12"/>
      <c r="I1671" s="12"/>
      <c r="J1671" s="12"/>
    </row>
    <row r="1672" spans="5:10" x14ac:dyDescent="0.25">
      <c r="E1672"/>
      <c r="F1672"/>
      <c r="G1672" s="12"/>
      <c r="H1672" s="12"/>
      <c r="I1672" s="12"/>
      <c r="J1672" s="12"/>
    </row>
    <row r="1673" spans="5:10" x14ac:dyDescent="0.25">
      <c r="E1673"/>
      <c r="F1673"/>
      <c r="G1673" s="12"/>
      <c r="H1673" s="12"/>
      <c r="I1673" s="12"/>
      <c r="J1673" s="12"/>
    </row>
    <row r="1674" spans="5:10" x14ac:dyDescent="0.25">
      <c r="E1674"/>
      <c r="F1674"/>
      <c r="G1674" s="12"/>
      <c r="H1674" s="12"/>
      <c r="I1674" s="12"/>
      <c r="J1674" s="12"/>
    </row>
    <row r="1675" spans="5:10" x14ac:dyDescent="0.25">
      <c r="E1675"/>
      <c r="F1675"/>
      <c r="G1675" s="12"/>
      <c r="H1675" s="12"/>
      <c r="I1675" s="12"/>
      <c r="J1675" s="12"/>
    </row>
    <row r="1676" spans="5:10" x14ac:dyDescent="0.25">
      <c r="E1676"/>
      <c r="F1676"/>
      <c r="G1676" s="12"/>
      <c r="H1676" s="12"/>
      <c r="I1676" s="12"/>
      <c r="J1676" s="12"/>
    </row>
    <row r="1677" spans="5:10" x14ac:dyDescent="0.25">
      <c r="E1677"/>
      <c r="F1677"/>
      <c r="G1677" s="12"/>
      <c r="H1677" s="12"/>
      <c r="I1677" s="12"/>
      <c r="J1677" s="12"/>
    </row>
    <row r="1678" spans="5:10" x14ac:dyDescent="0.25">
      <c r="E1678"/>
      <c r="F1678"/>
      <c r="G1678" s="12"/>
      <c r="H1678" s="12"/>
      <c r="I1678" s="12"/>
      <c r="J1678" s="12"/>
    </row>
    <row r="1679" spans="5:10" x14ac:dyDescent="0.25">
      <c r="E1679"/>
      <c r="F1679"/>
      <c r="G1679" s="12"/>
      <c r="H1679" s="12"/>
      <c r="I1679" s="12"/>
      <c r="J1679" s="12"/>
    </row>
    <row r="1680" spans="5:10" x14ac:dyDescent="0.25">
      <c r="E1680"/>
      <c r="F1680"/>
      <c r="G1680" s="12"/>
      <c r="H1680" s="12"/>
      <c r="I1680" s="12"/>
      <c r="J1680" s="12"/>
    </row>
    <row r="1681" spans="5:10" x14ac:dyDescent="0.25">
      <c r="E1681"/>
      <c r="F1681"/>
      <c r="G1681" s="12"/>
      <c r="H1681" s="12"/>
      <c r="I1681" s="12"/>
      <c r="J1681" s="12"/>
    </row>
    <row r="1682" spans="5:10" x14ac:dyDescent="0.25">
      <c r="E1682"/>
      <c r="F1682"/>
      <c r="G1682" s="12"/>
      <c r="H1682" s="12"/>
      <c r="I1682" s="12"/>
      <c r="J1682" s="12"/>
    </row>
    <row r="1683" spans="5:10" x14ac:dyDescent="0.25">
      <c r="E1683"/>
      <c r="F1683"/>
      <c r="G1683" s="12"/>
      <c r="H1683" s="12"/>
      <c r="I1683" s="12"/>
      <c r="J1683" s="12"/>
    </row>
    <row r="1684" spans="5:10" x14ac:dyDescent="0.25">
      <c r="E1684"/>
      <c r="F1684"/>
      <c r="G1684" s="12"/>
      <c r="H1684" s="12"/>
      <c r="I1684" s="12"/>
      <c r="J1684" s="12"/>
    </row>
    <row r="1685" spans="5:10" x14ac:dyDescent="0.25">
      <c r="E1685"/>
      <c r="F1685"/>
      <c r="G1685" s="12"/>
      <c r="H1685" s="12"/>
      <c r="I1685" s="12"/>
      <c r="J1685" s="12"/>
    </row>
    <row r="1686" spans="5:10" x14ac:dyDescent="0.25">
      <c r="E1686"/>
      <c r="F1686"/>
      <c r="G1686" s="12"/>
      <c r="H1686" s="12"/>
      <c r="I1686" s="12"/>
      <c r="J1686" s="12"/>
    </row>
    <row r="1687" spans="5:10" x14ac:dyDescent="0.25">
      <c r="E1687"/>
      <c r="F1687"/>
      <c r="G1687" s="12"/>
      <c r="H1687" s="12"/>
      <c r="I1687" s="12"/>
      <c r="J1687" s="12"/>
    </row>
    <row r="1688" spans="5:10" x14ac:dyDescent="0.25">
      <c r="E1688"/>
      <c r="F1688"/>
      <c r="G1688" s="12"/>
      <c r="H1688" s="12"/>
      <c r="I1688" s="12"/>
      <c r="J1688" s="12"/>
    </row>
    <row r="1689" spans="5:10" x14ac:dyDescent="0.25">
      <c r="E1689"/>
      <c r="F1689"/>
      <c r="G1689" s="12"/>
      <c r="H1689" s="12"/>
      <c r="I1689" s="12"/>
      <c r="J1689" s="12"/>
    </row>
    <row r="1690" spans="5:10" x14ac:dyDescent="0.25">
      <c r="E1690"/>
      <c r="F1690"/>
      <c r="G1690" s="12"/>
      <c r="H1690" s="12"/>
      <c r="I1690" s="12"/>
      <c r="J1690" s="12"/>
    </row>
    <row r="1691" spans="5:10" x14ac:dyDescent="0.25">
      <c r="E1691"/>
      <c r="F1691"/>
      <c r="G1691" s="12"/>
      <c r="H1691" s="12"/>
      <c r="I1691" s="12"/>
      <c r="J1691" s="12"/>
    </row>
    <row r="1692" spans="5:10" x14ac:dyDescent="0.25">
      <c r="E1692"/>
      <c r="F1692"/>
      <c r="G1692" s="12"/>
      <c r="H1692" s="12"/>
      <c r="I1692" s="12"/>
      <c r="J1692" s="12"/>
    </row>
    <row r="1693" spans="5:10" x14ac:dyDescent="0.25">
      <c r="E1693"/>
      <c r="F1693"/>
      <c r="G1693" s="12"/>
      <c r="H1693" s="12"/>
      <c r="I1693" s="12"/>
      <c r="J1693" s="12"/>
    </row>
    <row r="1694" spans="5:10" x14ac:dyDescent="0.25">
      <c r="E1694"/>
      <c r="F1694"/>
      <c r="G1694" s="12"/>
      <c r="H1694" s="12"/>
      <c r="I1694" s="12"/>
      <c r="J1694" s="12"/>
    </row>
    <row r="1695" spans="5:10" x14ac:dyDescent="0.25">
      <c r="E1695"/>
      <c r="F1695"/>
      <c r="G1695" s="12"/>
      <c r="H1695" s="12"/>
      <c r="I1695" s="12"/>
      <c r="J1695" s="12"/>
    </row>
    <row r="1696" spans="5:10" x14ac:dyDescent="0.25">
      <c r="E1696"/>
      <c r="F1696"/>
      <c r="G1696" s="12"/>
      <c r="H1696" s="12"/>
      <c r="I1696" s="12"/>
      <c r="J1696" s="12"/>
    </row>
    <row r="1697" spans="5:10" x14ac:dyDescent="0.25">
      <c r="E1697"/>
      <c r="F1697"/>
      <c r="G1697" s="12"/>
      <c r="H1697" s="12"/>
      <c r="I1697" s="12"/>
      <c r="J1697" s="12"/>
    </row>
    <row r="1698" spans="5:10" x14ac:dyDescent="0.25">
      <c r="E1698"/>
      <c r="F1698"/>
      <c r="G1698" s="12"/>
      <c r="H1698" s="12"/>
      <c r="I1698" s="12"/>
      <c r="J1698" s="12"/>
    </row>
    <row r="1699" spans="5:10" x14ac:dyDescent="0.25">
      <c r="E1699"/>
      <c r="F1699"/>
      <c r="G1699" s="12"/>
      <c r="H1699" s="12"/>
      <c r="I1699" s="12"/>
      <c r="J1699" s="12"/>
    </row>
    <row r="1700" spans="5:10" x14ac:dyDescent="0.25">
      <c r="E1700"/>
      <c r="F1700"/>
      <c r="G1700" s="12"/>
      <c r="H1700" s="12"/>
      <c r="I1700" s="12"/>
      <c r="J1700" s="12"/>
    </row>
    <row r="1701" spans="5:10" x14ac:dyDescent="0.25">
      <c r="E1701"/>
      <c r="F1701"/>
      <c r="G1701" s="12"/>
      <c r="H1701" s="12"/>
      <c r="I1701" s="12"/>
      <c r="J1701" s="12"/>
    </row>
    <row r="1702" spans="5:10" x14ac:dyDescent="0.25">
      <c r="E1702"/>
      <c r="F1702"/>
      <c r="G1702" s="12"/>
      <c r="H1702" s="12"/>
      <c r="I1702" s="12"/>
      <c r="J1702" s="12"/>
    </row>
    <row r="1703" spans="5:10" x14ac:dyDescent="0.25">
      <c r="E1703"/>
      <c r="F1703"/>
      <c r="G1703" s="12"/>
      <c r="H1703" s="12"/>
      <c r="I1703" s="12"/>
      <c r="J1703" s="12"/>
    </row>
    <row r="1704" spans="5:10" x14ac:dyDescent="0.25">
      <c r="E1704"/>
      <c r="F1704"/>
      <c r="G1704" s="12"/>
      <c r="H1704" s="12"/>
      <c r="I1704" s="12"/>
      <c r="J1704" s="12"/>
    </row>
    <row r="1705" spans="5:10" x14ac:dyDescent="0.25">
      <c r="E1705"/>
      <c r="F1705"/>
      <c r="G1705" s="12"/>
      <c r="H1705" s="12"/>
      <c r="I1705" s="12"/>
      <c r="J1705" s="12"/>
    </row>
    <row r="1706" spans="5:10" x14ac:dyDescent="0.25">
      <c r="E1706"/>
      <c r="F1706"/>
      <c r="G1706" s="12"/>
      <c r="H1706" s="12"/>
      <c r="I1706" s="12"/>
      <c r="J1706" s="12"/>
    </row>
    <row r="1707" spans="5:10" x14ac:dyDescent="0.25">
      <c r="E1707"/>
      <c r="F1707"/>
      <c r="G1707" s="12"/>
      <c r="H1707" s="12"/>
      <c r="I1707" s="12"/>
      <c r="J1707" s="12"/>
    </row>
    <row r="1708" spans="5:10" x14ac:dyDescent="0.25">
      <c r="E1708"/>
      <c r="F1708"/>
      <c r="G1708" s="12"/>
      <c r="H1708" s="12"/>
      <c r="I1708" s="12"/>
      <c r="J1708" s="12"/>
    </row>
    <row r="1709" spans="5:10" x14ac:dyDescent="0.25">
      <c r="E1709"/>
      <c r="F1709"/>
      <c r="G1709" s="12"/>
      <c r="H1709" s="12"/>
      <c r="I1709" s="12"/>
      <c r="J1709" s="12"/>
    </row>
    <row r="1710" spans="5:10" x14ac:dyDescent="0.25">
      <c r="E1710"/>
      <c r="F1710"/>
      <c r="G1710" s="12"/>
      <c r="H1710" s="12"/>
      <c r="I1710" s="12"/>
      <c r="J1710" s="12"/>
    </row>
    <row r="1711" spans="5:10" x14ac:dyDescent="0.25">
      <c r="E1711"/>
      <c r="F1711"/>
      <c r="G1711" s="12"/>
      <c r="H1711" s="12"/>
      <c r="I1711" s="12"/>
      <c r="J1711" s="12"/>
    </row>
    <row r="1712" spans="5:10" x14ac:dyDescent="0.25">
      <c r="E1712"/>
      <c r="F1712"/>
      <c r="G1712" s="12"/>
      <c r="H1712" s="12"/>
      <c r="I1712" s="12"/>
      <c r="J1712" s="12"/>
    </row>
    <row r="1713" spans="5:10" x14ac:dyDescent="0.25">
      <c r="E1713"/>
      <c r="F1713"/>
      <c r="G1713" s="12"/>
      <c r="H1713" s="12"/>
      <c r="I1713" s="12"/>
      <c r="J1713" s="12"/>
    </row>
    <row r="1714" spans="5:10" x14ac:dyDescent="0.25">
      <c r="E1714"/>
      <c r="F1714"/>
      <c r="G1714" s="12"/>
      <c r="H1714" s="12"/>
      <c r="I1714" s="12"/>
      <c r="J1714" s="12"/>
    </row>
    <row r="1715" spans="5:10" x14ac:dyDescent="0.25">
      <c r="E1715"/>
      <c r="F1715"/>
      <c r="G1715" s="12"/>
      <c r="H1715" s="12"/>
      <c r="I1715" s="12"/>
      <c r="J1715" s="12"/>
    </row>
    <row r="1716" spans="5:10" x14ac:dyDescent="0.25">
      <c r="E1716"/>
      <c r="F1716"/>
      <c r="G1716" s="12"/>
      <c r="H1716" s="12"/>
      <c r="I1716" s="12"/>
      <c r="J1716" s="12"/>
    </row>
    <row r="1717" spans="5:10" x14ac:dyDescent="0.25">
      <c r="E1717"/>
      <c r="F1717"/>
      <c r="G1717" s="12"/>
      <c r="H1717" s="12"/>
      <c r="I1717" s="12"/>
      <c r="J1717" s="12"/>
    </row>
    <row r="1718" spans="5:10" x14ac:dyDescent="0.25">
      <c r="E1718"/>
      <c r="F1718"/>
      <c r="G1718" s="12"/>
      <c r="H1718" s="12"/>
      <c r="I1718" s="12"/>
      <c r="J1718" s="12"/>
    </row>
    <row r="1719" spans="5:10" x14ac:dyDescent="0.25">
      <c r="E1719"/>
      <c r="F1719"/>
      <c r="G1719" s="12"/>
      <c r="H1719" s="12"/>
      <c r="I1719" s="12"/>
      <c r="J1719" s="12"/>
    </row>
    <row r="1720" spans="5:10" x14ac:dyDescent="0.25">
      <c r="E1720"/>
      <c r="F1720"/>
      <c r="G1720" s="12"/>
      <c r="H1720" s="12"/>
      <c r="I1720" s="12"/>
      <c r="J1720" s="12"/>
    </row>
    <row r="1721" spans="5:10" x14ac:dyDescent="0.25">
      <c r="E1721"/>
      <c r="F1721"/>
      <c r="G1721" s="12"/>
      <c r="H1721" s="12"/>
      <c r="I1721" s="12"/>
      <c r="J1721" s="12"/>
    </row>
    <row r="1722" spans="5:10" x14ac:dyDescent="0.25">
      <c r="E1722"/>
      <c r="F1722"/>
      <c r="G1722" s="12"/>
      <c r="H1722" s="12"/>
      <c r="I1722" s="12"/>
      <c r="J1722" s="12"/>
    </row>
    <row r="1723" spans="5:10" x14ac:dyDescent="0.25">
      <c r="E1723"/>
      <c r="F1723"/>
      <c r="G1723" s="12"/>
      <c r="H1723" s="12"/>
      <c r="I1723" s="12"/>
      <c r="J1723" s="12"/>
    </row>
    <row r="1724" spans="5:10" x14ac:dyDescent="0.25">
      <c r="E1724"/>
      <c r="F1724"/>
      <c r="G1724" s="12"/>
      <c r="H1724" s="12"/>
      <c r="I1724" s="12"/>
      <c r="J1724" s="12"/>
    </row>
    <row r="1725" spans="5:10" x14ac:dyDescent="0.25">
      <c r="E1725"/>
      <c r="F1725"/>
      <c r="G1725" s="12"/>
      <c r="H1725" s="12"/>
      <c r="I1725" s="12"/>
      <c r="J1725" s="12"/>
    </row>
    <row r="1726" spans="5:10" x14ac:dyDescent="0.25">
      <c r="E1726"/>
      <c r="F1726"/>
      <c r="G1726" s="12"/>
      <c r="H1726" s="12"/>
      <c r="I1726" s="12"/>
      <c r="J1726" s="12"/>
    </row>
    <row r="1727" spans="5:10" x14ac:dyDescent="0.25">
      <c r="E1727"/>
      <c r="F1727"/>
      <c r="G1727" s="12"/>
      <c r="H1727" s="12"/>
      <c r="I1727" s="12"/>
      <c r="J1727" s="12"/>
    </row>
    <row r="1728" spans="5:10" x14ac:dyDescent="0.25">
      <c r="E1728"/>
      <c r="F1728"/>
      <c r="G1728" s="12"/>
      <c r="H1728" s="12"/>
      <c r="I1728" s="12"/>
      <c r="J1728" s="12"/>
    </row>
    <row r="1729" spans="5:10" x14ac:dyDescent="0.25">
      <c r="E1729"/>
      <c r="F1729"/>
      <c r="G1729" s="12"/>
      <c r="H1729" s="12"/>
      <c r="I1729" s="12"/>
      <c r="J1729" s="12"/>
    </row>
    <row r="1730" spans="5:10" x14ac:dyDescent="0.25">
      <c r="E1730"/>
      <c r="F1730"/>
      <c r="G1730" s="12"/>
      <c r="H1730" s="12"/>
      <c r="I1730" s="12"/>
      <c r="J1730" s="12"/>
    </row>
    <row r="1731" spans="5:10" x14ac:dyDescent="0.25">
      <c r="E1731"/>
      <c r="F1731"/>
      <c r="G1731" s="12"/>
      <c r="H1731" s="12"/>
      <c r="I1731" s="12"/>
      <c r="J1731" s="12"/>
    </row>
    <row r="1732" spans="5:10" x14ac:dyDescent="0.25">
      <c r="E1732"/>
      <c r="F1732"/>
      <c r="G1732" s="12"/>
      <c r="H1732" s="12"/>
      <c r="I1732" s="12"/>
      <c r="J1732" s="12"/>
    </row>
    <row r="1733" spans="5:10" x14ac:dyDescent="0.25">
      <c r="E1733"/>
      <c r="F1733"/>
      <c r="G1733" s="12"/>
      <c r="H1733" s="12"/>
      <c r="I1733" s="12"/>
      <c r="J1733" s="12"/>
    </row>
    <row r="1734" spans="5:10" x14ac:dyDescent="0.25">
      <c r="E1734"/>
      <c r="F1734"/>
      <c r="G1734" s="12"/>
      <c r="H1734" s="12"/>
      <c r="I1734" s="12"/>
      <c r="J1734" s="12"/>
    </row>
    <row r="1735" spans="5:10" x14ac:dyDescent="0.25">
      <c r="E1735"/>
      <c r="F1735"/>
      <c r="G1735" s="12"/>
      <c r="H1735" s="12"/>
      <c r="I1735" s="12"/>
      <c r="J1735" s="12"/>
    </row>
    <row r="1736" spans="5:10" x14ac:dyDescent="0.25">
      <c r="E1736"/>
      <c r="F1736"/>
      <c r="G1736" s="12"/>
      <c r="H1736" s="12"/>
      <c r="I1736" s="12"/>
      <c r="J1736" s="12"/>
    </row>
    <row r="1737" spans="5:10" x14ac:dyDescent="0.25">
      <c r="E1737"/>
      <c r="F1737"/>
      <c r="G1737" s="12"/>
      <c r="H1737" s="12"/>
      <c r="I1737" s="12"/>
      <c r="J1737" s="12"/>
    </row>
    <row r="1738" spans="5:10" x14ac:dyDescent="0.25">
      <c r="E1738"/>
      <c r="F1738"/>
      <c r="G1738" s="12"/>
      <c r="H1738" s="12"/>
      <c r="I1738" s="12"/>
      <c r="J1738" s="12"/>
    </row>
    <row r="1739" spans="5:10" x14ac:dyDescent="0.25">
      <c r="E1739"/>
      <c r="F1739"/>
      <c r="G1739" s="12"/>
      <c r="H1739" s="12"/>
      <c r="I1739" s="12"/>
      <c r="J1739" s="12"/>
    </row>
    <row r="1740" spans="5:10" x14ac:dyDescent="0.25">
      <c r="E1740"/>
      <c r="F1740"/>
      <c r="G1740" s="12"/>
      <c r="H1740" s="12"/>
      <c r="I1740" s="12"/>
      <c r="J1740" s="12"/>
    </row>
    <row r="1741" spans="5:10" x14ac:dyDescent="0.25">
      <c r="E1741"/>
      <c r="F1741"/>
      <c r="G1741" s="12"/>
      <c r="H1741" s="12"/>
      <c r="I1741" s="12"/>
      <c r="J1741" s="12"/>
    </row>
    <row r="1742" spans="5:10" x14ac:dyDescent="0.25">
      <c r="E1742"/>
      <c r="F1742"/>
      <c r="G1742" s="12"/>
      <c r="H1742" s="12"/>
      <c r="I1742" s="12"/>
      <c r="J1742" s="12"/>
    </row>
    <row r="1743" spans="5:10" x14ac:dyDescent="0.25">
      <c r="E1743"/>
      <c r="F1743"/>
      <c r="G1743" s="12"/>
      <c r="H1743" s="12"/>
      <c r="I1743" s="12"/>
      <c r="J1743" s="12"/>
    </row>
    <row r="1744" spans="5:10" x14ac:dyDescent="0.25">
      <c r="E1744"/>
      <c r="F1744"/>
      <c r="G1744" s="12"/>
      <c r="H1744" s="12"/>
      <c r="I1744" s="12"/>
      <c r="J1744" s="12"/>
    </row>
    <row r="1745" spans="5:10" x14ac:dyDescent="0.25">
      <c r="E1745"/>
      <c r="F1745"/>
      <c r="G1745" s="12"/>
      <c r="H1745" s="12"/>
      <c r="I1745" s="12"/>
      <c r="J1745" s="12"/>
    </row>
    <row r="1746" spans="5:10" x14ac:dyDescent="0.25">
      <c r="E1746"/>
      <c r="F1746"/>
      <c r="G1746" s="12"/>
      <c r="H1746" s="12"/>
      <c r="I1746" s="12"/>
      <c r="J1746" s="12"/>
    </row>
    <row r="1747" spans="5:10" x14ac:dyDescent="0.25">
      <c r="E1747"/>
      <c r="F1747"/>
      <c r="G1747" s="12"/>
      <c r="H1747" s="12"/>
      <c r="I1747" s="12"/>
      <c r="J1747" s="12"/>
    </row>
    <row r="1748" spans="5:10" x14ac:dyDescent="0.25">
      <c r="E1748"/>
      <c r="F1748"/>
      <c r="G1748" s="12"/>
      <c r="H1748" s="12"/>
      <c r="I1748" s="12"/>
      <c r="J1748" s="12"/>
    </row>
    <row r="1749" spans="5:10" x14ac:dyDescent="0.25">
      <c r="E1749"/>
      <c r="F1749"/>
      <c r="G1749" s="12"/>
      <c r="H1749" s="12"/>
      <c r="I1749" s="12"/>
      <c r="J1749" s="12"/>
    </row>
    <row r="1750" spans="5:10" x14ac:dyDescent="0.25">
      <c r="E1750"/>
      <c r="F1750"/>
      <c r="G1750" s="12"/>
      <c r="H1750" s="12"/>
      <c r="I1750" s="12"/>
      <c r="J1750" s="12"/>
    </row>
    <row r="1751" spans="5:10" x14ac:dyDescent="0.25">
      <c r="E1751"/>
      <c r="F1751"/>
      <c r="G1751" s="12"/>
      <c r="H1751" s="12"/>
      <c r="I1751" s="12"/>
      <c r="J1751" s="12"/>
    </row>
    <row r="1752" spans="5:10" x14ac:dyDescent="0.25">
      <c r="E1752"/>
      <c r="F1752"/>
      <c r="G1752" s="12"/>
      <c r="H1752" s="12"/>
      <c r="I1752" s="12"/>
      <c r="J1752" s="12"/>
    </row>
    <row r="1753" spans="5:10" x14ac:dyDescent="0.25">
      <c r="E1753"/>
      <c r="F1753"/>
      <c r="G1753" s="12"/>
      <c r="H1753" s="12"/>
      <c r="I1753" s="12"/>
      <c r="J1753" s="12"/>
    </row>
    <row r="1754" spans="5:10" x14ac:dyDescent="0.25">
      <c r="E1754"/>
      <c r="F1754"/>
      <c r="G1754" s="12"/>
      <c r="H1754" s="12"/>
      <c r="I1754" s="12"/>
      <c r="J1754" s="12"/>
    </row>
    <row r="1755" spans="5:10" x14ac:dyDescent="0.25">
      <c r="E1755"/>
      <c r="F1755"/>
      <c r="G1755" s="12"/>
      <c r="H1755" s="12"/>
      <c r="I1755" s="12"/>
      <c r="J1755" s="12"/>
    </row>
    <row r="1756" spans="5:10" x14ac:dyDescent="0.25">
      <c r="E1756"/>
      <c r="F1756"/>
      <c r="G1756" s="12"/>
      <c r="H1756" s="12"/>
      <c r="I1756" s="12"/>
      <c r="J1756" s="12"/>
    </row>
    <row r="1757" spans="5:10" x14ac:dyDescent="0.25">
      <c r="E1757"/>
      <c r="F1757"/>
      <c r="G1757" s="12"/>
      <c r="H1757" s="12"/>
      <c r="I1757" s="12"/>
      <c r="J1757" s="12"/>
    </row>
    <row r="1758" spans="5:10" x14ac:dyDescent="0.25">
      <c r="E1758"/>
      <c r="F1758"/>
      <c r="G1758" s="12"/>
      <c r="H1758" s="12"/>
      <c r="I1758" s="12"/>
      <c r="J1758" s="12"/>
    </row>
    <row r="1759" spans="5:10" x14ac:dyDescent="0.25">
      <c r="E1759"/>
      <c r="F1759"/>
      <c r="G1759" s="12"/>
      <c r="H1759" s="12"/>
      <c r="I1759" s="12"/>
      <c r="J1759" s="12"/>
    </row>
    <row r="1760" spans="5:10" x14ac:dyDescent="0.25">
      <c r="E1760"/>
      <c r="F1760"/>
      <c r="G1760" s="12"/>
      <c r="H1760" s="12"/>
      <c r="I1760" s="12"/>
      <c r="J1760" s="12"/>
    </row>
    <row r="1761" spans="5:10" x14ac:dyDescent="0.25">
      <c r="E1761"/>
      <c r="F1761"/>
      <c r="G1761" s="12"/>
      <c r="H1761" s="12"/>
      <c r="I1761" s="12"/>
      <c r="J1761" s="12"/>
    </row>
    <row r="1762" spans="5:10" x14ac:dyDescent="0.25">
      <c r="E1762"/>
      <c r="F1762"/>
      <c r="G1762" s="12"/>
      <c r="H1762" s="12"/>
      <c r="I1762" s="12"/>
      <c r="J1762" s="12"/>
    </row>
    <row r="1763" spans="5:10" x14ac:dyDescent="0.25">
      <c r="E1763"/>
      <c r="F1763"/>
      <c r="G1763" s="12"/>
      <c r="H1763" s="12"/>
      <c r="I1763" s="12"/>
      <c r="J1763" s="12"/>
    </row>
    <row r="1764" spans="5:10" x14ac:dyDescent="0.25">
      <c r="E1764"/>
      <c r="F1764"/>
      <c r="G1764" s="12"/>
      <c r="H1764" s="12"/>
      <c r="I1764" s="12"/>
      <c r="J1764" s="12"/>
    </row>
    <row r="1765" spans="5:10" x14ac:dyDescent="0.25">
      <c r="E1765"/>
      <c r="F1765"/>
      <c r="G1765" s="12"/>
      <c r="H1765" s="12"/>
      <c r="I1765" s="12"/>
      <c r="J1765" s="12"/>
    </row>
    <row r="1766" spans="5:10" x14ac:dyDescent="0.25">
      <c r="E1766"/>
      <c r="F1766"/>
      <c r="G1766" s="12"/>
      <c r="H1766" s="12"/>
      <c r="I1766" s="12"/>
      <c r="J1766" s="12"/>
    </row>
    <row r="1767" spans="5:10" x14ac:dyDescent="0.25">
      <c r="E1767"/>
      <c r="F1767"/>
      <c r="G1767" s="12"/>
      <c r="H1767" s="12"/>
      <c r="I1767" s="12"/>
      <c r="J1767" s="12"/>
    </row>
    <row r="1768" spans="5:10" x14ac:dyDescent="0.25">
      <c r="E1768"/>
      <c r="F1768"/>
      <c r="G1768" s="12"/>
      <c r="H1768" s="12"/>
      <c r="I1768" s="12"/>
      <c r="J1768" s="12"/>
    </row>
    <row r="1769" spans="5:10" x14ac:dyDescent="0.25">
      <c r="E1769"/>
      <c r="F1769"/>
      <c r="G1769" s="12"/>
      <c r="H1769" s="12"/>
      <c r="I1769" s="12"/>
      <c r="J1769" s="12"/>
    </row>
    <row r="1770" spans="5:10" x14ac:dyDescent="0.25">
      <c r="E1770"/>
      <c r="F1770"/>
      <c r="G1770" s="12"/>
      <c r="H1770" s="12"/>
      <c r="I1770" s="12"/>
      <c r="J1770" s="12"/>
    </row>
    <row r="1771" spans="5:10" x14ac:dyDescent="0.25">
      <c r="E1771"/>
      <c r="F1771"/>
      <c r="G1771" s="12"/>
      <c r="H1771" s="12"/>
      <c r="I1771" s="12"/>
      <c r="J1771" s="12"/>
    </row>
    <row r="1772" spans="5:10" x14ac:dyDescent="0.25">
      <c r="E1772"/>
      <c r="F1772"/>
      <c r="G1772" s="12"/>
      <c r="H1772" s="12"/>
      <c r="I1772" s="12"/>
      <c r="J1772" s="12"/>
    </row>
    <row r="1773" spans="5:10" x14ac:dyDescent="0.25">
      <c r="E1773"/>
      <c r="F1773"/>
      <c r="G1773" s="12"/>
      <c r="H1773" s="12"/>
      <c r="I1773" s="12"/>
      <c r="J1773" s="12"/>
    </row>
    <row r="1774" spans="5:10" x14ac:dyDescent="0.25">
      <c r="E1774"/>
      <c r="F1774"/>
      <c r="G1774" s="12"/>
      <c r="H1774" s="12"/>
      <c r="I1774" s="12"/>
      <c r="J1774" s="12"/>
    </row>
    <row r="1775" spans="5:10" x14ac:dyDescent="0.25">
      <c r="E1775"/>
      <c r="F1775"/>
      <c r="G1775" s="12"/>
      <c r="H1775" s="12"/>
      <c r="I1775" s="12"/>
      <c r="J1775" s="12"/>
    </row>
    <row r="1776" spans="5:10" x14ac:dyDescent="0.25">
      <c r="E1776"/>
      <c r="F1776"/>
      <c r="G1776" s="12"/>
      <c r="H1776" s="12"/>
      <c r="I1776" s="12"/>
      <c r="J1776" s="12"/>
    </row>
    <row r="1777" spans="5:10" x14ac:dyDescent="0.25">
      <c r="E1777"/>
      <c r="F1777"/>
      <c r="G1777" s="12"/>
      <c r="H1777" s="12"/>
      <c r="I1777" s="12"/>
      <c r="J1777" s="12"/>
    </row>
    <row r="1778" spans="5:10" x14ac:dyDescent="0.25">
      <c r="E1778"/>
      <c r="F1778"/>
      <c r="G1778" s="12"/>
      <c r="H1778" s="12"/>
      <c r="I1778" s="12"/>
      <c r="J1778" s="12"/>
    </row>
    <row r="1779" spans="5:10" x14ac:dyDescent="0.25">
      <c r="E1779"/>
      <c r="F1779"/>
      <c r="G1779" s="12"/>
      <c r="H1779" s="12"/>
      <c r="I1779" s="12"/>
      <c r="J1779" s="12"/>
    </row>
    <row r="1780" spans="5:10" x14ac:dyDescent="0.25">
      <c r="E1780"/>
      <c r="F1780"/>
      <c r="G1780" s="12"/>
      <c r="H1780" s="12"/>
      <c r="I1780" s="12"/>
      <c r="J1780" s="12"/>
    </row>
    <row r="1781" spans="5:10" x14ac:dyDescent="0.25">
      <c r="E1781"/>
      <c r="F1781"/>
      <c r="G1781" s="12"/>
      <c r="H1781" s="12"/>
      <c r="I1781" s="12"/>
      <c r="J1781" s="12"/>
    </row>
    <row r="1782" spans="5:10" x14ac:dyDescent="0.25">
      <c r="E1782"/>
      <c r="F1782"/>
      <c r="G1782" s="12"/>
      <c r="H1782" s="12"/>
      <c r="I1782" s="12"/>
      <c r="J1782" s="12"/>
    </row>
    <row r="1783" spans="5:10" x14ac:dyDescent="0.25">
      <c r="E1783"/>
      <c r="F1783"/>
      <c r="G1783" s="12"/>
      <c r="H1783" s="12"/>
      <c r="I1783" s="12"/>
      <c r="J1783" s="12"/>
    </row>
    <row r="1784" spans="5:10" x14ac:dyDescent="0.25">
      <c r="E1784"/>
      <c r="F1784"/>
      <c r="G1784" s="12"/>
      <c r="H1784" s="12"/>
      <c r="I1784" s="12"/>
      <c r="J1784" s="12"/>
    </row>
    <row r="1785" spans="5:10" x14ac:dyDescent="0.25">
      <c r="E1785"/>
      <c r="F1785"/>
      <c r="G1785" s="12"/>
      <c r="H1785" s="12"/>
      <c r="I1785" s="12"/>
      <c r="J1785" s="12"/>
    </row>
    <row r="1786" spans="5:10" x14ac:dyDescent="0.25">
      <c r="E1786"/>
      <c r="F1786"/>
      <c r="G1786" s="12"/>
      <c r="H1786" s="12"/>
      <c r="I1786" s="12"/>
      <c r="J1786" s="12"/>
    </row>
    <row r="1787" spans="5:10" x14ac:dyDescent="0.25">
      <c r="E1787"/>
      <c r="F1787"/>
      <c r="G1787" s="12"/>
      <c r="H1787" s="12"/>
      <c r="I1787" s="12"/>
      <c r="J1787" s="12"/>
    </row>
    <row r="1788" spans="5:10" x14ac:dyDescent="0.25">
      <c r="E1788"/>
      <c r="F1788"/>
      <c r="G1788" s="12"/>
      <c r="H1788" s="12"/>
      <c r="I1788" s="12"/>
      <c r="J1788" s="12"/>
    </row>
    <row r="1789" spans="5:10" x14ac:dyDescent="0.25">
      <c r="E1789"/>
      <c r="F1789"/>
      <c r="G1789" s="12"/>
      <c r="H1789" s="12"/>
      <c r="I1789" s="12"/>
      <c r="J1789" s="12"/>
    </row>
    <row r="1790" spans="5:10" x14ac:dyDescent="0.25">
      <c r="E1790"/>
      <c r="F1790"/>
      <c r="G1790" s="12"/>
      <c r="H1790" s="12"/>
      <c r="I1790" s="12"/>
      <c r="J1790" s="12"/>
    </row>
    <row r="1791" spans="5:10" x14ac:dyDescent="0.25">
      <c r="E1791"/>
      <c r="F1791"/>
      <c r="G1791" s="12"/>
      <c r="H1791" s="12"/>
      <c r="I1791" s="12"/>
      <c r="J1791" s="12"/>
    </row>
    <row r="1792" spans="5:10" x14ac:dyDescent="0.25">
      <c r="E1792"/>
      <c r="F1792"/>
      <c r="G1792" s="12"/>
      <c r="H1792" s="12"/>
      <c r="I1792" s="12"/>
      <c r="J1792" s="12"/>
    </row>
    <row r="1793" spans="5:10" x14ac:dyDescent="0.25">
      <c r="E1793"/>
      <c r="F1793"/>
      <c r="G1793" s="12"/>
      <c r="H1793" s="12"/>
      <c r="I1793" s="12"/>
      <c r="J1793" s="12"/>
    </row>
    <row r="1794" spans="5:10" x14ac:dyDescent="0.25">
      <c r="E1794"/>
      <c r="F1794"/>
      <c r="G1794" s="12"/>
      <c r="H1794" s="12"/>
      <c r="I1794" s="12"/>
      <c r="J1794" s="12"/>
    </row>
    <row r="1795" spans="5:10" x14ac:dyDescent="0.25">
      <c r="E1795"/>
      <c r="F1795"/>
      <c r="G1795" s="12"/>
      <c r="H1795" s="12"/>
      <c r="I1795" s="12"/>
      <c r="J1795" s="12"/>
    </row>
    <row r="1796" spans="5:10" x14ac:dyDescent="0.25">
      <c r="E1796"/>
      <c r="F1796"/>
      <c r="G1796" s="12"/>
      <c r="H1796" s="12"/>
      <c r="I1796" s="12"/>
      <c r="J1796" s="12"/>
    </row>
    <row r="1797" spans="5:10" x14ac:dyDescent="0.25">
      <c r="E1797"/>
      <c r="F1797"/>
      <c r="G1797" s="12"/>
      <c r="H1797" s="12"/>
      <c r="I1797" s="12"/>
      <c r="J1797" s="12"/>
    </row>
    <row r="1798" spans="5:10" x14ac:dyDescent="0.25">
      <c r="E1798"/>
      <c r="F1798"/>
      <c r="G1798" s="12"/>
      <c r="H1798" s="12"/>
      <c r="I1798" s="12"/>
      <c r="J1798" s="12"/>
    </row>
    <row r="1799" spans="5:10" x14ac:dyDescent="0.25">
      <c r="E1799"/>
      <c r="F1799"/>
      <c r="G1799" s="12"/>
      <c r="H1799" s="12"/>
      <c r="I1799" s="12"/>
      <c r="J1799" s="12"/>
    </row>
    <row r="1800" spans="5:10" x14ac:dyDescent="0.25">
      <c r="E1800"/>
      <c r="F1800"/>
      <c r="G1800" s="12"/>
      <c r="H1800" s="12"/>
      <c r="I1800" s="12"/>
      <c r="J1800" s="12"/>
    </row>
    <row r="1801" spans="5:10" x14ac:dyDescent="0.25">
      <c r="E1801"/>
      <c r="F1801"/>
      <c r="G1801" s="12"/>
      <c r="H1801" s="12"/>
      <c r="I1801" s="12"/>
      <c r="J1801" s="12"/>
    </row>
    <row r="1802" spans="5:10" x14ac:dyDescent="0.25">
      <c r="E1802"/>
      <c r="F1802"/>
      <c r="G1802" s="12"/>
      <c r="H1802" s="12"/>
      <c r="I1802" s="12"/>
      <c r="J1802" s="12"/>
    </row>
    <row r="1803" spans="5:10" x14ac:dyDescent="0.25">
      <c r="E1803"/>
      <c r="F1803"/>
      <c r="G1803" s="12"/>
      <c r="H1803" s="12"/>
      <c r="I1803" s="12"/>
      <c r="J1803" s="12"/>
    </row>
    <row r="1804" spans="5:10" x14ac:dyDescent="0.25">
      <c r="E1804"/>
      <c r="F1804"/>
      <c r="G1804" s="12"/>
      <c r="H1804" s="12"/>
      <c r="I1804" s="12"/>
      <c r="J1804" s="12"/>
    </row>
    <row r="1805" spans="5:10" x14ac:dyDescent="0.25">
      <c r="E1805"/>
      <c r="F1805"/>
      <c r="G1805" s="12"/>
      <c r="H1805" s="12"/>
      <c r="I1805" s="12"/>
      <c r="J1805" s="12"/>
    </row>
    <row r="1806" spans="5:10" x14ac:dyDescent="0.25">
      <c r="E1806"/>
      <c r="F1806"/>
      <c r="G1806" s="12"/>
      <c r="H1806" s="12"/>
      <c r="I1806" s="12"/>
      <c r="J1806" s="12"/>
    </row>
    <row r="1807" spans="5:10" x14ac:dyDescent="0.25">
      <c r="E1807"/>
      <c r="F1807"/>
      <c r="G1807" s="12"/>
      <c r="H1807" s="12"/>
      <c r="I1807" s="12"/>
      <c r="J1807" s="12"/>
    </row>
    <row r="1808" spans="5:10" x14ac:dyDescent="0.25">
      <c r="E1808"/>
      <c r="F1808"/>
      <c r="G1808" s="12"/>
      <c r="H1808" s="12"/>
      <c r="I1808" s="12"/>
      <c r="J1808" s="12"/>
    </row>
    <row r="1809" spans="5:10" x14ac:dyDescent="0.25">
      <c r="E1809"/>
      <c r="F1809"/>
      <c r="G1809" s="12"/>
      <c r="H1809" s="12"/>
      <c r="I1809" s="12"/>
      <c r="J1809" s="12"/>
    </row>
    <row r="1810" spans="5:10" x14ac:dyDescent="0.25">
      <c r="E1810"/>
      <c r="F1810"/>
      <c r="G1810" s="12"/>
      <c r="H1810" s="12"/>
      <c r="I1810" s="12"/>
      <c r="J1810" s="12"/>
    </row>
    <row r="1811" spans="5:10" x14ac:dyDescent="0.25">
      <c r="E1811"/>
      <c r="F1811"/>
      <c r="G1811" s="12"/>
      <c r="H1811" s="12"/>
      <c r="I1811" s="12"/>
      <c r="J1811" s="12"/>
    </row>
    <row r="1812" spans="5:10" x14ac:dyDescent="0.25">
      <c r="E1812"/>
      <c r="F1812"/>
      <c r="G1812" s="12"/>
      <c r="H1812" s="12"/>
      <c r="I1812" s="12"/>
      <c r="J1812" s="12"/>
    </row>
    <row r="1813" spans="5:10" x14ac:dyDescent="0.25">
      <c r="E1813"/>
      <c r="F1813"/>
      <c r="G1813" s="12"/>
      <c r="H1813" s="12"/>
      <c r="I1813" s="12"/>
      <c r="J1813" s="12"/>
    </row>
    <row r="1814" spans="5:10" x14ac:dyDescent="0.25">
      <c r="E1814"/>
      <c r="F1814"/>
      <c r="G1814" s="12"/>
      <c r="H1814" s="12"/>
      <c r="I1814" s="12"/>
      <c r="J1814" s="12"/>
    </row>
    <row r="1815" spans="5:10" x14ac:dyDescent="0.25">
      <c r="E1815"/>
      <c r="F1815"/>
      <c r="G1815" s="12"/>
      <c r="H1815" s="12"/>
      <c r="I1815" s="12"/>
      <c r="J1815" s="12"/>
    </row>
    <row r="1816" spans="5:10" x14ac:dyDescent="0.25">
      <c r="E1816"/>
      <c r="F1816"/>
      <c r="G1816" s="12"/>
      <c r="H1816" s="12"/>
      <c r="I1816" s="12"/>
      <c r="J1816" s="12"/>
    </row>
    <row r="1817" spans="5:10" x14ac:dyDescent="0.25">
      <c r="E1817"/>
      <c r="F1817"/>
      <c r="G1817" s="12"/>
      <c r="H1817" s="12"/>
      <c r="I1817" s="12"/>
      <c r="J1817" s="12"/>
    </row>
    <row r="1818" spans="5:10" x14ac:dyDescent="0.25">
      <c r="E1818"/>
      <c r="F1818"/>
      <c r="G1818" s="12"/>
      <c r="H1818" s="12"/>
      <c r="I1818" s="12"/>
      <c r="J1818" s="12"/>
    </row>
    <row r="1819" spans="5:10" x14ac:dyDescent="0.25">
      <c r="E1819"/>
      <c r="F1819"/>
      <c r="G1819" s="12"/>
      <c r="H1819" s="12"/>
      <c r="I1819" s="12"/>
      <c r="J1819" s="12"/>
    </row>
    <row r="1820" spans="5:10" x14ac:dyDescent="0.25">
      <c r="E1820"/>
      <c r="F1820"/>
      <c r="G1820" s="12"/>
      <c r="H1820" s="12"/>
      <c r="I1820" s="12"/>
      <c r="J1820" s="12"/>
    </row>
    <row r="1821" spans="5:10" x14ac:dyDescent="0.25">
      <c r="E1821"/>
      <c r="F1821"/>
      <c r="G1821" s="12"/>
      <c r="H1821" s="12"/>
      <c r="I1821" s="12"/>
      <c r="J1821" s="12"/>
    </row>
    <row r="1822" spans="5:10" x14ac:dyDescent="0.25">
      <c r="E1822"/>
      <c r="F1822"/>
      <c r="G1822" s="12"/>
      <c r="H1822" s="12"/>
      <c r="I1822" s="12"/>
      <c r="J1822" s="12"/>
    </row>
    <row r="1823" spans="5:10" x14ac:dyDescent="0.25">
      <c r="E1823"/>
      <c r="F1823"/>
      <c r="G1823" s="12"/>
      <c r="H1823" s="12"/>
      <c r="I1823" s="12"/>
      <c r="J1823" s="12"/>
    </row>
    <row r="1824" spans="5:10" x14ac:dyDescent="0.25">
      <c r="E1824"/>
      <c r="F1824"/>
      <c r="G1824" s="12"/>
      <c r="H1824" s="12"/>
      <c r="I1824" s="12"/>
      <c r="J1824" s="12"/>
    </row>
    <row r="1825" spans="5:10" x14ac:dyDescent="0.25">
      <c r="E1825"/>
      <c r="F1825"/>
      <c r="G1825" s="12"/>
      <c r="H1825" s="12"/>
      <c r="I1825" s="12"/>
      <c r="J1825" s="12"/>
    </row>
    <row r="1826" spans="5:10" x14ac:dyDescent="0.25">
      <c r="E1826"/>
      <c r="F1826"/>
      <c r="G1826" s="12"/>
      <c r="H1826" s="12"/>
      <c r="I1826" s="12"/>
      <c r="J1826" s="12"/>
    </row>
    <row r="1827" spans="5:10" x14ac:dyDescent="0.25">
      <c r="E1827"/>
      <c r="F1827"/>
      <c r="G1827" s="12"/>
      <c r="H1827" s="12"/>
      <c r="I1827" s="12"/>
      <c r="J1827" s="12"/>
    </row>
    <row r="1828" spans="5:10" x14ac:dyDescent="0.25">
      <c r="E1828"/>
      <c r="F1828"/>
      <c r="G1828" s="12"/>
      <c r="H1828" s="12"/>
      <c r="I1828" s="12"/>
      <c r="J1828" s="12"/>
    </row>
    <row r="1829" spans="5:10" x14ac:dyDescent="0.25">
      <c r="E1829"/>
      <c r="F1829"/>
      <c r="G1829" s="12"/>
      <c r="H1829" s="12"/>
      <c r="I1829" s="12"/>
      <c r="J1829" s="12"/>
    </row>
    <row r="1830" spans="5:10" x14ac:dyDescent="0.25">
      <c r="E1830"/>
      <c r="F1830"/>
      <c r="G1830" s="12"/>
      <c r="H1830" s="12"/>
      <c r="I1830" s="12"/>
      <c r="J1830" s="12"/>
    </row>
    <row r="1831" spans="5:10" x14ac:dyDescent="0.25">
      <c r="E1831"/>
      <c r="F1831"/>
      <c r="G1831" s="12"/>
      <c r="H1831" s="12"/>
      <c r="I1831" s="12"/>
      <c r="J1831" s="12"/>
    </row>
    <row r="1832" spans="5:10" x14ac:dyDescent="0.25">
      <c r="E1832"/>
      <c r="F1832"/>
      <c r="G1832" s="12"/>
      <c r="H1832" s="12"/>
      <c r="I1832" s="12"/>
      <c r="J1832" s="12"/>
    </row>
    <row r="1833" spans="5:10" x14ac:dyDescent="0.25">
      <c r="E1833"/>
      <c r="F1833"/>
      <c r="G1833" s="12"/>
      <c r="H1833" s="12"/>
      <c r="I1833" s="12"/>
      <c r="J1833" s="12"/>
    </row>
    <row r="1834" spans="5:10" x14ac:dyDescent="0.25">
      <c r="E1834"/>
      <c r="F1834"/>
      <c r="G1834" s="12"/>
      <c r="H1834" s="12"/>
      <c r="I1834" s="12"/>
      <c r="J1834" s="12"/>
    </row>
    <row r="1835" spans="5:10" x14ac:dyDescent="0.25">
      <c r="E1835"/>
      <c r="F1835"/>
      <c r="G1835" s="12"/>
      <c r="H1835" s="12"/>
      <c r="I1835" s="12"/>
      <c r="J1835" s="12"/>
    </row>
    <row r="1836" spans="5:10" x14ac:dyDescent="0.25">
      <c r="E1836"/>
      <c r="F1836"/>
      <c r="G1836" s="12"/>
      <c r="H1836" s="12"/>
      <c r="I1836" s="12"/>
      <c r="J1836" s="12"/>
    </row>
    <row r="1837" spans="5:10" x14ac:dyDescent="0.25">
      <c r="E1837"/>
      <c r="F1837"/>
      <c r="G1837" s="12"/>
      <c r="H1837" s="12"/>
      <c r="I1837" s="12"/>
      <c r="J1837" s="12"/>
    </row>
    <row r="1838" spans="5:10" x14ac:dyDescent="0.25">
      <c r="E1838"/>
      <c r="F1838"/>
      <c r="G1838" s="12"/>
      <c r="H1838" s="12"/>
      <c r="I1838" s="12"/>
      <c r="J1838" s="12"/>
    </row>
    <row r="1839" spans="5:10" x14ac:dyDescent="0.25">
      <c r="E1839"/>
      <c r="F1839"/>
      <c r="G1839" s="12"/>
      <c r="H1839" s="12"/>
      <c r="I1839" s="12"/>
      <c r="J1839" s="12"/>
    </row>
    <row r="1840" spans="5:10" x14ac:dyDescent="0.25">
      <c r="E1840"/>
      <c r="F1840"/>
      <c r="G1840" s="12"/>
      <c r="H1840" s="12"/>
      <c r="I1840" s="12"/>
      <c r="J1840" s="12"/>
    </row>
    <row r="1841" spans="5:10" x14ac:dyDescent="0.25">
      <c r="E1841"/>
      <c r="F1841"/>
      <c r="G1841" s="12"/>
      <c r="H1841" s="12"/>
      <c r="I1841" s="12"/>
      <c r="J1841" s="12"/>
    </row>
    <row r="1842" spans="5:10" x14ac:dyDescent="0.25">
      <c r="E1842"/>
      <c r="F1842"/>
      <c r="G1842" s="12"/>
      <c r="H1842" s="12"/>
      <c r="I1842" s="12"/>
      <c r="J1842" s="12"/>
    </row>
    <row r="1843" spans="5:10" x14ac:dyDescent="0.25">
      <c r="E1843"/>
      <c r="F1843"/>
      <c r="G1843" s="12"/>
      <c r="H1843" s="12"/>
      <c r="I1843" s="12"/>
      <c r="J1843" s="12"/>
    </row>
    <row r="1844" spans="5:10" x14ac:dyDescent="0.25">
      <c r="E1844"/>
      <c r="F1844"/>
      <c r="G1844" s="12"/>
      <c r="H1844" s="12"/>
      <c r="I1844" s="12"/>
      <c r="J1844" s="12"/>
    </row>
    <row r="1845" spans="5:10" x14ac:dyDescent="0.25">
      <c r="E1845"/>
      <c r="F1845"/>
      <c r="G1845" s="12"/>
      <c r="H1845" s="12"/>
      <c r="I1845" s="12"/>
      <c r="J1845" s="12"/>
    </row>
    <row r="1846" spans="5:10" x14ac:dyDescent="0.25">
      <c r="E1846"/>
      <c r="F1846"/>
      <c r="G1846" s="12"/>
      <c r="H1846" s="12"/>
      <c r="I1846" s="12"/>
      <c r="J1846" s="12"/>
    </row>
    <row r="1847" spans="5:10" x14ac:dyDescent="0.25">
      <c r="E1847"/>
      <c r="F1847"/>
      <c r="G1847" s="12"/>
      <c r="H1847" s="12"/>
      <c r="I1847" s="12"/>
      <c r="J1847" s="12"/>
    </row>
    <row r="1848" spans="5:10" x14ac:dyDescent="0.25">
      <c r="E1848"/>
      <c r="F1848"/>
      <c r="G1848" s="12"/>
      <c r="H1848" s="12"/>
      <c r="I1848" s="12"/>
      <c r="J1848" s="12"/>
    </row>
    <row r="1849" spans="5:10" x14ac:dyDescent="0.25">
      <c r="E1849"/>
      <c r="F1849"/>
      <c r="G1849" s="12"/>
      <c r="H1849" s="12"/>
      <c r="I1849" s="12"/>
      <c r="J1849" s="12"/>
    </row>
    <row r="1850" spans="5:10" x14ac:dyDescent="0.25">
      <c r="E1850"/>
      <c r="F1850"/>
      <c r="G1850" s="12"/>
      <c r="H1850" s="12"/>
      <c r="I1850" s="12"/>
      <c r="J1850" s="12"/>
    </row>
    <row r="1851" spans="5:10" x14ac:dyDescent="0.25">
      <c r="E1851"/>
      <c r="F1851"/>
      <c r="G1851" s="12"/>
      <c r="H1851" s="12"/>
      <c r="I1851" s="12"/>
      <c r="J1851" s="12"/>
    </row>
    <row r="1852" spans="5:10" x14ac:dyDescent="0.25">
      <c r="E1852"/>
      <c r="F1852"/>
      <c r="G1852" s="12"/>
      <c r="H1852" s="12"/>
      <c r="I1852" s="12"/>
      <c r="J1852" s="12"/>
    </row>
    <row r="1853" spans="5:10" x14ac:dyDescent="0.25">
      <c r="E1853"/>
      <c r="F1853"/>
      <c r="G1853" s="12"/>
      <c r="H1853" s="12"/>
      <c r="I1853" s="12"/>
      <c r="J1853" s="12"/>
    </row>
    <row r="1854" spans="5:10" x14ac:dyDescent="0.25">
      <c r="E1854"/>
      <c r="F1854"/>
      <c r="G1854" s="12"/>
      <c r="H1854" s="12"/>
      <c r="I1854" s="12"/>
      <c r="J1854" s="12"/>
    </row>
    <row r="1855" spans="5:10" x14ac:dyDescent="0.25">
      <c r="E1855"/>
      <c r="F1855"/>
      <c r="G1855" s="12"/>
      <c r="H1855" s="12"/>
      <c r="I1855" s="12"/>
      <c r="J1855" s="12"/>
    </row>
    <row r="1856" spans="5:10" x14ac:dyDescent="0.25">
      <c r="E1856"/>
      <c r="F1856"/>
      <c r="G1856" s="12"/>
      <c r="H1856" s="12"/>
      <c r="I1856" s="12"/>
      <c r="J1856" s="12"/>
    </row>
    <row r="1857" spans="5:10" x14ac:dyDescent="0.25">
      <c r="E1857"/>
      <c r="F1857"/>
      <c r="G1857" s="12"/>
      <c r="H1857" s="12"/>
      <c r="I1857" s="12"/>
      <c r="J1857" s="12"/>
    </row>
    <row r="1858" spans="5:10" x14ac:dyDescent="0.25">
      <c r="E1858"/>
      <c r="F1858"/>
      <c r="G1858" s="12"/>
      <c r="H1858" s="12"/>
      <c r="I1858" s="12"/>
      <c r="J1858" s="12"/>
    </row>
    <row r="1859" spans="5:10" x14ac:dyDescent="0.25">
      <c r="E1859"/>
      <c r="F1859"/>
      <c r="G1859" s="12"/>
      <c r="H1859" s="12"/>
      <c r="I1859" s="12"/>
      <c r="J1859" s="12"/>
    </row>
    <row r="1860" spans="5:10" x14ac:dyDescent="0.25">
      <c r="E1860"/>
      <c r="F1860"/>
      <c r="G1860" s="12"/>
      <c r="H1860" s="12"/>
      <c r="I1860" s="12"/>
      <c r="J1860" s="12"/>
    </row>
    <row r="1861" spans="5:10" x14ac:dyDescent="0.25">
      <c r="E1861"/>
      <c r="F1861"/>
      <c r="G1861" s="12"/>
      <c r="H1861" s="12"/>
      <c r="I1861" s="12"/>
      <c r="J1861" s="12"/>
    </row>
    <row r="1862" spans="5:10" x14ac:dyDescent="0.25">
      <c r="E1862"/>
      <c r="F1862"/>
      <c r="G1862" s="12"/>
      <c r="H1862" s="12"/>
      <c r="I1862" s="12"/>
      <c r="J1862" s="12"/>
    </row>
    <row r="1863" spans="5:10" x14ac:dyDescent="0.25">
      <c r="E1863"/>
      <c r="F1863"/>
      <c r="G1863" s="12"/>
      <c r="H1863" s="12"/>
      <c r="I1863" s="12"/>
      <c r="J1863" s="12"/>
    </row>
    <row r="1864" spans="5:10" x14ac:dyDescent="0.25">
      <c r="E1864"/>
      <c r="F1864"/>
      <c r="G1864" s="12"/>
      <c r="H1864" s="12"/>
      <c r="I1864" s="12"/>
      <c r="J1864" s="12"/>
    </row>
    <row r="1865" spans="5:10" x14ac:dyDescent="0.25">
      <c r="E1865"/>
      <c r="F1865"/>
      <c r="G1865" s="12"/>
      <c r="H1865" s="12"/>
      <c r="I1865" s="12"/>
      <c r="J1865" s="12"/>
    </row>
    <row r="1866" spans="5:10" x14ac:dyDescent="0.25">
      <c r="E1866"/>
      <c r="F1866"/>
      <c r="G1866" s="12"/>
      <c r="H1866" s="12"/>
      <c r="I1866" s="12"/>
      <c r="J1866" s="12"/>
    </row>
    <row r="1867" spans="5:10" x14ac:dyDescent="0.25">
      <c r="E1867"/>
      <c r="F1867"/>
      <c r="G1867" s="12"/>
      <c r="H1867" s="12"/>
      <c r="I1867" s="12"/>
      <c r="J1867" s="12"/>
    </row>
    <row r="1868" spans="5:10" x14ac:dyDescent="0.25">
      <c r="E1868"/>
      <c r="F1868"/>
      <c r="G1868" s="12"/>
      <c r="H1868" s="12"/>
      <c r="I1868" s="12"/>
      <c r="J1868" s="12"/>
    </row>
    <row r="1869" spans="5:10" x14ac:dyDescent="0.25">
      <c r="E1869"/>
      <c r="F1869"/>
      <c r="G1869" s="12"/>
      <c r="H1869" s="12"/>
      <c r="I1869" s="12"/>
      <c r="J1869" s="12"/>
    </row>
    <row r="1870" spans="5:10" x14ac:dyDescent="0.25">
      <c r="E1870"/>
      <c r="F1870"/>
      <c r="G1870" s="12"/>
      <c r="H1870" s="12"/>
      <c r="I1870" s="12"/>
      <c r="J1870" s="12"/>
    </row>
    <row r="1871" spans="5:10" x14ac:dyDescent="0.25">
      <c r="E1871"/>
      <c r="F1871"/>
      <c r="G1871" s="12"/>
      <c r="H1871" s="12"/>
      <c r="I1871" s="12"/>
      <c r="J1871" s="12"/>
    </row>
    <row r="1872" spans="5:10" x14ac:dyDescent="0.25">
      <c r="E1872"/>
      <c r="F1872"/>
      <c r="G1872" s="12"/>
      <c r="H1872" s="12"/>
      <c r="I1872" s="12"/>
      <c r="J1872" s="12"/>
    </row>
    <row r="1873" spans="5:10" x14ac:dyDescent="0.25">
      <c r="E1873"/>
      <c r="F1873"/>
      <c r="G1873" s="12"/>
      <c r="H1873" s="12"/>
      <c r="I1873" s="12"/>
      <c r="J1873" s="12"/>
    </row>
    <row r="1874" spans="5:10" x14ac:dyDescent="0.25">
      <c r="E1874"/>
      <c r="F1874"/>
      <c r="G1874" s="12"/>
      <c r="H1874" s="12"/>
      <c r="I1874" s="12"/>
      <c r="J1874" s="12"/>
    </row>
    <row r="1875" spans="5:10" x14ac:dyDescent="0.25">
      <c r="E1875"/>
      <c r="F1875"/>
      <c r="G1875" s="12"/>
      <c r="H1875" s="12"/>
      <c r="I1875" s="12"/>
      <c r="J1875" s="12"/>
    </row>
    <row r="1876" spans="5:10" x14ac:dyDescent="0.25">
      <c r="E1876"/>
      <c r="F1876"/>
      <c r="G1876" s="12"/>
      <c r="H1876" s="12"/>
      <c r="I1876" s="12"/>
      <c r="J1876" s="12"/>
    </row>
    <row r="1877" spans="5:10" x14ac:dyDescent="0.25">
      <c r="E1877"/>
      <c r="F1877"/>
      <c r="G1877" s="12"/>
      <c r="H1877" s="12"/>
      <c r="I1877" s="12"/>
      <c r="J1877" s="12"/>
    </row>
    <row r="1878" spans="5:10" x14ac:dyDescent="0.25">
      <c r="E1878"/>
      <c r="F1878"/>
      <c r="G1878" s="12"/>
      <c r="H1878" s="12"/>
      <c r="I1878" s="12"/>
      <c r="J1878" s="12"/>
    </row>
    <row r="1879" spans="5:10" x14ac:dyDescent="0.25">
      <c r="E1879"/>
      <c r="F1879"/>
      <c r="G1879" s="12"/>
      <c r="H1879" s="12"/>
      <c r="I1879" s="12"/>
      <c r="J1879" s="12"/>
    </row>
    <row r="1880" spans="5:10" x14ac:dyDescent="0.25">
      <c r="E1880"/>
      <c r="F1880"/>
      <c r="G1880" s="12"/>
      <c r="H1880" s="12"/>
      <c r="I1880" s="12"/>
      <c r="J1880" s="12"/>
    </row>
    <row r="1881" spans="5:10" x14ac:dyDescent="0.25">
      <c r="E1881"/>
      <c r="F1881"/>
      <c r="G1881" s="12"/>
      <c r="H1881" s="12"/>
      <c r="I1881" s="12"/>
      <c r="J1881" s="12"/>
    </row>
    <row r="1882" spans="5:10" x14ac:dyDescent="0.25">
      <c r="E1882"/>
      <c r="F1882"/>
      <c r="G1882" s="12"/>
      <c r="H1882" s="12"/>
      <c r="I1882" s="12"/>
      <c r="J1882" s="12"/>
    </row>
    <row r="1883" spans="5:10" x14ac:dyDescent="0.25">
      <c r="E1883"/>
      <c r="F1883"/>
      <c r="G1883" s="12"/>
      <c r="H1883" s="12"/>
      <c r="I1883" s="12"/>
      <c r="J1883" s="12"/>
    </row>
    <row r="1884" spans="5:10" x14ac:dyDescent="0.25">
      <c r="E1884"/>
      <c r="F1884"/>
      <c r="G1884" s="12"/>
      <c r="H1884" s="12"/>
      <c r="I1884" s="12"/>
      <c r="J1884" s="12"/>
    </row>
    <row r="1885" spans="5:10" x14ac:dyDescent="0.25">
      <c r="E1885"/>
      <c r="F1885"/>
      <c r="G1885" s="12"/>
      <c r="H1885" s="12"/>
      <c r="I1885" s="12"/>
      <c r="J1885" s="12"/>
    </row>
    <row r="1886" spans="5:10" x14ac:dyDescent="0.25">
      <c r="E1886"/>
      <c r="F1886"/>
      <c r="G1886" s="12"/>
      <c r="H1886" s="12"/>
      <c r="I1886" s="12"/>
      <c r="J1886" s="12"/>
    </row>
    <row r="1887" spans="5:10" x14ac:dyDescent="0.25">
      <c r="E1887"/>
      <c r="F1887"/>
      <c r="G1887" s="12"/>
      <c r="H1887" s="12"/>
      <c r="I1887" s="12"/>
      <c r="J1887" s="12"/>
    </row>
    <row r="1888" spans="5:10" x14ac:dyDescent="0.25">
      <c r="E1888"/>
      <c r="F1888"/>
      <c r="G1888" s="12"/>
      <c r="H1888" s="12"/>
      <c r="I1888" s="12"/>
      <c r="J1888" s="12"/>
    </row>
    <row r="1889" spans="5:10" x14ac:dyDescent="0.25">
      <c r="E1889"/>
      <c r="F1889"/>
      <c r="G1889" s="12"/>
      <c r="H1889" s="12"/>
      <c r="I1889" s="12"/>
      <c r="J1889" s="12"/>
    </row>
    <row r="1890" spans="5:10" x14ac:dyDescent="0.25">
      <c r="E1890"/>
      <c r="F1890"/>
      <c r="G1890" s="12"/>
      <c r="H1890" s="12"/>
      <c r="I1890" s="12"/>
      <c r="J1890" s="12"/>
    </row>
    <row r="1891" spans="5:10" x14ac:dyDescent="0.25">
      <c r="E1891"/>
      <c r="F1891"/>
      <c r="G1891" s="12"/>
      <c r="H1891" s="12"/>
      <c r="I1891" s="12"/>
      <c r="J1891" s="12"/>
    </row>
    <row r="1892" spans="5:10" x14ac:dyDescent="0.25">
      <c r="E1892"/>
      <c r="F1892"/>
      <c r="G1892" s="12"/>
      <c r="H1892" s="12"/>
      <c r="I1892" s="12"/>
      <c r="J1892" s="12"/>
    </row>
    <row r="1893" spans="5:10" x14ac:dyDescent="0.25">
      <c r="E1893"/>
      <c r="F1893"/>
      <c r="G1893" s="12"/>
      <c r="H1893" s="12"/>
      <c r="I1893" s="12"/>
      <c r="J1893" s="12"/>
    </row>
    <row r="1894" spans="5:10" x14ac:dyDescent="0.25">
      <c r="E1894"/>
      <c r="F1894"/>
      <c r="G1894" s="12"/>
      <c r="H1894" s="12"/>
      <c r="I1894" s="12"/>
      <c r="J1894" s="12"/>
    </row>
    <row r="1895" spans="5:10" x14ac:dyDescent="0.25">
      <c r="E1895"/>
      <c r="F1895"/>
      <c r="G1895" s="12"/>
      <c r="H1895" s="12"/>
      <c r="I1895" s="12"/>
      <c r="J1895" s="12"/>
    </row>
    <row r="1896" spans="5:10" x14ac:dyDescent="0.25">
      <c r="E1896"/>
      <c r="F1896"/>
      <c r="G1896" s="12"/>
      <c r="H1896" s="12"/>
      <c r="I1896" s="12"/>
      <c r="J1896" s="12"/>
    </row>
    <row r="1897" spans="5:10" x14ac:dyDescent="0.25">
      <c r="E1897"/>
      <c r="F1897"/>
      <c r="G1897" s="12"/>
      <c r="H1897" s="12"/>
      <c r="I1897" s="12"/>
      <c r="J1897" s="12"/>
    </row>
    <row r="1898" spans="5:10" x14ac:dyDescent="0.25">
      <c r="E1898"/>
      <c r="F1898"/>
      <c r="G1898" s="12"/>
      <c r="H1898" s="12"/>
      <c r="I1898" s="12"/>
      <c r="J1898" s="12"/>
    </row>
    <row r="1899" spans="5:10" x14ac:dyDescent="0.25">
      <c r="E1899"/>
      <c r="F1899"/>
      <c r="G1899" s="12"/>
      <c r="H1899" s="12"/>
      <c r="I1899" s="12"/>
      <c r="J1899" s="12"/>
    </row>
    <row r="1900" spans="5:10" x14ac:dyDescent="0.25">
      <c r="E1900"/>
      <c r="F1900"/>
      <c r="G1900" s="12"/>
      <c r="H1900" s="12"/>
      <c r="I1900" s="12"/>
      <c r="J1900" s="12"/>
    </row>
    <row r="1901" spans="5:10" x14ac:dyDescent="0.25">
      <c r="E1901"/>
      <c r="F1901"/>
      <c r="G1901" s="12"/>
      <c r="H1901" s="12"/>
      <c r="I1901" s="12"/>
      <c r="J1901" s="12"/>
    </row>
    <row r="1902" spans="5:10" x14ac:dyDescent="0.25">
      <c r="E1902"/>
      <c r="F1902"/>
      <c r="G1902" s="12"/>
      <c r="H1902" s="12"/>
      <c r="I1902" s="12"/>
      <c r="J1902" s="12"/>
    </row>
    <row r="1903" spans="5:10" x14ac:dyDescent="0.25">
      <c r="E1903"/>
      <c r="F1903"/>
      <c r="G1903" s="12"/>
      <c r="H1903" s="12"/>
      <c r="I1903" s="12"/>
      <c r="J1903" s="12"/>
    </row>
    <row r="1904" spans="5:10" x14ac:dyDescent="0.25">
      <c r="E1904"/>
      <c r="F1904"/>
      <c r="G1904" s="12"/>
      <c r="H1904" s="12"/>
      <c r="I1904" s="12"/>
      <c r="J1904" s="12"/>
    </row>
    <row r="1905" spans="5:10" x14ac:dyDescent="0.25">
      <c r="E1905"/>
      <c r="F1905"/>
      <c r="G1905" s="12"/>
      <c r="H1905" s="12"/>
      <c r="I1905" s="12"/>
      <c r="J1905" s="12"/>
    </row>
    <row r="1906" spans="5:10" x14ac:dyDescent="0.25">
      <c r="E1906"/>
      <c r="F1906"/>
      <c r="G1906" s="12"/>
      <c r="H1906" s="12"/>
      <c r="I1906" s="12"/>
      <c r="J1906" s="12"/>
    </row>
    <row r="1907" spans="5:10" x14ac:dyDescent="0.25">
      <c r="E1907"/>
      <c r="F1907"/>
      <c r="G1907" s="12"/>
      <c r="H1907" s="12"/>
      <c r="I1907" s="12"/>
      <c r="J1907" s="12"/>
    </row>
    <row r="1908" spans="5:10" x14ac:dyDescent="0.25">
      <c r="E1908"/>
      <c r="F1908"/>
      <c r="G1908" s="12"/>
      <c r="H1908" s="12"/>
      <c r="I1908" s="12"/>
      <c r="J1908" s="12"/>
    </row>
    <row r="1909" spans="5:10" x14ac:dyDescent="0.25">
      <c r="E1909"/>
      <c r="F1909"/>
      <c r="G1909" s="12"/>
      <c r="H1909" s="12"/>
      <c r="I1909" s="12"/>
      <c r="J1909" s="12"/>
    </row>
    <row r="1910" spans="5:10" x14ac:dyDescent="0.25">
      <c r="E1910"/>
      <c r="F1910"/>
      <c r="G1910" s="12"/>
      <c r="H1910" s="12"/>
      <c r="I1910" s="12"/>
      <c r="J1910" s="12"/>
    </row>
    <row r="1911" spans="5:10" x14ac:dyDescent="0.25">
      <c r="E1911"/>
      <c r="F1911"/>
      <c r="G1911" s="12"/>
      <c r="H1911" s="12"/>
      <c r="I1911" s="12"/>
      <c r="J1911" s="12"/>
    </row>
    <row r="1912" spans="5:10" x14ac:dyDescent="0.25">
      <c r="E1912"/>
      <c r="F1912"/>
      <c r="G1912" s="12"/>
      <c r="H1912" s="12"/>
      <c r="I1912" s="12"/>
      <c r="J1912" s="12"/>
    </row>
    <row r="1913" spans="5:10" x14ac:dyDescent="0.25">
      <c r="E1913"/>
      <c r="F1913"/>
      <c r="G1913" s="12"/>
      <c r="H1913" s="12"/>
      <c r="I1913" s="12"/>
      <c r="J1913" s="12"/>
    </row>
    <row r="1914" spans="5:10" x14ac:dyDescent="0.25">
      <c r="E1914"/>
      <c r="F1914"/>
      <c r="G1914" s="12"/>
      <c r="H1914" s="12"/>
      <c r="I1914" s="12"/>
      <c r="J1914" s="12"/>
    </row>
    <row r="1915" spans="5:10" x14ac:dyDescent="0.25">
      <c r="E1915"/>
      <c r="F1915"/>
      <c r="G1915" s="12"/>
      <c r="H1915" s="12"/>
      <c r="I1915" s="12"/>
      <c r="J1915" s="12"/>
    </row>
    <row r="1916" spans="5:10" x14ac:dyDescent="0.25">
      <c r="E1916"/>
      <c r="F1916"/>
      <c r="G1916" s="12"/>
      <c r="H1916" s="12"/>
      <c r="I1916" s="12"/>
      <c r="J1916" s="12"/>
    </row>
    <row r="1917" spans="5:10" x14ac:dyDescent="0.25">
      <c r="E1917"/>
      <c r="F1917"/>
      <c r="G1917" s="12"/>
      <c r="H1917" s="12"/>
      <c r="I1917" s="12"/>
      <c r="J1917" s="12"/>
    </row>
    <row r="1918" spans="5:10" x14ac:dyDescent="0.25">
      <c r="E1918"/>
      <c r="F1918"/>
      <c r="G1918" s="12"/>
      <c r="H1918" s="12"/>
      <c r="I1918" s="12"/>
      <c r="J1918" s="12"/>
    </row>
    <row r="1919" spans="5:10" x14ac:dyDescent="0.25">
      <c r="E1919"/>
      <c r="F1919"/>
      <c r="G1919" s="12"/>
      <c r="H1919" s="12"/>
      <c r="I1919" s="12"/>
      <c r="J1919" s="12"/>
    </row>
    <row r="1920" spans="5:10" x14ac:dyDescent="0.25">
      <c r="E1920"/>
      <c r="F1920"/>
      <c r="G1920" s="12"/>
      <c r="H1920" s="12"/>
      <c r="I1920" s="12"/>
      <c r="J1920" s="12"/>
    </row>
    <row r="1921" spans="5:10" x14ac:dyDescent="0.25">
      <c r="E1921"/>
      <c r="F1921"/>
      <c r="G1921" s="12"/>
      <c r="H1921" s="12"/>
      <c r="I1921" s="12"/>
      <c r="J1921" s="12"/>
    </row>
    <row r="1922" spans="5:10" x14ac:dyDescent="0.25">
      <c r="E1922"/>
      <c r="F1922"/>
      <c r="G1922" s="12"/>
      <c r="H1922" s="12"/>
      <c r="I1922" s="12"/>
      <c r="J1922" s="12"/>
    </row>
    <row r="1923" spans="5:10" x14ac:dyDescent="0.25">
      <c r="E1923"/>
      <c r="F1923"/>
      <c r="G1923" s="12"/>
      <c r="H1923" s="12"/>
      <c r="I1923" s="12"/>
      <c r="J1923" s="12"/>
    </row>
    <row r="1924" spans="5:10" x14ac:dyDescent="0.25">
      <c r="E1924"/>
      <c r="F1924"/>
      <c r="G1924" s="12"/>
      <c r="H1924" s="12"/>
      <c r="I1924" s="12"/>
      <c r="J1924" s="12"/>
    </row>
    <row r="1925" spans="5:10" x14ac:dyDescent="0.25">
      <c r="E1925"/>
      <c r="F1925"/>
      <c r="G1925" s="12"/>
      <c r="H1925" s="12"/>
      <c r="I1925" s="12"/>
      <c r="J1925" s="12"/>
    </row>
    <row r="1926" spans="5:10" x14ac:dyDescent="0.25">
      <c r="E1926"/>
      <c r="F1926"/>
      <c r="G1926" s="12"/>
      <c r="H1926" s="12"/>
      <c r="I1926" s="12"/>
      <c r="J1926" s="12"/>
    </row>
    <row r="1927" spans="5:10" x14ac:dyDescent="0.25">
      <c r="E1927"/>
      <c r="F1927"/>
      <c r="G1927" s="12"/>
      <c r="H1927" s="12"/>
      <c r="I1927" s="12"/>
      <c r="J1927" s="12"/>
    </row>
    <row r="1928" spans="5:10" x14ac:dyDescent="0.25">
      <c r="E1928"/>
      <c r="F1928"/>
      <c r="G1928" s="12"/>
      <c r="H1928" s="12"/>
      <c r="I1928" s="12"/>
      <c r="J1928" s="12"/>
    </row>
    <row r="1929" spans="5:10" x14ac:dyDescent="0.25">
      <c r="E1929"/>
      <c r="F1929"/>
      <c r="G1929" s="12"/>
      <c r="H1929" s="12"/>
      <c r="I1929" s="12"/>
      <c r="J1929" s="12"/>
    </row>
    <row r="1930" spans="5:10" x14ac:dyDescent="0.25">
      <c r="E1930"/>
      <c r="F1930"/>
      <c r="G1930" s="12"/>
      <c r="H1930" s="12"/>
      <c r="I1930" s="12"/>
      <c r="J1930" s="12"/>
    </row>
    <row r="1931" spans="5:10" x14ac:dyDescent="0.25">
      <c r="E1931"/>
      <c r="F1931"/>
      <c r="G1931" s="12"/>
      <c r="H1931" s="12"/>
      <c r="I1931" s="12"/>
      <c r="J1931" s="12"/>
    </row>
    <row r="1932" spans="5:10" x14ac:dyDescent="0.25">
      <c r="E1932"/>
      <c r="F1932"/>
      <c r="G1932" s="12"/>
      <c r="H1932" s="12"/>
      <c r="I1932" s="12"/>
      <c r="J1932" s="12"/>
    </row>
    <row r="1933" spans="5:10" x14ac:dyDescent="0.25">
      <c r="E1933"/>
      <c r="F1933"/>
      <c r="G1933" s="12"/>
      <c r="H1933" s="12"/>
      <c r="I1933" s="12"/>
      <c r="J1933" s="12"/>
    </row>
    <row r="1934" spans="5:10" x14ac:dyDescent="0.25">
      <c r="E1934"/>
      <c r="F1934"/>
      <c r="G1934" s="12"/>
      <c r="H1934" s="12"/>
      <c r="I1934" s="12"/>
      <c r="J1934" s="12"/>
    </row>
    <row r="1935" spans="5:10" x14ac:dyDescent="0.25">
      <c r="E1935"/>
      <c r="F1935"/>
      <c r="G1935" s="12"/>
      <c r="H1935" s="12"/>
      <c r="I1935" s="12"/>
      <c r="J1935" s="12"/>
    </row>
    <row r="1936" spans="5:10" x14ac:dyDescent="0.25">
      <c r="E1936"/>
      <c r="F1936"/>
      <c r="G1936" s="12"/>
      <c r="H1936" s="12"/>
      <c r="I1936" s="12"/>
      <c r="J1936" s="12"/>
    </row>
    <row r="1937" spans="5:10" x14ac:dyDescent="0.25">
      <c r="E1937"/>
      <c r="F1937"/>
      <c r="G1937" s="12"/>
      <c r="H1937" s="12"/>
      <c r="I1937" s="12"/>
      <c r="J1937" s="12"/>
    </row>
    <row r="1938" spans="5:10" x14ac:dyDescent="0.25">
      <c r="E1938"/>
      <c r="F1938"/>
      <c r="G1938" s="12"/>
      <c r="H1938" s="12"/>
      <c r="I1938" s="12"/>
      <c r="J1938" s="12"/>
    </row>
    <row r="1939" spans="5:10" x14ac:dyDescent="0.25">
      <c r="E1939"/>
      <c r="F1939"/>
      <c r="G1939" s="12"/>
      <c r="H1939" s="12"/>
      <c r="I1939" s="12"/>
      <c r="J1939" s="12"/>
    </row>
    <row r="1940" spans="5:10" x14ac:dyDescent="0.25">
      <c r="E1940"/>
      <c r="F1940"/>
      <c r="G1940" s="12"/>
      <c r="H1940" s="12"/>
      <c r="I1940" s="12"/>
      <c r="J1940" s="12"/>
    </row>
    <row r="1941" spans="5:10" x14ac:dyDescent="0.25">
      <c r="E1941"/>
      <c r="F1941"/>
      <c r="G1941" s="12"/>
      <c r="H1941" s="12"/>
      <c r="I1941" s="12"/>
      <c r="J1941" s="12"/>
    </row>
    <row r="1942" spans="5:10" x14ac:dyDescent="0.25">
      <c r="E1942"/>
      <c r="F1942"/>
      <c r="G1942" s="12"/>
      <c r="H1942" s="12"/>
      <c r="I1942" s="12"/>
      <c r="J1942" s="12"/>
    </row>
    <row r="1943" spans="5:10" x14ac:dyDescent="0.25">
      <c r="E1943"/>
      <c r="F1943"/>
      <c r="G1943" s="12"/>
      <c r="H1943" s="12"/>
      <c r="I1943" s="12"/>
      <c r="J1943" s="12"/>
    </row>
    <row r="1944" spans="5:10" x14ac:dyDescent="0.25">
      <c r="E1944"/>
      <c r="F1944"/>
      <c r="G1944" s="12"/>
      <c r="H1944" s="12"/>
      <c r="I1944" s="12"/>
      <c r="J1944" s="12"/>
    </row>
    <row r="1945" spans="5:10" x14ac:dyDescent="0.25">
      <c r="E1945"/>
      <c r="F1945"/>
      <c r="G1945" s="12"/>
      <c r="H1945" s="12"/>
      <c r="I1945" s="12"/>
      <c r="J1945" s="12"/>
    </row>
    <row r="1946" spans="5:10" x14ac:dyDescent="0.25">
      <c r="E1946"/>
      <c r="F1946"/>
      <c r="G1946" s="12"/>
      <c r="H1946" s="12"/>
      <c r="I1946" s="12"/>
      <c r="J1946" s="12"/>
    </row>
    <row r="1947" spans="5:10" x14ac:dyDescent="0.25">
      <c r="E1947"/>
      <c r="F1947"/>
      <c r="G1947" s="12"/>
      <c r="H1947" s="12"/>
      <c r="I1947" s="12"/>
      <c r="J1947" s="12"/>
    </row>
    <row r="1948" spans="5:10" x14ac:dyDescent="0.25">
      <c r="E1948"/>
      <c r="F1948"/>
      <c r="G1948" s="12"/>
      <c r="H1948" s="12"/>
      <c r="I1948" s="12"/>
      <c r="J1948" s="12"/>
    </row>
    <row r="1949" spans="5:10" x14ac:dyDescent="0.25">
      <c r="E1949"/>
      <c r="F1949"/>
      <c r="G1949" s="12"/>
      <c r="H1949" s="12"/>
      <c r="I1949" s="12"/>
      <c r="J1949" s="12"/>
    </row>
    <row r="1950" spans="5:10" x14ac:dyDescent="0.25">
      <c r="E1950"/>
      <c r="F1950"/>
      <c r="G1950" s="12"/>
      <c r="H1950" s="12"/>
      <c r="I1950" s="12"/>
      <c r="J1950" s="12"/>
    </row>
    <row r="1951" spans="5:10" x14ac:dyDescent="0.25">
      <c r="E1951"/>
      <c r="F1951"/>
      <c r="G1951" s="12"/>
      <c r="H1951" s="12"/>
      <c r="I1951" s="12"/>
      <c r="J1951" s="12"/>
    </row>
    <row r="1952" spans="5:10" x14ac:dyDescent="0.25">
      <c r="E1952"/>
      <c r="F1952"/>
      <c r="G1952" s="12"/>
      <c r="H1952" s="12"/>
      <c r="I1952" s="12"/>
      <c r="J1952" s="12"/>
    </row>
    <row r="1953" spans="5:10" x14ac:dyDescent="0.25">
      <c r="E1953"/>
      <c r="F1953"/>
      <c r="G1953" s="12"/>
      <c r="H1953" s="12"/>
      <c r="I1953" s="12"/>
      <c r="J1953" s="12"/>
    </row>
    <row r="1954" spans="5:10" x14ac:dyDescent="0.25">
      <c r="E1954"/>
      <c r="F1954"/>
      <c r="G1954" s="12"/>
      <c r="H1954" s="12"/>
      <c r="I1954" s="12"/>
      <c r="J1954" s="12"/>
    </row>
    <row r="1955" spans="5:10" x14ac:dyDescent="0.25">
      <c r="E1955"/>
      <c r="F1955"/>
      <c r="G1955" s="12"/>
      <c r="H1955" s="12"/>
      <c r="I1955" s="12"/>
      <c r="J1955" s="12"/>
    </row>
    <row r="1956" spans="5:10" x14ac:dyDescent="0.25">
      <c r="E1956"/>
      <c r="F1956"/>
      <c r="G1956" s="12"/>
      <c r="H1956" s="12"/>
      <c r="I1956" s="12"/>
      <c r="J1956" s="12"/>
    </row>
    <row r="1957" spans="5:10" x14ac:dyDescent="0.25">
      <c r="E1957"/>
      <c r="F1957"/>
      <c r="G1957" s="12"/>
      <c r="H1957" s="12"/>
      <c r="I1957" s="12"/>
      <c r="J1957" s="12"/>
    </row>
    <row r="1958" spans="5:10" x14ac:dyDescent="0.25">
      <c r="E1958"/>
      <c r="F1958"/>
      <c r="G1958" s="12"/>
      <c r="H1958" s="12"/>
      <c r="I1958" s="12"/>
      <c r="J1958" s="12"/>
    </row>
    <row r="1959" spans="5:10" x14ac:dyDescent="0.25">
      <c r="E1959"/>
      <c r="F1959"/>
      <c r="G1959" s="12"/>
      <c r="H1959" s="12"/>
      <c r="I1959" s="12"/>
      <c r="J1959" s="12"/>
    </row>
    <row r="1960" spans="5:10" x14ac:dyDescent="0.25">
      <c r="E1960"/>
      <c r="F1960"/>
      <c r="G1960" s="12"/>
      <c r="H1960" s="12"/>
      <c r="I1960" s="12"/>
      <c r="J1960" s="12"/>
    </row>
    <row r="1961" spans="5:10" x14ac:dyDescent="0.25">
      <c r="E1961"/>
      <c r="F1961"/>
      <c r="G1961" s="12"/>
      <c r="H1961" s="12"/>
      <c r="I1961" s="12"/>
      <c r="J1961" s="12"/>
    </row>
    <row r="1962" spans="5:10" x14ac:dyDescent="0.25">
      <c r="E1962"/>
      <c r="F1962"/>
      <c r="G1962" s="12"/>
      <c r="H1962" s="12"/>
      <c r="I1962" s="12"/>
      <c r="J1962" s="12"/>
    </row>
    <row r="1963" spans="5:10" x14ac:dyDescent="0.25">
      <c r="E1963"/>
      <c r="F1963"/>
      <c r="G1963" s="12"/>
      <c r="H1963" s="12"/>
      <c r="I1963" s="12"/>
      <c r="J1963" s="12"/>
    </row>
    <row r="1964" spans="5:10" x14ac:dyDescent="0.25">
      <c r="E1964"/>
      <c r="F1964"/>
      <c r="G1964" s="12"/>
      <c r="H1964" s="12"/>
      <c r="I1964" s="12"/>
      <c r="J1964" s="12"/>
    </row>
    <row r="1965" spans="5:10" x14ac:dyDescent="0.25">
      <c r="E1965"/>
      <c r="F1965"/>
      <c r="G1965" s="12"/>
      <c r="H1965" s="12"/>
      <c r="I1965" s="12"/>
      <c r="J1965" s="12"/>
    </row>
    <row r="1966" spans="5:10" x14ac:dyDescent="0.25">
      <c r="E1966"/>
      <c r="F1966"/>
      <c r="G1966" s="12"/>
      <c r="H1966" s="12"/>
      <c r="I1966" s="12"/>
      <c r="J1966" s="12"/>
    </row>
    <row r="1967" spans="5:10" x14ac:dyDescent="0.25">
      <c r="E1967"/>
      <c r="F1967"/>
      <c r="G1967" s="12"/>
      <c r="H1967" s="12"/>
      <c r="I1967" s="12"/>
      <c r="J1967" s="12"/>
    </row>
    <row r="1968" spans="5:10" x14ac:dyDescent="0.25">
      <c r="E1968"/>
      <c r="F1968"/>
      <c r="G1968" s="12"/>
      <c r="H1968" s="12"/>
      <c r="I1968" s="12"/>
      <c r="J1968" s="12"/>
    </row>
    <row r="1969" spans="5:10" x14ac:dyDescent="0.25">
      <c r="E1969"/>
      <c r="F1969"/>
      <c r="G1969" s="12"/>
      <c r="H1969" s="12"/>
      <c r="I1969" s="12"/>
      <c r="J1969" s="12"/>
    </row>
    <row r="1970" spans="5:10" x14ac:dyDescent="0.25">
      <c r="E1970"/>
      <c r="F1970"/>
      <c r="G1970" s="12"/>
      <c r="H1970" s="12"/>
      <c r="I1970" s="12"/>
      <c r="J1970" s="12"/>
    </row>
    <row r="1971" spans="5:10" x14ac:dyDescent="0.25">
      <c r="E1971"/>
      <c r="F1971"/>
      <c r="G1971" s="12"/>
      <c r="H1971" s="12"/>
      <c r="I1971" s="12"/>
      <c r="J1971" s="12"/>
    </row>
    <row r="1972" spans="5:10" x14ac:dyDescent="0.25">
      <c r="E1972"/>
      <c r="F1972"/>
      <c r="G1972" s="12"/>
      <c r="H1972" s="12"/>
      <c r="I1972" s="12"/>
      <c r="J1972" s="12"/>
    </row>
    <row r="1973" spans="5:10" x14ac:dyDescent="0.25">
      <c r="E1973"/>
      <c r="F1973"/>
      <c r="G1973" s="12"/>
      <c r="H1973" s="12"/>
      <c r="I1973" s="12"/>
      <c r="J1973" s="12"/>
    </row>
    <row r="1974" spans="5:10" x14ac:dyDescent="0.25">
      <c r="E1974"/>
      <c r="F1974"/>
      <c r="G1974" s="12"/>
      <c r="H1974" s="12"/>
      <c r="I1974" s="12"/>
      <c r="J1974" s="12"/>
    </row>
    <row r="1975" spans="5:10" x14ac:dyDescent="0.25">
      <c r="E1975"/>
      <c r="F1975"/>
      <c r="G1975" s="12"/>
      <c r="H1975" s="12"/>
      <c r="I1975" s="12"/>
      <c r="J1975" s="12"/>
    </row>
    <row r="1976" spans="5:10" x14ac:dyDescent="0.25">
      <c r="E1976"/>
      <c r="F1976"/>
      <c r="G1976" s="12"/>
      <c r="H1976" s="12"/>
      <c r="I1976" s="12"/>
      <c r="J1976" s="12"/>
    </row>
    <row r="1977" spans="5:10" x14ac:dyDescent="0.25">
      <c r="E1977"/>
      <c r="F1977"/>
      <c r="G1977" s="12"/>
      <c r="H1977" s="12"/>
      <c r="I1977" s="12"/>
      <c r="J1977" s="12"/>
    </row>
    <row r="1978" spans="5:10" x14ac:dyDescent="0.25">
      <c r="E1978"/>
      <c r="F1978"/>
      <c r="G1978" s="12"/>
      <c r="H1978" s="12"/>
      <c r="I1978" s="12"/>
      <c r="J1978" s="12"/>
    </row>
    <row r="1979" spans="5:10" x14ac:dyDescent="0.25">
      <c r="E1979"/>
      <c r="F1979"/>
      <c r="G1979" s="12"/>
      <c r="H1979" s="12"/>
      <c r="I1979" s="12"/>
      <c r="J1979" s="12"/>
    </row>
    <row r="1980" spans="5:10" x14ac:dyDescent="0.25">
      <c r="E1980"/>
      <c r="F1980"/>
      <c r="G1980" s="12"/>
      <c r="H1980" s="12"/>
      <c r="I1980" s="12"/>
      <c r="J1980" s="12"/>
    </row>
    <row r="1981" spans="5:10" x14ac:dyDescent="0.25">
      <c r="E1981"/>
      <c r="F1981"/>
      <c r="G1981" s="12"/>
      <c r="H1981" s="12"/>
      <c r="I1981" s="12"/>
      <c r="J1981" s="12"/>
    </row>
    <row r="1982" spans="5:10" x14ac:dyDescent="0.25">
      <c r="E1982"/>
      <c r="F1982"/>
      <c r="G1982" s="12"/>
      <c r="H1982" s="12"/>
      <c r="I1982" s="12"/>
      <c r="J1982" s="12"/>
    </row>
    <row r="1983" spans="5:10" x14ac:dyDescent="0.25">
      <c r="E1983"/>
      <c r="F1983"/>
      <c r="G1983" s="12"/>
      <c r="H1983" s="12"/>
      <c r="I1983" s="12"/>
      <c r="J1983" s="12"/>
    </row>
    <row r="1984" spans="5:10" x14ac:dyDescent="0.25">
      <c r="E1984"/>
      <c r="F1984"/>
      <c r="G1984" s="12"/>
      <c r="H1984" s="12"/>
      <c r="I1984" s="12"/>
      <c r="J1984" s="12"/>
    </row>
    <row r="1985" spans="5:10" x14ac:dyDescent="0.25">
      <c r="E1985"/>
      <c r="F1985"/>
      <c r="G1985" s="12"/>
      <c r="H1985" s="12"/>
      <c r="I1985" s="12"/>
      <c r="J1985" s="12"/>
    </row>
    <row r="1986" spans="5:10" x14ac:dyDescent="0.25">
      <c r="E1986"/>
      <c r="F1986"/>
      <c r="G1986" s="12"/>
      <c r="H1986" s="12"/>
      <c r="I1986" s="12"/>
      <c r="J1986" s="12"/>
    </row>
    <row r="1987" spans="5:10" x14ac:dyDescent="0.25">
      <c r="E1987"/>
      <c r="F1987"/>
      <c r="G1987" s="12"/>
      <c r="H1987" s="12"/>
      <c r="I1987" s="12"/>
      <c r="J1987" s="12"/>
    </row>
    <row r="1988" spans="5:10" x14ac:dyDescent="0.25">
      <c r="E1988"/>
      <c r="F1988"/>
      <c r="G1988" s="12"/>
      <c r="H1988" s="12"/>
      <c r="I1988" s="12"/>
      <c r="J1988" s="12"/>
    </row>
    <row r="1989" spans="5:10" x14ac:dyDescent="0.25">
      <c r="E1989"/>
      <c r="F1989"/>
      <c r="G1989" s="12"/>
      <c r="H1989" s="12"/>
      <c r="I1989" s="12"/>
      <c r="J1989" s="12"/>
    </row>
    <row r="1990" spans="5:10" x14ac:dyDescent="0.25">
      <c r="E1990"/>
      <c r="F1990"/>
      <c r="G1990" s="12"/>
      <c r="H1990" s="12"/>
      <c r="I1990" s="12"/>
      <c r="J1990" s="12"/>
    </row>
    <row r="1991" spans="5:10" x14ac:dyDescent="0.25">
      <c r="E1991"/>
      <c r="F1991"/>
      <c r="G1991" s="12"/>
      <c r="H1991" s="12"/>
      <c r="I1991" s="12"/>
      <c r="J1991" s="12"/>
    </row>
    <row r="1992" spans="5:10" x14ac:dyDescent="0.25">
      <c r="E1992"/>
      <c r="F1992"/>
      <c r="G1992" s="12"/>
      <c r="H1992" s="12"/>
      <c r="I1992" s="12"/>
      <c r="J1992" s="12"/>
    </row>
    <row r="1993" spans="5:10" x14ac:dyDescent="0.25">
      <c r="E1993"/>
      <c r="F1993"/>
      <c r="G1993" s="12"/>
      <c r="H1993" s="12"/>
      <c r="I1993" s="12"/>
      <c r="J1993" s="12"/>
    </row>
    <row r="1994" spans="5:10" x14ac:dyDescent="0.25">
      <c r="E1994"/>
      <c r="F1994"/>
      <c r="G1994" s="12"/>
      <c r="H1994" s="12"/>
      <c r="I1994" s="12"/>
      <c r="J1994" s="12"/>
    </row>
    <row r="1995" spans="5:10" x14ac:dyDescent="0.25">
      <c r="E1995"/>
      <c r="F1995"/>
      <c r="G1995" s="12"/>
      <c r="H1995" s="12"/>
      <c r="I1995" s="12"/>
      <c r="J1995" s="12"/>
    </row>
    <row r="1996" spans="5:10" x14ac:dyDescent="0.25">
      <c r="E1996"/>
      <c r="F1996"/>
      <c r="G1996" s="12"/>
      <c r="H1996" s="12"/>
      <c r="I1996" s="12"/>
      <c r="J1996" s="12"/>
    </row>
    <row r="1997" spans="5:10" x14ac:dyDescent="0.25">
      <c r="E1997"/>
      <c r="F1997"/>
      <c r="G1997" s="12"/>
      <c r="H1997" s="12"/>
      <c r="I1997" s="12"/>
      <c r="J1997" s="12"/>
    </row>
    <row r="1998" spans="5:10" x14ac:dyDescent="0.25">
      <c r="E1998"/>
      <c r="F1998"/>
      <c r="G1998" s="12"/>
      <c r="H1998" s="12"/>
      <c r="I1998" s="12"/>
      <c r="J1998" s="12"/>
    </row>
    <row r="1999" spans="5:10" x14ac:dyDescent="0.25">
      <c r="E1999"/>
      <c r="F1999"/>
      <c r="G1999" s="12"/>
      <c r="H1999" s="12"/>
      <c r="I1999" s="12"/>
      <c r="J1999" s="12"/>
    </row>
    <row r="2000" spans="5:10" x14ac:dyDescent="0.25">
      <c r="E2000"/>
      <c r="F2000"/>
      <c r="G2000" s="12"/>
      <c r="H2000" s="12"/>
      <c r="I2000" s="12"/>
      <c r="J2000" s="12"/>
    </row>
    <row r="2001" spans="5:10" x14ac:dyDescent="0.25">
      <c r="E2001"/>
      <c r="F2001"/>
      <c r="G2001" s="12"/>
      <c r="H2001" s="12"/>
      <c r="I2001" s="12"/>
      <c r="J2001" s="12"/>
    </row>
    <row r="2002" spans="5:10" x14ac:dyDescent="0.25">
      <c r="E2002"/>
      <c r="F2002"/>
      <c r="G2002" s="12"/>
      <c r="H2002" s="12"/>
      <c r="I2002" s="12"/>
      <c r="J2002" s="12"/>
    </row>
    <row r="2003" spans="5:10" x14ac:dyDescent="0.25">
      <c r="E2003"/>
      <c r="F2003"/>
      <c r="G2003" s="12"/>
      <c r="H2003" s="12"/>
      <c r="I2003" s="12"/>
      <c r="J2003" s="12"/>
    </row>
    <row r="2004" spans="5:10" x14ac:dyDescent="0.25">
      <c r="E2004"/>
      <c r="F2004"/>
      <c r="G2004" s="12"/>
      <c r="H2004" s="12"/>
      <c r="I2004" s="12"/>
      <c r="J2004" s="12"/>
    </row>
    <row r="2005" spans="5:10" x14ac:dyDescent="0.25">
      <c r="E2005"/>
      <c r="F2005"/>
      <c r="G2005" s="12"/>
      <c r="H2005" s="12"/>
      <c r="I2005" s="12"/>
      <c r="J2005" s="12"/>
    </row>
    <row r="2006" spans="5:10" x14ac:dyDescent="0.25">
      <c r="E2006"/>
      <c r="F2006"/>
      <c r="G2006" s="12"/>
      <c r="H2006" s="12"/>
      <c r="I2006" s="12"/>
      <c r="J2006" s="12"/>
    </row>
    <row r="2007" spans="5:10" x14ac:dyDescent="0.25">
      <c r="E2007"/>
      <c r="F2007"/>
      <c r="G2007" s="12"/>
      <c r="H2007" s="12"/>
      <c r="I2007" s="12"/>
      <c r="J2007" s="12"/>
    </row>
    <row r="2008" spans="5:10" x14ac:dyDescent="0.25">
      <c r="E2008"/>
      <c r="F2008"/>
      <c r="G2008" s="12"/>
      <c r="H2008" s="12"/>
      <c r="I2008" s="12"/>
      <c r="J2008" s="12"/>
    </row>
    <row r="2009" spans="5:10" x14ac:dyDescent="0.25">
      <c r="E2009"/>
      <c r="F2009"/>
      <c r="G2009" s="12"/>
      <c r="H2009" s="12"/>
      <c r="I2009" s="12"/>
      <c r="J2009" s="12"/>
    </row>
    <row r="2010" spans="5:10" x14ac:dyDescent="0.25">
      <c r="E2010"/>
      <c r="F2010"/>
      <c r="G2010" s="12"/>
      <c r="H2010" s="12"/>
      <c r="I2010" s="12"/>
      <c r="J2010" s="12"/>
    </row>
    <row r="2011" spans="5:10" x14ac:dyDescent="0.25">
      <c r="E2011"/>
      <c r="F2011"/>
      <c r="G2011" s="12"/>
      <c r="H2011" s="12"/>
      <c r="I2011" s="12"/>
      <c r="J2011" s="12"/>
    </row>
    <row r="2012" spans="5:10" x14ac:dyDescent="0.25">
      <c r="E2012"/>
      <c r="F2012"/>
      <c r="G2012" s="12"/>
      <c r="H2012" s="12"/>
      <c r="I2012" s="12"/>
      <c r="J2012" s="12"/>
    </row>
    <row r="2013" spans="5:10" x14ac:dyDescent="0.25">
      <c r="E2013"/>
      <c r="F2013"/>
      <c r="G2013" s="12"/>
      <c r="H2013" s="12"/>
      <c r="I2013" s="12"/>
      <c r="J2013" s="12"/>
    </row>
    <row r="2014" spans="5:10" x14ac:dyDescent="0.25">
      <c r="E2014"/>
      <c r="F2014"/>
      <c r="G2014" s="12"/>
      <c r="H2014" s="12"/>
      <c r="I2014" s="12"/>
      <c r="J2014" s="12"/>
    </row>
    <row r="2015" spans="5:10" x14ac:dyDescent="0.25">
      <c r="E2015"/>
      <c r="F2015"/>
      <c r="G2015" s="12"/>
      <c r="H2015" s="12"/>
      <c r="I2015" s="12"/>
      <c r="J2015" s="12"/>
    </row>
    <row r="2016" spans="5:10" x14ac:dyDescent="0.25">
      <c r="E2016"/>
      <c r="F2016"/>
      <c r="G2016" s="12"/>
      <c r="H2016" s="12"/>
      <c r="I2016" s="12"/>
      <c r="J2016" s="12"/>
    </row>
    <row r="2017" spans="5:10" x14ac:dyDescent="0.25">
      <c r="E2017"/>
      <c r="F2017"/>
      <c r="G2017" s="12"/>
      <c r="H2017" s="12"/>
      <c r="I2017" s="12"/>
      <c r="J2017" s="12"/>
    </row>
    <row r="2018" spans="5:10" x14ac:dyDescent="0.25">
      <c r="E2018"/>
      <c r="F2018"/>
      <c r="G2018" s="12"/>
      <c r="H2018" s="12"/>
      <c r="I2018" s="12"/>
      <c r="J2018" s="12"/>
    </row>
    <row r="2019" spans="5:10" x14ac:dyDescent="0.25">
      <c r="E2019"/>
      <c r="F2019"/>
      <c r="G2019" s="12"/>
      <c r="H2019" s="12"/>
      <c r="I2019" s="12"/>
      <c r="J2019" s="12"/>
    </row>
    <row r="2020" spans="5:10" x14ac:dyDescent="0.25">
      <c r="E2020"/>
      <c r="F2020"/>
      <c r="G2020" s="12"/>
      <c r="H2020" s="12"/>
      <c r="I2020" s="12"/>
      <c r="J2020" s="12"/>
    </row>
    <row r="2021" spans="5:10" x14ac:dyDescent="0.25">
      <c r="E2021"/>
      <c r="F2021"/>
      <c r="G2021" s="12"/>
      <c r="H2021" s="12"/>
      <c r="I2021" s="12"/>
      <c r="J2021" s="12"/>
    </row>
    <row r="2022" spans="5:10" x14ac:dyDescent="0.25">
      <c r="E2022"/>
      <c r="F2022"/>
      <c r="G2022" s="12"/>
      <c r="H2022" s="12"/>
      <c r="I2022" s="12"/>
      <c r="J2022" s="12"/>
    </row>
    <row r="2023" spans="5:10" x14ac:dyDescent="0.25">
      <c r="E2023"/>
      <c r="F2023"/>
      <c r="G2023" s="12"/>
      <c r="H2023" s="12"/>
      <c r="I2023" s="12"/>
      <c r="J2023" s="12"/>
    </row>
    <row r="2024" spans="5:10" x14ac:dyDescent="0.25">
      <c r="E2024"/>
      <c r="F2024"/>
      <c r="G2024" s="12"/>
      <c r="H2024" s="12"/>
      <c r="I2024" s="12"/>
      <c r="J2024" s="12"/>
    </row>
    <row r="2025" spans="5:10" x14ac:dyDescent="0.25">
      <c r="E2025"/>
      <c r="F2025"/>
      <c r="G2025" s="12"/>
      <c r="H2025" s="12"/>
      <c r="I2025" s="12"/>
      <c r="J2025" s="12"/>
    </row>
    <row r="2026" spans="5:10" x14ac:dyDescent="0.25">
      <c r="E2026"/>
      <c r="F2026"/>
      <c r="G2026" s="12"/>
      <c r="H2026" s="12"/>
      <c r="I2026" s="12"/>
      <c r="J2026" s="12"/>
    </row>
    <row r="2027" spans="5:10" x14ac:dyDescent="0.25">
      <c r="E2027"/>
      <c r="F2027"/>
      <c r="G2027" s="12"/>
      <c r="H2027" s="12"/>
      <c r="I2027" s="12"/>
      <c r="J2027" s="12"/>
    </row>
    <row r="2028" spans="5:10" x14ac:dyDescent="0.25">
      <c r="E2028"/>
      <c r="F2028"/>
      <c r="G2028" s="12"/>
      <c r="H2028" s="12"/>
      <c r="I2028" s="12"/>
      <c r="J2028" s="12"/>
    </row>
    <row r="2029" spans="5:10" x14ac:dyDescent="0.25">
      <c r="E2029"/>
      <c r="F2029"/>
      <c r="G2029" s="12"/>
      <c r="H2029" s="12"/>
      <c r="I2029" s="12"/>
      <c r="J2029" s="12"/>
    </row>
    <row r="2030" spans="5:10" x14ac:dyDescent="0.25">
      <c r="E2030"/>
      <c r="F2030"/>
      <c r="G2030" s="12"/>
      <c r="H2030" s="12"/>
      <c r="I2030" s="12"/>
      <c r="J2030" s="12"/>
    </row>
    <row r="2031" spans="5:10" x14ac:dyDescent="0.25">
      <c r="E2031"/>
      <c r="F2031"/>
      <c r="G2031" s="12"/>
      <c r="H2031" s="12"/>
      <c r="I2031" s="12"/>
      <c r="J2031" s="12"/>
    </row>
    <row r="2032" spans="5:10" x14ac:dyDescent="0.25">
      <c r="E2032"/>
      <c r="F2032"/>
      <c r="G2032" s="12"/>
      <c r="H2032" s="12"/>
      <c r="I2032" s="12"/>
      <c r="J2032" s="12"/>
    </row>
    <row r="2033" spans="5:10" x14ac:dyDescent="0.25">
      <c r="E2033"/>
      <c r="F2033"/>
      <c r="G2033" s="12"/>
      <c r="H2033" s="12"/>
      <c r="I2033" s="12"/>
      <c r="J2033" s="12"/>
    </row>
    <row r="2034" spans="5:10" x14ac:dyDescent="0.25">
      <c r="E2034"/>
      <c r="F2034"/>
      <c r="G2034" s="12"/>
      <c r="H2034" s="12"/>
      <c r="I2034" s="12"/>
      <c r="J2034" s="12"/>
    </row>
    <row r="2035" spans="5:10" x14ac:dyDescent="0.25">
      <c r="E2035"/>
      <c r="F2035"/>
      <c r="G2035" s="12"/>
      <c r="H2035" s="12"/>
      <c r="I2035" s="12"/>
      <c r="J2035" s="12"/>
    </row>
    <row r="2036" spans="5:10" x14ac:dyDescent="0.25">
      <c r="E2036"/>
      <c r="F2036"/>
      <c r="G2036" s="12"/>
      <c r="H2036" s="12"/>
      <c r="I2036" s="12"/>
      <c r="J2036" s="12"/>
    </row>
    <row r="2037" spans="5:10" x14ac:dyDescent="0.25">
      <c r="E2037"/>
      <c r="F2037"/>
      <c r="G2037" s="12"/>
      <c r="H2037" s="12"/>
      <c r="I2037" s="12"/>
      <c r="J2037" s="12"/>
    </row>
    <row r="2038" spans="5:10" x14ac:dyDescent="0.25">
      <c r="E2038"/>
      <c r="F2038"/>
      <c r="G2038" s="12"/>
      <c r="H2038" s="12"/>
      <c r="I2038" s="12"/>
      <c r="J2038" s="12"/>
    </row>
    <row r="2039" spans="5:10" x14ac:dyDescent="0.25">
      <c r="E2039"/>
      <c r="F2039"/>
      <c r="G2039" s="12"/>
      <c r="H2039" s="12"/>
      <c r="I2039" s="12"/>
      <c r="J2039" s="12"/>
    </row>
    <row r="2040" spans="5:10" x14ac:dyDescent="0.25">
      <c r="E2040"/>
      <c r="F2040"/>
      <c r="G2040" s="12"/>
      <c r="H2040" s="12"/>
      <c r="I2040" s="12"/>
      <c r="J2040" s="12"/>
    </row>
    <row r="2041" spans="5:10" x14ac:dyDescent="0.25">
      <c r="E2041"/>
      <c r="F2041"/>
      <c r="G2041" s="12"/>
      <c r="H2041" s="12"/>
      <c r="I2041" s="12"/>
      <c r="J2041" s="12"/>
    </row>
    <row r="2042" spans="5:10" x14ac:dyDescent="0.25">
      <c r="E2042"/>
      <c r="F2042"/>
      <c r="G2042" s="12"/>
      <c r="H2042" s="12"/>
      <c r="I2042" s="12"/>
      <c r="J2042" s="12"/>
    </row>
    <row r="2043" spans="5:10" x14ac:dyDescent="0.25">
      <c r="E2043"/>
      <c r="F2043"/>
      <c r="G2043" s="12"/>
      <c r="H2043" s="12"/>
      <c r="I2043" s="12"/>
      <c r="J2043" s="12"/>
    </row>
    <row r="2044" spans="5:10" x14ac:dyDescent="0.25">
      <c r="E2044"/>
      <c r="F2044"/>
      <c r="G2044" s="12"/>
      <c r="H2044" s="12"/>
      <c r="I2044" s="12"/>
      <c r="J2044" s="12"/>
    </row>
    <row r="2045" spans="5:10" x14ac:dyDescent="0.25">
      <c r="E2045"/>
      <c r="F2045"/>
      <c r="G2045" s="12"/>
      <c r="H2045" s="12"/>
      <c r="I2045" s="12"/>
      <c r="J2045" s="12"/>
    </row>
    <row r="2046" spans="5:10" x14ac:dyDescent="0.25">
      <c r="E2046"/>
      <c r="F2046"/>
      <c r="G2046" s="12"/>
      <c r="H2046" s="12"/>
      <c r="I2046" s="12"/>
      <c r="J2046" s="12"/>
    </row>
    <row r="2047" spans="5:10" x14ac:dyDescent="0.25">
      <c r="E2047"/>
      <c r="F2047"/>
      <c r="G2047" s="12"/>
      <c r="H2047" s="12"/>
      <c r="I2047" s="12"/>
      <c r="J2047" s="12"/>
    </row>
    <row r="2048" spans="5:10" x14ac:dyDescent="0.25">
      <c r="E2048"/>
      <c r="F2048"/>
      <c r="G2048" s="12"/>
      <c r="H2048" s="12"/>
      <c r="I2048" s="12"/>
      <c r="J2048" s="12"/>
    </row>
    <row r="2049" spans="5:10" x14ac:dyDescent="0.25">
      <c r="E2049"/>
      <c r="F2049"/>
      <c r="G2049" s="12"/>
      <c r="H2049" s="12"/>
      <c r="I2049" s="12"/>
      <c r="J2049" s="12"/>
    </row>
    <row r="2050" spans="5:10" x14ac:dyDescent="0.25">
      <c r="E2050"/>
      <c r="F2050"/>
      <c r="G2050" s="12"/>
      <c r="H2050" s="12"/>
      <c r="I2050" s="12"/>
      <c r="J2050" s="12"/>
    </row>
    <row r="2051" spans="5:10" x14ac:dyDescent="0.25">
      <c r="E2051"/>
      <c r="F2051"/>
      <c r="G2051" s="12"/>
      <c r="H2051" s="12"/>
      <c r="I2051" s="12"/>
      <c r="J2051" s="12"/>
    </row>
    <row r="2052" spans="5:10" x14ac:dyDescent="0.25">
      <c r="E2052"/>
      <c r="F2052"/>
      <c r="G2052" s="12"/>
      <c r="H2052" s="12"/>
      <c r="I2052" s="12"/>
      <c r="J2052" s="12"/>
    </row>
    <row r="2053" spans="5:10" x14ac:dyDescent="0.25">
      <c r="E2053"/>
      <c r="F2053"/>
      <c r="G2053" s="12"/>
      <c r="H2053" s="12"/>
      <c r="I2053" s="12"/>
      <c r="J2053" s="12"/>
    </row>
    <row r="2054" spans="5:10" x14ac:dyDescent="0.25">
      <c r="E2054"/>
      <c r="F2054"/>
      <c r="G2054" s="12"/>
      <c r="H2054" s="12"/>
      <c r="I2054" s="12"/>
      <c r="J2054" s="12"/>
    </row>
    <row r="2055" spans="5:10" x14ac:dyDescent="0.25">
      <c r="E2055"/>
      <c r="F2055"/>
      <c r="G2055" s="12"/>
      <c r="H2055" s="12"/>
      <c r="I2055" s="12"/>
      <c r="J2055" s="12"/>
    </row>
    <row r="2056" spans="5:10" x14ac:dyDescent="0.25">
      <c r="E2056"/>
      <c r="F2056"/>
      <c r="G2056" s="12"/>
      <c r="H2056" s="12"/>
      <c r="I2056" s="12"/>
      <c r="J2056" s="12"/>
    </row>
    <row r="2057" spans="5:10" x14ac:dyDescent="0.25">
      <c r="E2057"/>
      <c r="F2057"/>
      <c r="G2057" s="12"/>
      <c r="H2057" s="12"/>
      <c r="I2057" s="12"/>
      <c r="J2057" s="12"/>
    </row>
    <row r="2058" spans="5:10" x14ac:dyDescent="0.25">
      <c r="E2058"/>
      <c r="F2058"/>
      <c r="G2058" s="12"/>
      <c r="H2058" s="12"/>
      <c r="I2058" s="12"/>
      <c r="J2058" s="12"/>
    </row>
    <row r="2059" spans="5:10" x14ac:dyDescent="0.25">
      <c r="E2059"/>
      <c r="F2059"/>
      <c r="G2059" s="12"/>
      <c r="H2059" s="12"/>
      <c r="I2059" s="12"/>
      <c r="J2059" s="12"/>
    </row>
    <row r="2060" spans="5:10" x14ac:dyDescent="0.25">
      <c r="E2060"/>
      <c r="F2060"/>
      <c r="G2060" s="12"/>
      <c r="H2060" s="12"/>
      <c r="I2060" s="12"/>
      <c r="J2060" s="12"/>
    </row>
    <row r="2061" spans="5:10" x14ac:dyDescent="0.25">
      <c r="E2061"/>
      <c r="F2061"/>
      <c r="G2061" s="12"/>
      <c r="H2061" s="12"/>
      <c r="I2061" s="12"/>
      <c r="J2061" s="12"/>
    </row>
    <row r="2062" spans="5:10" x14ac:dyDescent="0.25">
      <c r="E2062"/>
      <c r="F2062"/>
      <c r="G2062" s="12"/>
      <c r="H2062" s="12"/>
      <c r="I2062" s="12"/>
      <c r="J2062" s="12"/>
    </row>
    <row r="2063" spans="5:10" x14ac:dyDescent="0.25">
      <c r="E2063"/>
      <c r="F2063"/>
      <c r="G2063" s="12"/>
      <c r="H2063" s="12"/>
      <c r="I2063" s="12"/>
      <c r="J2063" s="12"/>
    </row>
    <row r="2064" spans="5:10" x14ac:dyDescent="0.25">
      <c r="E2064"/>
      <c r="F2064"/>
      <c r="G2064" s="12"/>
      <c r="H2064" s="12"/>
      <c r="I2064" s="12"/>
      <c r="J2064" s="12"/>
    </row>
    <row r="2065" spans="5:10" x14ac:dyDescent="0.25">
      <c r="E2065"/>
      <c r="F2065"/>
      <c r="G2065" s="12"/>
      <c r="H2065" s="12"/>
      <c r="I2065" s="12"/>
      <c r="J2065" s="12"/>
    </row>
    <row r="2066" spans="5:10" x14ac:dyDescent="0.25">
      <c r="E2066"/>
      <c r="F2066"/>
      <c r="G2066" s="12"/>
      <c r="H2066" s="12"/>
      <c r="I2066" s="12"/>
      <c r="J2066" s="12"/>
    </row>
    <row r="2067" spans="5:10" x14ac:dyDescent="0.25">
      <c r="E2067"/>
      <c r="F2067"/>
      <c r="G2067" s="12"/>
      <c r="H2067" s="12"/>
      <c r="I2067" s="12"/>
      <c r="J2067" s="12"/>
    </row>
    <row r="2068" spans="5:10" x14ac:dyDescent="0.25">
      <c r="E2068"/>
      <c r="F2068"/>
      <c r="G2068" s="12"/>
      <c r="H2068" s="12"/>
      <c r="I2068" s="12"/>
      <c r="J2068" s="12"/>
    </row>
    <row r="2069" spans="5:10" x14ac:dyDescent="0.25">
      <c r="E2069"/>
      <c r="F2069"/>
      <c r="G2069" s="12"/>
      <c r="H2069" s="12"/>
      <c r="I2069" s="12"/>
      <c r="J2069" s="12"/>
    </row>
    <row r="2070" spans="5:10" x14ac:dyDescent="0.25">
      <c r="E2070"/>
      <c r="F2070"/>
      <c r="G2070" s="12"/>
      <c r="H2070" s="12"/>
      <c r="I2070" s="12"/>
      <c r="J2070" s="12"/>
    </row>
    <row r="2071" spans="5:10" x14ac:dyDescent="0.25">
      <c r="E2071"/>
      <c r="F2071"/>
      <c r="G2071" s="12"/>
      <c r="H2071" s="12"/>
      <c r="I2071" s="12"/>
      <c r="J2071" s="12"/>
    </row>
    <row r="2072" spans="5:10" x14ac:dyDescent="0.25">
      <c r="E2072"/>
      <c r="F2072"/>
      <c r="G2072" s="12"/>
      <c r="H2072" s="12"/>
      <c r="I2072" s="12"/>
      <c r="J2072" s="12"/>
    </row>
    <row r="2073" spans="5:10" x14ac:dyDescent="0.25">
      <c r="E2073"/>
      <c r="F2073"/>
      <c r="G2073" s="12"/>
      <c r="H2073" s="12"/>
      <c r="I2073" s="12"/>
      <c r="J2073" s="12"/>
    </row>
    <row r="2074" spans="5:10" x14ac:dyDescent="0.25">
      <c r="E2074"/>
      <c r="F2074"/>
      <c r="G2074" s="12"/>
      <c r="H2074" s="12"/>
      <c r="I2074" s="12"/>
      <c r="J2074" s="12"/>
    </row>
    <row r="2075" spans="5:10" x14ac:dyDescent="0.25">
      <c r="E2075"/>
      <c r="F2075"/>
      <c r="G2075" s="12"/>
      <c r="H2075" s="12"/>
      <c r="I2075" s="12"/>
      <c r="J2075" s="12"/>
    </row>
    <row r="2076" spans="5:10" x14ac:dyDescent="0.25">
      <c r="E2076"/>
      <c r="F2076"/>
      <c r="G2076" s="12"/>
      <c r="H2076" s="12"/>
      <c r="I2076" s="12"/>
      <c r="J2076" s="12"/>
    </row>
    <row r="2077" spans="5:10" x14ac:dyDescent="0.25">
      <c r="E2077"/>
      <c r="F2077"/>
      <c r="G2077" s="12"/>
      <c r="H2077" s="12"/>
      <c r="I2077" s="12"/>
      <c r="J2077" s="12"/>
    </row>
    <row r="2078" spans="5:10" x14ac:dyDescent="0.25">
      <c r="E2078"/>
      <c r="F2078"/>
      <c r="G2078" s="12"/>
      <c r="H2078" s="12"/>
      <c r="I2078" s="12"/>
      <c r="J2078" s="12"/>
    </row>
    <row r="2079" spans="5:10" x14ac:dyDescent="0.25">
      <c r="E2079"/>
      <c r="F2079"/>
      <c r="G2079" s="12"/>
      <c r="H2079" s="12"/>
      <c r="I2079" s="12"/>
      <c r="J2079" s="12"/>
    </row>
    <row r="2080" spans="5:10" x14ac:dyDescent="0.25">
      <c r="E2080"/>
      <c r="F2080"/>
      <c r="G2080" s="12"/>
      <c r="H2080" s="12"/>
      <c r="I2080" s="12"/>
      <c r="J2080" s="12"/>
    </row>
    <row r="2081" spans="5:10" x14ac:dyDescent="0.25">
      <c r="E2081"/>
      <c r="F2081"/>
      <c r="G2081" s="12"/>
      <c r="H2081" s="12"/>
      <c r="I2081" s="12"/>
      <c r="J2081" s="12"/>
    </row>
    <row r="2082" spans="5:10" x14ac:dyDescent="0.25">
      <c r="E2082"/>
      <c r="F2082"/>
      <c r="G2082" s="12"/>
      <c r="H2082" s="12"/>
      <c r="I2082" s="12"/>
      <c r="J2082" s="12"/>
    </row>
    <row r="2083" spans="5:10" x14ac:dyDescent="0.25">
      <c r="E2083"/>
      <c r="F2083"/>
      <c r="G2083" s="12"/>
      <c r="H2083" s="12"/>
      <c r="I2083" s="12"/>
      <c r="J2083" s="12"/>
    </row>
    <row r="2084" spans="5:10" x14ac:dyDescent="0.25">
      <c r="E2084"/>
      <c r="F2084"/>
      <c r="G2084" s="12"/>
      <c r="H2084" s="12"/>
      <c r="I2084" s="12"/>
      <c r="J2084" s="12"/>
    </row>
    <row r="2085" spans="5:10" x14ac:dyDescent="0.25">
      <c r="E2085"/>
      <c r="F2085"/>
      <c r="G2085" s="12"/>
      <c r="H2085" s="12"/>
      <c r="I2085" s="12"/>
      <c r="J2085" s="12"/>
    </row>
    <row r="2086" spans="5:10" x14ac:dyDescent="0.25">
      <c r="E2086"/>
      <c r="F2086"/>
      <c r="G2086" s="12"/>
      <c r="H2086" s="12"/>
      <c r="I2086" s="12"/>
      <c r="J2086" s="12"/>
    </row>
    <row r="2087" spans="5:10" x14ac:dyDescent="0.25">
      <c r="E2087"/>
      <c r="F2087"/>
      <c r="G2087" s="12"/>
      <c r="H2087" s="12"/>
      <c r="I2087" s="12"/>
      <c r="J2087" s="12"/>
    </row>
    <row r="2088" spans="5:10" x14ac:dyDescent="0.25">
      <c r="E2088"/>
      <c r="F2088"/>
      <c r="G2088" s="12"/>
      <c r="H2088" s="12"/>
      <c r="I2088" s="12"/>
      <c r="J2088" s="12"/>
    </row>
    <row r="2089" spans="5:10" x14ac:dyDescent="0.25">
      <c r="E2089"/>
      <c r="F2089"/>
      <c r="G2089" s="12"/>
      <c r="H2089" s="12"/>
      <c r="I2089" s="12"/>
      <c r="J2089" s="12"/>
    </row>
    <row r="2090" spans="5:10" x14ac:dyDescent="0.25">
      <c r="E2090"/>
      <c r="F2090"/>
      <c r="G2090" s="12"/>
      <c r="H2090" s="12"/>
      <c r="I2090" s="12"/>
      <c r="J2090" s="12"/>
    </row>
    <row r="2091" spans="5:10" x14ac:dyDescent="0.25">
      <c r="E2091"/>
      <c r="F2091"/>
      <c r="G2091" s="12"/>
      <c r="H2091" s="12"/>
      <c r="I2091" s="12"/>
      <c r="J2091" s="12"/>
    </row>
    <row r="2092" spans="5:10" x14ac:dyDescent="0.25">
      <c r="E2092"/>
      <c r="F2092"/>
      <c r="G2092" s="12"/>
      <c r="H2092" s="12"/>
      <c r="I2092" s="12"/>
      <c r="J2092" s="12"/>
    </row>
    <row r="2093" spans="5:10" x14ac:dyDescent="0.25">
      <c r="E2093"/>
      <c r="F2093"/>
      <c r="G2093" s="12"/>
      <c r="H2093" s="12"/>
      <c r="I2093" s="12"/>
      <c r="J2093" s="12"/>
    </row>
    <row r="2094" spans="5:10" x14ac:dyDescent="0.25">
      <c r="E2094"/>
      <c r="F2094"/>
      <c r="G2094" s="12"/>
      <c r="H2094" s="12"/>
      <c r="I2094" s="12"/>
      <c r="J2094" s="12"/>
    </row>
    <row r="2095" spans="5:10" x14ac:dyDescent="0.25">
      <c r="E2095"/>
      <c r="F2095"/>
      <c r="G2095" s="12"/>
      <c r="H2095" s="12"/>
      <c r="I2095" s="12"/>
      <c r="J2095" s="12"/>
    </row>
    <row r="2096" spans="5:10" x14ac:dyDescent="0.25">
      <c r="E2096"/>
      <c r="F2096"/>
      <c r="G2096" s="12"/>
      <c r="H2096" s="12"/>
      <c r="I2096" s="12"/>
      <c r="J2096" s="12"/>
    </row>
    <row r="2097" spans="5:10" x14ac:dyDescent="0.25">
      <c r="E2097"/>
      <c r="F2097"/>
      <c r="G2097" s="12"/>
      <c r="H2097" s="12"/>
      <c r="I2097" s="12"/>
      <c r="J2097" s="12"/>
    </row>
    <row r="2098" spans="5:10" x14ac:dyDescent="0.25">
      <c r="E2098"/>
      <c r="F2098"/>
      <c r="G2098" s="12"/>
      <c r="H2098" s="12"/>
      <c r="I2098" s="12"/>
      <c r="J2098" s="12"/>
    </row>
    <row r="2099" spans="5:10" x14ac:dyDescent="0.25">
      <c r="E2099"/>
      <c r="F2099"/>
      <c r="G2099" s="12"/>
      <c r="H2099" s="12"/>
      <c r="I2099" s="12"/>
      <c r="J2099" s="12"/>
    </row>
    <row r="2100" spans="5:10" x14ac:dyDescent="0.25">
      <c r="E2100"/>
      <c r="F2100"/>
      <c r="G2100" s="12"/>
      <c r="H2100" s="12"/>
      <c r="I2100" s="12"/>
      <c r="J2100" s="12"/>
    </row>
    <row r="2101" spans="5:10" x14ac:dyDescent="0.25">
      <c r="E2101"/>
      <c r="F2101"/>
      <c r="G2101" s="12"/>
      <c r="H2101" s="12"/>
      <c r="I2101" s="12"/>
      <c r="J2101" s="12"/>
    </row>
    <row r="2102" spans="5:10" x14ac:dyDescent="0.25">
      <c r="E2102"/>
      <c r="F2102"/>
      <c r="G2102" s="12"/>
      <c r="H2102" s="12"/>
      <c r="I2102" s="12"/>
      <c r="J2102" s="12"/>
    </row>
    <row r="2103" spans="5:10" x14ac:dyDescent="0.25">
      <c r="E2103"/>
      <c r="F2103"/>
      <c r="G2103" s="12"/>
      <c r="H2103" s="12"/>
      <c r="I2103" s="12"/>
      <c r="J2103" s="12"/>
    </row>
    <row r="2104" spans="5:10" x14ac:dyDescent="0.25">
      <c r="E2104"/>
      <c r="F2104"/>
      <c r="G2104" s="12"/>
      <c r="H2104" s="12"/>
      <c r="I2104" s="12"/>
      <c r="J2104" s="12"/>
    </row>
    <row r="2105" spans="5:10" x14ac:dyDescent="0.25">
      <c r="E2105"/>
      <c r="F2105"/>
      <c r="G2105" s="12"/>
      <c r="H2105" s="12"/>
      <c r="I2105" s="12"/>
      <c r="J2105" s="12"/>
    </row>
    <row r="2106" spans="5:10" x14ac:dyDescent="0.25">
      <c r="E2106"/>
      <c r="F2106"/>
      <c r="G2106" s="12"/>
      <c r="H2106" s="12"/>
      <c r="I2106" s="12"/>
      <c r="J2106" s="12"/>
    </row>
    <row r="2107" spans="5:10" x14ac:dyDescent="0.25">
      <c r="E2107"/>
      <c r="F2107"/>
      <c r="G2107" s="12"/>
      <c r="H2107" s="12"/>
      <c r="I2107" s="12"/>
      <c r="J2107" s="12"/>
    </row>
    <row r="2108" spans="5:10" x14ac:dyDescent="0.25">
      <c r="E2108"/>
      <c r="F2108"/>
      <c r="G2108" s="12"/>
      <c r="H2108" s="12"/>
      <c r="I2108" s="12"/>
      <c r="J2108" s="12"/>
    </row>
    <row r="2109" spans="5:10" x14ac:dyDescent="0.25">
      <c r="E2109"/>
      <c r="F2109"/>
      <c r="G2109" s="12"/>
      <c r="H2109" s="12"/>
      <c r="I2109" s="12"/>
      <c r="J2109" s="12"/>
    </row>
    <row r="2110" spans="5:10" x14ac:dyDescent="0.25">
      <c r="E2110"/>
      <c r="F2110"/>
      <c r="G2110" s="12"/>
      <c r="H2110" s="12"/>
      <c r="I2110" s="12"/>
      <c r="J2110" s="12"/>
    </row>
    <row r="2111" spans="5:10" x14ac:dyDescent="0.25">
      <c r="E2111"/>
      <c r="F2111"/>
      <c r="G2111" s="12"/>
      <c r="H2111" s="12"/>
      <c r="I2111" s="12"/>
      <c r="J2111" s="12"/>
    </row>
    <row r="2112" spans="5:10" x14ac:dyDescent="0.25">
      <c r="E2112"/>
      <c r="F2112"/>
      <c r="G2112" s="12"/>
      <c r="H2112" s="12"/>
      <c r="I2112" s="12"/>
      <c r="J2112" s="12"/>
    </row>
    <row r="2113" spans="5:10" x14ac:dyDescent="0.25">
      <c r="E2113"/>
      <c r="F2113"/>
      <c r="G2113" s="12"/>
      <c r="H2113" s="12"/>
      <c r="I2113" s="12"/>
      <c r="J2113" s="12"/>
    </row>
    <row r="2114" spans="5:10" x14ac:dyDescent="0.25">
      <c r="E2114"/>
      <c r="F2114"/>
      <c r="G2114" s="12"/>
      <c r="H2114" s="12"/>
      <c r="I2114" s="12"/>
      <c r="J2114" s="12"/>
    </row>
    <row r="2115" spans="5:10" x14ac:dyDescent="0.25">
      <c r="E2115"/>
      <c r="F2115"/>
      <c r="G2115" s="12"/>
      <c r="H2115" s="12"/>
      <c r="I2115" s="12"/>
      <c r="J2115" s="12"/>
    </row>
    <row r="2116" spans="5:10" x14ac:dyDescent="0.25">
      <c r="E2116"/>
      <c r="F2116"/>
      <c r="G2116" s="12"/>
      <c r="H2116" s="12"/>
      <c r="I2116" s="12"/>
      <c r="J2116" s="12"/>
    </row>
    <row r="2117" spans="5:10" x14ac:dyDescent="0.25">
      <c r="E2117"/>
      <c r="F2117"/>
      <c r="G2117" s="12"/>
      <c r="H2117" s="12"/>
      <c r="I2117" s="12"/>
      <c r="J2117" s="12"/>
    </row>
    <row r="2118" spans="5:10" x14ac:dyDescent="0.25">
      <c r="E2118"/>
      <c r="F2118"/>
      <c r="G2118" s="12"/>
      <c r="H2118" s="12"/>
      <c r="I2118" s="12"/>
      <c r="J2118" s="12"/>
    </row>
    <row r="2119" spans="5:10" x14ac:dyDescent="0.25">
      <c r="E2119"/>
      <c r="F2119"/>
      <c r="G2119" s="12"/>
      <c r="H2119" s="12"/>
      <c r="I2119" s="12"/>
      <c r="J2119" s="12"/>
    </row>
    <row r="2120" spans="5:10" x14ac:dyDescent="0.25">
      <c r="E2120"/>
      <c r="F2120"/>
      <c r="G2120" s="12"/>
      <c r="H2120" s="12"/>
      <c r="I2120" s="12"/>
      <c r="J2120" s="12"/>
    </row>
    <row r="2121" spans="5:10" x14ac:dyDescent="0.25">
      <c r="E2121"/>
      <c r="F2121"/>
      <c r="G2121" s="12"/>
      <c r="H2121" s="12"/>
      <c r="I2121" s="12"/>
      <c r="J2121" s="12"/>
    </row>
    <row r="2122" spans="5:10" x14ac:dyDescent="0.25">
      <c r="E2122"/>
      <c r="F2122"/>
      <c r="G2122" s="12"/>
      <c r="H2122" s="12"/>
      <c r="I2122" s="12"/>
      <c r="J2122" s="12"/>
    </row>
    <row r="2123" spans="5:10" x14ac:dyDescent="0.25">
      <c r="E2123"/>
      <c r="F2123"/>
      <c r="G2123" s="12"/>
      <c r="H2123" s="12"/>
      <c r="I2123" s="12"/>
      <c r="J2123" s="12"/>
    </row>
    <row r="2124" spans="5:10" x14ac:dyDescent="0.25">
      <c r="E2124"/>
      <c r="F2124"/>
      <c r="G2124" s="12"/>
      <c r="H2124" s="12"/>
      <c r="I2124" s="12"/>
      <c r="J2124" s="12"/>
    </row>
    <row r="2125" spans="5:10" x14ac:dyDescent="0.25">
      <c r="E2125"/>
      <c r="F2125"/>
      <c r="G2125" s="12"/>
      <c r="H2125" s="12"/>
      <c r="I2125" s="12"/>
      <c r="J2125" s="12"/>
    </row>
    <row r="2126" spans="5:10" x14ac:dyDescent="0.25">
      <c r="E2126"/>
      <c r="F2126"/>
      <c r="G2126" s="12"/>
      <c r="H2126" s="12"/>
      <c r="I2126" s="12"/>
      <c r="J2126" s="12"/>
    </row>
    <row r="2127" spans="5:10" x14ac:dyDescent="0.25">
      <c r="E2127"/>
      <c r="F2127"/>
      <c r="G2127" s="12"/>
      <c r="H2127" s="12"/>
      <c r="I2127" s="12"/>
      <c r="J2127" s="12"/>
    </row>
    <row r="2128" spans="5:10" x14ac:dyDescent="0.25">
      <c r="E2128"/>
      <c r="F2128"/>
      <c r="G2128" s="12"/>
      <c r="H2128" s="12"/>
      <c r="I2128" s="12"/>
      <c r="J2128" s="12"/>
    </row>
    <row r="2129" spans="5:10" x14ac:dyDescent="0.25">
      <c r="E2129"/>
      <c r="F2129"/>
      <c r="G2129" s="12"/>
      <c r="H2129" s="12"/>
      <c r="I2129" s="12"/>
      <c r="J2129" s="12"/>
    </row>
    <row r="2130" spans="5:10" x14ac:dyDescent="0.25">
      <c r="E2130"/>
      <c r="F2130"/>
      <c r="G2130" s="12"/>
      <c r="H2130" s="12"/>
      <c r="I2130" s="12"/>
      <c r="J2130" s="12"/>
    </row>
    <row r="2131" spans="5:10" x14ac:dyDescent="0.25">
      <c r="E2131"/>
      <c r="F2131"/>
      <c r="G2131" s="12"/>
      <c r="H2131" s="12"/>
      <c r="I2131" s="12"/>
      <c r="J2131" s="12"/>
    </row>
    <row r="2132" spans="5:10" x14ac:dyDescent="0.25">
      <c r="E2132"/>
      <c r="F2132"/>
      <c r="G2132" s="12"/>
      <c r="H2132" s="12"/>
      <c r="I2132" s="12"/>
      <c r="J2132" s="12"/>
    </row>
    <row r="2133" spans="5:10" x14ac:dyDescent="0.25">
      <c r="E2133"/>
      <c r="F2133"/>
      <c r="G2133" s="12"/>
      <c r="H2133" s="12"/>
      <c r="I2133" s="12"/>
      <c r="J2133" s="12"/>
    </row>
    <row r="2134" spans="5:10" x14ac:dyDescent="0.25">
      <c r="E2134"/>
      <c r="F2134"/>
      <c r="G2134" s="12"/>
      <c r="H2134" s="12"/>
      <c r="I2134" s="12"/>
      <c r="J2134" s="12"/>
    </row>
    <row r="2135" spans="5:10" x14ac:dyDescent="0.25">
      <c r="E2135"/>
      <c r="F2135"/>
      <c r="G2135" s="12"/>
      <c r="H2135" s="12"/>
      <c r="I2135" s="12"/>
      <c r="J2135" s="12"/>
    </row>
    <row r="2136" spans="5:10" x14ac:dyDescent="0.25">
      <c r="E2136"/>
      <c r="F2136"/>
      <c r="G2136" s="12"/>
      <c r="H2136" s="12"/>
      <c r="I2136" s="12"/>
      <c r="J2136" s="12"/>
    </row>
    <row r="2137" spans="5:10" x14ac:dyDescent="0.25">
      <c r="E2137"/>
      <c r="F2137"/>
      <c r="G2137" s="12"/>
      <c r="H2137" s="12"/>
      <c r="I2137" s="12"/>
      <c r="J2137" s="12"/>
    </row>
    <row r="2138" spans="5:10" x14ac:dyDescent="0.25">
      <c r="E2138"/>
      <c r="F2138"/>
      <c r="G2138" s="12"/>
      <c r="H2138" s="12"/>
      <c r="I2138" s="12"/>
      <c r="J2138" s="12"/>
    </row>
    <row r="2139" spans="5:10" x14ac:dyDescent="0.25">
      <c r="E2139"/>
      <c r="F2139"/>
      <c r="G2139" s="12"/>
      <c r="H2139" s="12"/>
      <c r="I2139" s="12"/>
      <c r="J2139" s="12"/>
    </row>
    <row r="2140" spans="5:10" x14ac:dyDescent="0.25">
      <c r="E2140"/>
      <c r="F2140"/>
      <c r="G2140" s="12"/>
      <c r="H2140" s="12"/>
      <c r="I2140" s="12"/>
      <c r="J2140" s="12"/>
    </row>
    <row r="2141" spans="5:10" x14ac:dyDescent="0.25">
      <c r="E2141"/>
      <c r="F2141"/>
      <c r="G2141" s="12"/>
      <c r="H2141" s="12"/>
      <c r="I2141" s="12"/>
      <c r="J2141" s="12"/>
    </row>
    <row r="2142" spans="5:10" x14ac:dyDescent="0.25">
      <c r="E2142"/>
      <c r="F2142"/>
      <c r="G2142" s="12"/>
      <c r="H2142" s="12"/>
      <c r="I2142" s="12"/>
      <c r="J2142" s="12"/>
    </row>
    <row r="2143" spans="5:10" x14ac:dyDescent="0.25">
      <c r="E2143"/>
      <c r="F2143"/>
      <c r="G2143" s="12"/>
      <c r="H2143" s="12"/>
      <c r="I2143" s="12"/>
      <c r="J2143" s="12"/>
    </row>
    <row r="2144" spans="5:10" x14ac:dyDescent="0.25">
      <c r="E2144"/>
      <c r="F2144"/>
      <c r="G2144" s="12"/>
      <c r="H2144" s="12"/>
      <c r="I2144" s="12"/>
      <c r="J2144" s="12"/>
    </row>
    <row r="2145" spans="5:10" x14ac:dyDescent="0.25">
      <c r="E2145"/>
      <c r="F2145"/>
      <c r="G2145" s="12"/>
      <c r="H2145" s="12"/>
      <c r="I2145" s="12"/>
      <c r="J2145" s="12"/>
    </row>
    <row r="2146" spans="5:10" x14ac:dyDescent="0.25">
      <c r="E2146"/>
      <c r="F2146"/>
      <c r="G2146" s="12"/>
      <c r="H2146" s="12"/>
      <c r="I2146" s="12"/>
      <c r="J2146" s="12"/>
    </row>
    <row r="2147" spans="5:10" x14ac:dyDescent="0.25">
      <c r="E2147"/>
      <c r="F2147"/>
      <c r="G2147" s="12"/>
      <c r="H2147" s="12"/>
      <c r="I2147" s="12"/>
      <c r="J2147" s="12"/>
    </row>
    <row r="2148" spans="5:10" x14ac:dyDescent="0.25">
      <c r="E2148"/>
      <c r="F2148"/>
      <c r="G2148" s="12"/>
      <c r="H2148" s="12"/>
      <c r="I2148" s="12"/>
      <c r="J2148" s="12"/>
    </row>
    <row r="2149" spans="5:10" x14ac:dyDescent="0.25">
      <c r="E2149"/>
      <c r="F2149"/>
      <c r="G2149" s="12"/>
      <c r="H2149" s="12"/>
      <c r="I2149" s="12"/>
      <c r="J2149" s="12"/>
    </row>
    <row r="2150" spans="5:10" x14ac:dyDescent="0.25">
      <c r="E2150"/>
      <c r="F2150"/>
      <c r="G2150" s="12"/>
      <c r="H2150" s="12"/>
      <c r="I2150" s="12"/>
      <c r="J2150" s="12"/>
    </row>
    <row r="2151" spans="5:10" x14ac:dyDescent="0.25">
      <c r="E2151"/>
      <c r="F2151"/>
      <c r="G2151" s="12"/>
      <c r="H2151" s="12"/>
      <c r="I2151" s="12"/>
      <c r="J2151" s="12"/>
    </row>
    <row r="2152" spans="5:10" x14ac:dyDescent="0.25">
      <c r="E2152"/>
      <c r="F2152"/>
      <c r="G2152" s="12"/>
      <c r="H2152" s="12"/>
      <c r="I2152" s="12"/>
      <c r="J2152" s="12"/>
    </row>
    <row r="2153" spans="5:10" x14ac:dyDescent="0.25">
      <c r="E2153"/>
      <c r="F2153"/>
      <c r="G2153" s="12"/>
      <c r="H2153" s="12"/>
      <c r="I2153" s="12"/>
      <c r="J2153" s="12"/>
    </row>
    <row r="2154" spans="5:10" x14ac:dyDescent="0.25">
      <c r="E2154"/>
      <c r="F2154"/>
      <c r="G2154" s="12"/>
      <c r="H2154" s="12"/>
      <c r="I2154" s="12"/>
      <c r="J2154" s="12"/>
    </row>
    <row r="2155" spans="5:10" x14ac:dyDescent="0.25">
      <c r="E2155"/>
      <c r="F2155"/>
      <c r="G2155" s="12"/>
      <c r="H2155" s="12"/>
      <c r="I2155" s="12"/>
      <c r="J2155" s="12"/>
    </row>
    <row r="2156" spans="5:10" x14ac:dyDescent="0.25">
      <c r="E2156"/>
      <c r="F2156"/>
      <c r="G2156" s="12"/>
      <c r="H2156" s="12"/>
      <c r="I2156" s="12"/>
      <c r="J2156" s="12"/>
    </row>
    <row r="2157" spans="5:10" x14ac:dyDescent="0.25">
      <c r="E2157"/>
      <c r="F2157"/>
      <c r="G2157" s="12"/>
      <c r="H2157" s="12"/>
      <c r="I2157" s="12"/>
      <c r="J2157" s="12"/>
    </row>
    <row r="2158" spans="5:10" x14ac:dyDescent="0.25">
      <c r="E2158"/>
      <c r="F2158"/>
      <c r="G2158" s="12"/>
      <c r="H2158" s="12"/>
      <c r="I2158" s="12"/>
      <c r="J2158" s="12"/>
    </row>
    <row r="2159" spans="5:10" x14ac:dyDescent="0.25">
      <c r="E2159"/>
      <c r="F2159"/>
      <c r="G2159" s="12"/>
      <c r="H2159" s="12"/>
      <c r="I2159" s="12"/>
      <c r="J2159" s="12"/>
    </row>
    <row r="2160" spans="5:10" x14ac:dyDescent="0.25">
      <c r="E2160"/>
      <c r="F2160"/>
      <c r="G2160" s="12"/>
      <c r="H2160" s="12"/>
      <c r="I2160" s="12"/>
      <c r="J2160" s="12"/>
    </row>
    <row r="2161" spans="5:10" x14ac:dyDescent="0.25">
      <c r="E2161"/>
      <c r="F2161"/>
      <c r="G2161" s="12"/>
      <c r="H2161" s="12"/>
      <c r="I2161" s="12"/>
      <c r="J2161" s="12"/>
    </row>
    <row r="2162" spans="5:10" x14ac:dyDescent="0.25">
      <c r="E2162"/>
      <c r="F2162"/>
      <c r="G2162" s="12"/>
      <c r="H2162" s="12"/>
      <c r="I2162" s="12"/>
      <c r="J2162" s="12"/>
    </row>
    <row r="2163" spans="5:10" x14ac:dyDescent="0.25">
      <c r="E2163"/>
      <c r="F2163"/>
      <c r="G2163" s="12"/>
      <c r="H2163" s="12"/>
      <c r="I2163" s="12"/>
      <c r="J2163" s="12"/>
    </row>
    <row r="2164" spans="5:10" x14ac:dyDescent="0.25">
      <c r="E2164"/>
      <c r="F2164"/>
      <c r="G2164" s="12"/>
      <c r="H2164" s="12"/>
      <c r="I2164" s="12"/>
      <c r="J2164" s="12"/>
    </row>
    <row r="2165" spans="5:10" x14ac:dyDescent="0.25">
      <c r="E2165"/>
      <c r="F2165"/>
      <c r="G2165" s="12"/>
      <c r="H2165" s="12"/>
      <c r="I2165" s="12"/>
      <c r="J2165" s="12"/>
    </row>
    <row r="2166" spans="5:10" x14ac:dyDescent="0.25">
      <c r="E2166"/>
      <c r="F2166"/>
      <c r="G2166" s="12"/>
      <c r="H2166" s="12"/>
      <c r="I2166" s="12"/>
      <c r="J2166" s="12"/>
    </row>
    <row r="2167" spans="5:10" x14ac:dyDescent="0.25">
      <c r="E2167"/>
      <c r="F2167"/>
      <c r="G2167" s="12"/>
      <c r="H2167" s="12"/>
      <c r="I2167" s="12"/>
      <c r="J2167" s="12"/>
    </row>
    <row r="2168" spans="5:10" x14ac:dyDescent="0.25">
      <c r="E2168"/>
      <c r="F2168"/>
      <c r="G2168" s="12"/>
      <c r="H2168" s="12"/>
      <c r="I2168" s="12"/>
      <c r="J2168" s="12"/>
    </row>
    <row r="2169" spans="5:10" x14ac:dyDescent="0.25">
      <c r="E2169"/>
      <c r="F2169"/>
      <c r="G2169" s="12"/>
      <c r="H2169" s="12"/>
      <c r="I2169" s="12"/>
      <c r="J2169" s="12"/>
    </row>
    <row r="2170" spans="5:10" x14ac:dyDescent="0.25">
      <c r="E2170"/>
      <c r="F2170"/>
      <c r="G2170" s="12"/>
      <c r="H2170" s="12"/>
      <c r="I2170" s="12"/>
      <c r="J2170" s="12"/>
    </row>
    <row r="2171" spans="5:10" x14ac:dyDescent="0.25">
      <c r="E2171"/>
      <c r="F2171"/>
      <c r="G2171" s="12"/>
      <c r="H2171" s="12"/>
      <c r="I2171" s="12"/>
      <c r="J2171" s="12"/>
    </row>
    <row r="2172" spans="5:10" x14ac:dyDescent="0.25">
      <c r="E2172"/>
      <c r="F2172"/>
      <c r="G2172" s="12"/>
      <c r="H2172" s="12"/>
      <c r="I2172" s="12"/>
      <c r="J2172" s="12"/>
    </row>
    <row r="2173" spans="5:10" x14ac:dyDescent="0.25">
      <c r="E2173"/>
      <c r="F2173"/>
      <c r="G2173" s="12"/>
      <c r="H2173" s="12"/>
      <c r="I2173" s="12"/>
      <c r="J2173" s="12"/>
    </row>
    <row r="2174" spans="5:10" x14ac:dyDescent="0.25">
      <c r="E2174"/>
      <c r="F2174"/>
      <c r="G2174" s="12"/>
      <c r="H2174" s="12"/>
      <c r="I2174" s="12"/>
      <c r="J2174" s="12"/>
    </row>
    <row r="2175" spans="5:10" x14ac:dyDescent="0.25">
      <c r="E2175"/>
      <c r="F2175"/>
      <c r="G2175" s="12"/>
      <c r="H2175" s="12"/>
      <c r="I2175" s="12"/>
      <c r="J2175" s="12"/>
    </row>
    <row r="2176" spans="5:10" x14ac:dyDescent="0.25">
      <c r="E2176"/>
      <c r="F2176"/>
      <c r="G2176" s="12"/>
      <c r="H2176" s="12"/>
      <c r="I2176" s="12"/>
      <c r="J2176" s="12"/>
    </row>
    <row r="2177" spans="5:10" x14ac:dyDescent="0.25">
      <c r="E2177"/>
      <c r="F2177"/>
      <c r="G2177" s="12"/>
      <c r="H2177" s="12"/>
      <c r="I2177" s="12"/>
      <c r="J2177" s="12"/>
    </row>
    <row r="2178" spans="5:10" x14ac:dyDescent="0.25">
      <c r="E2178"/>
      <c r="F2178"/>
      <c r="G2178" s="12"/>
      <c r="H2178" s="12"/>
      <c r="I2178" s="12"/>
      <c r="J2178" s="12"/>
    </row>
    <row r="2179" spans="5:10" x14ac:dyDescent="0.25">
      <c r="E2179"/>
      <c r="F2179"/>
      <c r="G2179" s="12"/>
      <c r="H2179" s="12"/>
      <c r="I2179" s="12"/>
      <c r="J2179" s="12"/>
    </row>
    <row r="2180" spans="5:10" x14ac:dyDescent="0.25">
      <c r="E2180"/>
      <c r="F2180"/>
      <c r="G2180" s="12"/>
      <c r="H2180" s="12"/>
      <c r="I2180" s="12"/>
      <c r="J2180" s="12"/>
    </row>
    <row r="2181" spans="5:10" x14ac:dyDescent="0.25">
      <c r="E2181"/>
      <c r="F2181"/>
      <c r="G2181" s="12"/>
      <c r="H2181" s="12"/>
      <c r="I2181" s="12"/>
      <c r="J2181" s="12"/>
    </row>
    <row r="2182" spans="5:10" x14ac:dyDescent="0.25">
      <c r="E2182"/>
      <c r="F2182"/>
      <c r="G2182" s="12"/>
      <c r="H2182" s="12"/>
      <c r="I2182" s="12"/>
      <c r="J2182" s="12"/>
    </row>
    <row r="2183" spans="5:10" x14ac:dyDescent="0.25">
      <c r="E2183"/>
      <c r="F2183"/>
      <c r="G2183" s="12"/>
      <c r="H2183" s="12"/>
      <c r="I2183" s="12"/>
      <c r="J2183" s="12"/>
    </row>
    <row r="2184" spans="5:10" x14ac:dyDescent="0.25">
      <c r="E2184"/>
      <c r="F2184"/>
      <c r="G2184" s="12"/>
      <c r="H2184" s="12"/>
      <c r="I2184" s="12"/>
      <c r="J2184" s="12"/>
    </row>
    <row r="2185" spans="5:10" x14ac:dyDescent="0.25">
      <c r="E2185"/>
      <c r="F2185"/>
      <c r="G2185" s="12"/>
      <c r="H2185" s="12"/>
      <c r="I2185" s="12"/>
      <c r="J2185" s="12"/>
    </row>
    <row r="2186" spans="5:10" x14ac:dyDescent="0.25">
      <c r="E2186"/>
      <c r="F2186"/>
      <c r="G2186" s="12"/>
      <c r="H2186" s="12"/>
      <c r="I2186" s="12"/>
      <c r="J2186" s="12"/>
    </row>
    <row r="2187" spans="5:10" x14ac:dyDescent="0.25">
      <c r="E2187"/>
      <c r="F2187"/>
      <c r="G2187" s="12"/>
      <c r="H2187" s="12"/>
      <c r="I2187" s="12"/>
      <c r="J2187" s="12"/>
    </row>
    <row r="2188" spans="5:10" x14ac:dyDescent="0.25">
      <c r="E2188"/>
      <c r="F2188"/>
      <c r="G2188" s="12"/>
      <c r="H2188" s="12"/>
      <c r="I2188" s="12"/>
      <c r="J2188" s="12"/>
    </row>
    <row r="2189" spans="5:10" x14ac:dyDescent="0.25">
      <c r="E2189"/>
      <c r="F2189"/>
      <c r="G2189" s="12"/>
      <c r="H2189" s="12"/>
      <c r="I2189" s="12"/>
      <c r="J2189" s="12"/>
    </row>
    <row r="2190" spans="5:10" x14ac:dyDescent="0.25">
      <c r="E2190"/>
      <c r="F2190"/>
      <c r="G2190" s="12"/>
      <c r="H2190" s="12"/>
      <c r="I2190" s="12"/>
      <c r="J2190" s="12"/>
    </row>
    <row r="2191" spans="5:10" x14ac:dyDescent="0.25">
      <c r="E2191"/>
      <c r="F2191"/>
      <c r="G2191" s="12"/>
      <c r="H2191" s="12"/>
      <c r="I2191" s="12"/>
      <c r="J2191" s="12"/>
    </row>
    <row r="2192" spans="5:10" x14ac:dyDescent="0.25">
      <c r="E2192"/>
      <c r="F2192"/>
      <c r="G2192" s="12"/>
      <c r="H2192" s="12"/>
      <c r="I2192" s="12"/>
      <c r="J2192" s="12"/>
    </row>
    <row r="2193" spans="5:10" x14ac:dyDescent="0.25">
      <c r="E2193"/>
      <c r="F2193"/>
      <c r="G2193" s="12"/>
      <c r="H2193" s="12"/>
      <c r="I2193" s="12"/>
      <c r="J2193" s="12"/>
    </row>
    <row r="2194" spans="5:10" x14ac:dyDescent="0.25">
      <c r="E2194"/>
      <c r="F2194"/>
      <c r="G2194" s="12"/>
      <c r="H2194" s="12"/>
      <c r="I2194" s="12"/>
      <c r="J2194" s="12"/>
    </row>
    <row r="2195" spans="5:10" x14ac:dyDescent="0.25">
      <c r="E2195"/>
      <c r="F2195"/>
      <c r="G2195" s="12"/>
      <c r="H2195" s="12"/>
      <c r="I2195" s="12"/>
      <c r="J2195" s="12"/>
    </row>
    <row r="2196" spans="5:10" x14ac:dyDescent="0.25">
      <c r="E2196"/>
      <c r="F2196"/>
      <c r="G2196" s="12"/>
      <c r="H2196" s="12"/>
      <c r="I2196" s="12"/>
      <c r="J2196" s="12"/>
    </row>
    <row r="2197" spans="5:10" x14ac:dyDescent="0.25">
      <c r="E2197"/>
      <c r="F2197"/>
      <c r="G2197" s="12"/>
      <c r="H2197" s="12"/>
      <c r="I2197" s="12"/>
      <c r="J2197" s="12"/>
    </row>
    <row r="2198" spans="5:10" x14ac:dyDescent="0.25">
      <c r="E2198"/>
      <c r="F2198"/>
      <c r="G2198" s="12"/>
      <c r="H2198" s="12"/>
      <c r="I2198" s="12"/>
      <c r="J2198" s="12"/>
    </row>
    <row r="2199" spans="5:10" x14ac:dyDescent="0.25">
      <c r="E2199"/>
      <c r="F2199"/>
      <c r="G2199" s="12"/>
      <c r="H2199" s="12"/>
      <c r="I2199" s="12"/>
      <c r="J2199" s="12"/>
    </row>
    <row r="2200" spans="5:10" x14ac:dyDescent="0.25">
      <c r="E2200"/>
      <c r="F2200"/>
      <c r="G2200" s="12"/>
      <c r="H2200" s="12"/>
      <c r="I2200" s="12"/>
      <c r="J2200" s="12"/>
    </row>
    <row r="2201" spans="5:10" x14ac:dyDescent="0.25">
      <c r="E2201"/>
      <c r="F2201"/>
      <c r="G2201" s="12"/>
      <c r="H2201" s="12"/>
      <c r="I2201" s="12"/>
      <c r="J2201" s="12"/>
    </row>
    <row r="2202" spans="5:10" x14ac:dyDescent="0.25">
      <c r="E2202"/>
      <c r="F2202"/>
      <c r="G2202" s="12"/>
      <c r="H2202" s="12"/>
      <c r="I2202" s="12"/>
      <c r="J2202" s="12"/>
    </row>
    <row r="2203" spans="5:10" x14ac:dyDescent="0.25">
      <c r="E2203"/>
      <c r="F2203"/>
      <c r="G2203" s="12"/>
      <c r="H2203" s="12"/>
      <c r="I2203" s="12"/>
      <c r="J2203" s="12"/>
    </row>
    <row r="2204" spans="5:10" x14ac:dyDescent="0.25">
      <c r="E2204"/>
      <c r="F2204"/>
      <c r="G2204" s="12"/>
      <c r="H2204" s="12"/>
      <c r="I2204" s="12"/>
      <c r="J2204" s="12"/>
    </row>
    <row r="2205" spans="5:10" x14ac:dyDescent="0.25">
      <c r="E2205"/>
      <c r="F2205"/>
      <c r="G2205" s="12"/>
      <c r="H2205" s="12"/>
      <c r="I2205" s="12"/>
      <c r="J2205" s="12"/>
    </row>
    <row r="2206" spans="5:10" x14ac:dyDescent="0.25">
      <c r="E2206"/>
      <c r="F2206"/>
      <c r="G2206" s="12"/>
      <c r="H2206" s="12"/>
      <c r="I2206" s="12"/>
      <c r="J2206" s="12"/>
    </row>
    <row r="2207" spans="5:10" x14ac:dyDescent="0.25">
      <c r="E2207"/>
      <c r="F2207"/>
      <c r="G2207" s="12"/>
      <c r="H2207" s="12"/>
      <c r="I2207" s="12"/>
      <c r="J2207" s="12"/>
    </row>
    <row r="2208" spans="5:10" x14ac:dyDescent="0.25">
      <c r="E2208"/>
      <c r="F2208"/>
      <c r="G2208" s="12"/>
      <c r="H2208" s="12"/>
      <c r="I2208" s="12"/>
      <c r="J2208" s="12"/>
    </row>
    <row r="2209" spans="5:10" x14ac:dyDescent="0.25">
      <c r="E2209"/>
      <c r="F2209"/>
      <c r="G2209" s="12"/>
      <c r="H2209" s="12"/>
      <c r="I2209" s="12"/>
      <c r="J2209" s="12"/>
    </row>
    <row r="2210" spans="5:10" x14ac:dyDescent="0.25">
      <c r="E2210"/>
      <c r="F2210"/>
      <c r="G2210" s="12"/>
      <c r="H2210" s="12"/>
      <c r="I2210" s="12"/>
      <c r="J2210" s="12"/>
    </row>
    <row r="2211" spans="5:10" x14ac:dyDescent="0.25">
      <c r="E2211"/>
      <c r="F2211"/>
      <c r="G2211" s="12"/>
      <c r="H2211" s="12"/>
      <c r="I2211" s="12"/>
      <c r="J2211" s="12"/>
    </row>
    <row r="2212" spans="5:10" x14ac:dyDescent="0.25">
      <c r="E2212"/>
      <c r="F2212"/>
      <c r="G2212" s="12"/>
      <c r="H2212" s="12"/>
      <c r="I2212" s="12"/>
      <c r="J2212" s="12"/>
    </row>
    <row r="2213" spans="5:10" x14ac:dyDescent="0.25">
      <c r="E2213"/>
      <c r="F2213"/>
      <c r="G2213" s="12"/>
      <c r="H2213" s="12"/>
      <c r="I2213" s="12"/>
      <c r="J2213" s="12"/>
    </row>
    <row r="2214" spans="5:10" x14ac:dyDescent="0.25">
      <c r="E2214"/>
      <c r="F2214"/>
      <c r="G2214" s="12"/>
      <c r="H2214" s="12"/>
      <c r="I2214" s="12"/>
      <c r="J2214" s="12"/>
    </row>
    <row r="2215" spans="5:10" x14ac:dyDescent="0.25">
      <c r="E2215"/>
      <c r="F2215"/>
      <c r="G2215" s="12"/>
      <c r="H2215" s="12"/>
      <c r="I2215" s="12"/>
      <c r="J2215" s="12"/>
    </row>
    <row r="2216" spans="5:10" x14ac:dyDescent="0.25">
      <c r="E2216"/>
      <c r="F2216"/>
      <c r="G2216" s="12"/>
      <c r="H2216" s="12"/>
      <c r="I2216" s="12"/>
      <c r="J2216" s="12"/>
    </row>
    <row r="2217" spans="5:10" x14ac:dyDescent="0.25">
      <c r="E2217"/>
      <c r="F2217"/>
      <c r="G2217" s="12"/>
      <c r="H2217" s="12"/>
      <c r="I2217" s="12"/>
      <c r="J2217" s="12"/>
    </row>
    <row r="2218" spans="5:10" x14ac:dyDescent="0.25">
      <c r="E2218"/>
      <c r="F2218"/>
      <c r="G2218" s="12"/>
      <c r="H2218" s="12"/>
      <c r="I2218" s="12"/>
      <c r="J2218" s="12"/>
    </row>
    <row r="2219" spans="5:10" x14ac:dyDescent="0.25">
      <c r="E2219"/>
      <c r="F2219"/>
      <c r="G2219" s="12"/>
      <c r="H2219" s="12"/>
      <c r="I2219" s="12"/>
      <c r="J2219" s="12"/>
    </row>
    <row r="2220" spans="5:10" x14ac:dyDescent="0.25">
      <c r="E2220"/>
      <c r="F2220"/>
      <c r="G2220" s="12"/>
      <c r="H2220" s="12"/>
      <c r="I2220" s="12"/>
      <c r="J2220" s="12"/>
    </row>
    <row r="2221" spans="5:10" x14ac:dyDescent="0.25">
      <c r="E2221"/>
      <c r="F2221"/>
      <c r="G2221" s="12"/>
      <c r="H2221" s="12"/>
      <c r="I2221" s="12"/>
      <c r="J2221" s="12"/>
    </row>
    <row r="2222" spans="5:10" x14ac:dyDescent="0.25">
      <c r="E2222"/>
      <c r="F2222"/>
      <c r="G2222" s="12"/>
      <c r="H2222" s="12"/>
      <c r="I2222" s="12"/>
      <c r="J2222" s="12"/>
    </row>
    <row r="2223" spans="5:10" x14ac:dyDescent="0.25">
      <c r="E2223"/>
      <c r="F2223"/>
      <c r="G2223" s="12"/>
      <c r="H2223" s="12"/>
      <c r="I2223" s="12"/>
      <c r="J2223" s="12"/>
    </row>
    <row r="2224" spans="5:10" x14ac:dyDescent="0.25">
      <c r="E2224"/>
      <c r="F2224"/>
      <c r="G2224" s="12"/>
      <c r="H2224" s="12"/>
      <c r="I2224" s="12"/>
      <c r="J2224" s="12"/>
    </row>
    <row r="2225" spans="5:10" x14ac:dyDescent="0.25">
      <c r="E2225"/>
      <c r="F2225"/>
      <c r="G2225" s="12"/>
      <c r="H2225" s="12"/>
      <c r="I2225" s="12"/>
      <c r="J2225" s="12"/>
    </row>
    <row r="2226" spans="5:10" x14ac:dyDescent="0.25">
      <c r="E2226"/>
      <c r="F2226"/>
      <c r="G2226" s="12"/>
      <c r="H2226" s="12"/>
      <c r="I2226" s="12"/>
      <c r="J2226" s="12"/>
    </row>
    <row r="2227" spans="5:10" x14ac:dyDescent="0.25">
      <c r="E2227"/>
      <c r="F2227"/>
      <c r="G2227" s="12"/>
      <c r="H2227" s="12"/>
      <c r="I2227" s="12"/>
      <c r="J2227" s="12"/>
    </row>
    <row r="2228" spans="5:10" x14ac:dyDescent="0.25">
      <c r="E2228"/>
      <c r="F2228"/>
      <c r="G2228" s="12"/>
      <c r="H2228" s="12"/>
      <c r="I2228" s="12"/>
      <c r="J2228" s="12"/>
    </row>
    <row r="2229" spans="5:10" x14ac:dyDescent="0.25">
      <c r="E2229"/>
      <c r="F2229"/>
      <c r="G2229" s="12"/>
      <c r="H2229" s="12"/>
      <c r="I2229" s="12"/>
      <c r="J2229" s="12"/>
    </row>
    <row r="2230" spans="5:10" x14ac:dyDescent="0.25">
      <c r="E2230"/>
      <c r="F2230"/>
      <c r="G2230" s="12"/>
      <c r="H2230" s="12"/>
      <c r="I2230" s="12"/>
      <c r="J2230" s="12"/>
    </row>
    <row r="2231" spans="5:10" x14ac:dyDescent="0.25">
      <c r="E2231"/>
      <c r="F2231"/>
      <c r="G2231" s="12"/>
      <c r="H2231" s="12"/>
      <c r="I2231" s="12"/>
      <c r="J2231" s="12"/>
    </row>
    <row r="2232" spans="5:10" x14ac:dyDescent="0.25">
      <c r="E2232"/>
      <c r="F2232"/>
      <c r="G2232" s="12"/>
      <c r="H2232" s="12"/>
      <c r="I2232" s="12"/>
      <c r="J2232" s="12"/>
    </row>
    <row r="2233" spans="5:10" x14ac:dyDescent="0.25">
      <c r="E2233"/>
      <c r="F2233"/>
      <c r="G2233" s="12"/>
      <c r="H2233" s="12"/>
      <c r="I2233" s="12"/>
      <c r="J2233" s="12"/>
    </row>
    <row r="2234" spans="5:10" x14ac:dyDescent="0.25">
      <c r="E2234"/>
      <c r="F2234"/>
      <c r="G2234" s="12"/>
      <c r="H2234" s="12"/>
      <c r="I2234" s="12"/>
      <c r="J2234" s="12"/>
    </row>
    <row r="2235" spans="5:10" x14ac:dyDescent="0.25">
      <c r="E2235"/>
      <c r="F2235"/>
      <c r="G2235" s="12"/>
      <c r="H2235" s="12"/>
      <c r="I2235" s="12"/>
      <c r="J2235" s="12"/>
    </row>
    <row r="2236" spans="5:10" x14ac:dyDescent="0.25">
      <c r="E2236"/>
      <c r="F2236"/>
      <c r="G2236" s="12"/>
      <c r="H2236" s="12"/>
      <c r="I2236" s="12"/>
      <c r="J2236" s="12"/>
    </row>
    <row r="2237" spans="5:10" x14ac:dyDescent="0.25">
      <c r="E2237"/>
      <c r="F2237"/>
      <c r="G2237" s="12"/>
      <c r="H2237" s="12"/>
      <c r="I2237" s="12"/>
      <c r="J2237" s="12"/>
    </row>
    <row r="2238" spans="5:10" x14ac:dyDescent="0.25">
      <c r="E2238"/>
      <c r="F2238"/>
      <c r="G2238" s="12"/>
      <c r="H2238" s="12"/>
      <c r="I2238" s="12"/>
      <c r="J2238" s="12"/>
    </row>
    <row r="2239" spans="5:10" x14ac:dyDescent="0.25">
      <c r="E2239"/>
      <c r="F2239"/>
      <c r="G2239" s="12"/>
      <c r="H2239" s="12"/>
      <c r="I2239" s="12"/>
      <c r="J2239" s="12"/>
    </row>
    <row r="2240" spans="5:10" x14ac:dyDescent="0.25">
      <c r="E2240"/>
      <c r="F2240"/>
      <c r="G2240" s="12"/>
      <c r="H2240" s="12"/>
      <c r="I2240" s="12"/>
      <c r="J2240" s="12"/>
    </row>
    <row r="2241" spans="5:10" x14ac:dyDescent="0.25">
      <c r="E2241"/>
      <c r="F2241"/>
      <c r="G2241" s="12"/>
      <c r="H2241" s="12"/>
      <c r="I2241" s="12"/>
      <c r="J2241" s="12"/>
    </row>
    <row r="2242" spans="5:10" x14ac:dyDescent="0.25">
      <c r="E2242"/>
      <c r="F2242"/>
      <c r="G2242" s="12"/>
      <c r="H2242" s="12"/>
      <c r="I2242" s="12"/>
      <c r="J2242" s="12"/>
    </row>
    <row r="2243" spans="5:10" x14ac:dyDescent="0.25">
      <c r="E2243"/>
      <c r="F2243"/>
      <c r="G2243" s="12"/>
      <c r="H2243" s="12"/>
      <c r="I2243" s="12"/>
      <c r="J2243" s="12"/>
    </row>
    <row r="2244" spans="5:10" x14ac:dyDescent="0.25">
      <c r="E2244"/>
      <c r="F2244"/>
      <c r="G2244" s="12"/>
      <c r="H2244" s="12"/>
      <c r="I2244" s="12"/>
      <c r="J2244" s="12"/>
    </row>
    <row r="2245" spans="5:10" x14ac:dyDescent="0.25">
      <c r="E2245"/>
      <c r="F2245"/>
      <c r="G2245" s="12"/>
      <c r="H2245" s="12"/>
      <c r="I2245" s="12"/>
      <c r="J2245" s="12"/>
    </row>
    <row r="2246" spans="5:10" x14ac:dyDescent="0.25">
      <c r="E2246"/>
      <c r="F2246"/>
      <c r="G2246" s="12"/>
      <c r="H2246" s="12"/>
      <c r="I2246" s="12"/>
      <c r="J2246" s="12"/>
    </row>
    <row r="2247" spans="5:10" x14ac:dyDescent="0.25">
      <c r="E2247"/>
      <c r="F2247"/>
      <c r="G2247" s="12"/>
      <c r="H2247" s="12"/>
      <c r="I2247" s="12"/>
      <c r="J2247" s="12"/>
    </row>
    <row r="2248" spans="5:10" x14ac:dyDescent="0.25">
      <c r="E2248"/>
      <c r="F2248"/>
      <c r="G2248" s="12"/>
      <c r="H2248" s="12"/>
      <c r="I2248" s="12"/>
      <c r="J2248" s="12"/>
    </row>
    <row r="2249" spans="5:10" x14ac:dyDescent="0.25">
      <c r="E2249"/>
      <c r="F2249"/>
      <c r="G2249" s="12"/>
      <c r="H2249" s="12"/>
      <c r="I2249" s="12"/>
      <c r="J2249" s="12"/>
    </row>
    <row r="2250" spans="5:10" x14ac:dyDescent="0.25">
      <c r="E2250"/>
      <c r="F2250"/>
      <c r="G2250" s="12"/>
      <c r="H2250" s="12"/>
      <c r="I2250" s="12"/>
      <c r="J2250" s="12"/>
    </row>
    <row r="2251" spans="5:10" x14ac:dyDescent="0.25">
      <c r="E2251"/>
      <c r="F2251"/>
      <c r="G2251" s="12"/>
      <c r="H2251" s="12"/>
      <c r="I2251" s="12"/>
      <c r="J2251" s="12"/>
    </row>
    <row r="2252" spans="5:10" x14ac:dyDescent="0.25">
      <c r="E2252"/>
      <c r="F2252"/>
      <c r="G2252" s="12"/>
      <c r="H2252" s="12"/>
      <c r="I2252" s="12"/>
      <c r="J2252" s="12"/>
    </row>
    <row r="2253" spans="5:10" x14ac:dyDescent="0.25">
      <c r="E2253"/>
      <c r="F2253"/>
      <c r="G2253" s="12"/>
      <c r="H2253" s="12"/>
      <c r="I2253" s="12"/>
      <c r="J2253" s="12"/>
    </row>
    <row r="2254" spans="5:10" x14ac:dyDescent="0.25">
      <c r="E2254"/>
      <c r="F2254"/>
      <c r="G2254" s="12"/>
      <c r="H2254" s="12"/>
      <c r="I2254" s="12"/>
      <c r="J2254" s="12"/>
    </row>
    <row r="2255" spans="5:10" x14ac:dyDescent="0.25">
      <c r="E2255"/>
      <c r="F2255"/>
      <c r="G2255" s="12"/>
      <c r="H2255" s="12"/>
      <c r="I2255" s="12"/>
      <c r="J2255" s="12"/>
    </row>
    <row r="2256" spans="5:10" x14ac:dyDescent="0.25">
      <c r="E2256"/>
      <c r="F2256"/>
      <c r="G2256" s="12"/>
      <c r="H2256" s="12"/>
      <c r="I2256" s="12"/>
      <c r="J2256" s="12"/>
    </row>
    <row r="2257" spans="5:10" x14ac:dyDescent="0.25">
      <c r="E2257"/>
      <c r="F2257"/>
      <c r="G2257" s="12"/>
      <c r="H2257" s="12"/>
      <c r="I2257" s="12"/>
      <c r="J2257" s="12"/>
    </row>
    <row r="2258" spans="5:10" x14ac:dyDescent="0.25">
      <c r="E2258"/>
      <c r="F2258"/>
      <c r="G2258" s="12"/>
      <c r="H2258" s="12"/>
      <c r="I2258" s="12"/>
      <c r="J2258" s="12"/>
    </row>
    <row r="2259" spans="5:10" x14ac:dyDescent="0.25">
      <c r="E2259"/>
      <c r="F2259"/>
      <c r="G2259" s="12"/>
      <c r="H2259" s="12"/>
      <c r="I2259" s="12"/>
      <c r="J2259" s="12"/>
    </row>
    <row r="2260" spans="5:10" x14ac:dyDescent="0.25">
      <c r="E2260"/>
      <c r="F2260"/>
      <c r="G2260" s="12"/>
      <c r="H2260" s="12"/>
      <c r="I2260" s="12"/>
      <c r="J2260" s="12"/>
    </row>
    <row r="2261" spans="5:10" x14ac:dyDescent="0.25">
      <c r="E2261"/>
      <c r="F2261"/>
      <c r="G2261" s="12"/>
      <c r="H2261" s="12"/>
      <c r="I2261" s="12"/>
      <c r="J2261" s="12"/>
    </row>
    <row r="2262" spans="5:10" x14ac:dyDescent="0.25">
      <c r="E2262"/>
      <c r="F2262"/>
      <c r="G2262" s="12"/>
      <c r="H2262" s="12"/>
      <c r="I2262" s="12"/>
      <c r="J2262" s="12"/>
    </row>
    <row r="2263" spans="5:10" x14ac:dyDescent="0.25">
      <c r="E2263"/>
      <c r="F2263"/>
      <c r="G2263" s="12"/>
      <c r="H2263" s="12"/>
      <c r="I2263" s="12"/>
      <c r="J2263" s="12"/>
    </row>
    <row r="2264" spans="5:10" x14ac:dyDescent="0.25">
      <c r="E2264"/>
      <c r="F2264"/>
      <c r="G2264" s="12"/>
      <c r="H2264" s="12"/>
      <c r="I2264" s="12"/>
      <c r="J2264" s="12"/>
    </row>
    <row r="2265" spans="5:10" x14ac:dyDescent="0.25">
      <c r="E2265"/>
      <c r="F2265"/>
      <c r="G2265" s="12"/>
      <c r="H2265" s="12"/>
      <c r="I2265" s="12"/>
      <c r="J2265" s="12"/>
    </row>
    <row r="2266" spans="5:10" x14ac:dyDescent="0.25">
      <c r="E2266"/>
      <c r="F2266"/>
      <c r="G2266" s="12"/>
      <c r="H2266" s="12"/>
      <c r="I2266" s="12"/>
      <c r="J2266" s="12"/>
    </row>
    <row r="2267" spans="5:10" x14ac:dyDescent="0.25">
      <c r="E2267"/>
      <c r="F2267"/>
      <c r="G2267" s="12"/>
      <c r="H2267" s="12"/>
      <c r="I2267" s="12"/>
      <c r="J2267" s="12"/>
    </row>
    <row r="2268" spans="5:10" x14ac:dyDescent="0.25">
      <c r="E2268"/>
      <c r="F2268"/>
      <c r="G2268" s="12"/>
      <c r="H2268" s="12"/>
      <c r="I2268" s="12"/>
      <c r="J2268" s="12"/>
    </row>
    <row r="2269" spans="5:10" x14ac:dyDescent="0.25">
      <c r="E2269"/>
      <c r="F2269"/>
      <c r="G2269" s="12"/>
      <c r="H2269" s="12"/>
      <c r="I2269" s="12"/>
      <c r="J2269" s="12"/>
    </row>
    <row r="2270" spans="5:10" x14ac:dyDescent="0.25">
      <c r="E2270"/>
      <c r="F2270"/>
      <c r="G2270" s="12"/>
      <c r="H2270" s="12"/>
      <c r="I2270" s="12"/>
      <c r="J2270" s="12"/>
    </row>
    <row r="2271" spans="5:10" x14ac:dyDescent="0.25">
      <c r="E2271"/>
      <c r="F2271"/>
      <c r="G2271" s="12"/>
      <c r="H2271" s="12"/>
      <c r="I2271" s="12"/>
      <c r="J2271" s="12"/>
    </row>
    <row r="2272" spans="5:10" x14ac:dyDescent="0.25">
      <c r="E2272"/>
      <c r="F2272"/>
      <c r="G2272" s="12"/>
      <c r="H2272" s="12"/>
      <c r="I2272" s="12"/>
      <c r="J2272" s="12"/>
    </row>
    <row r="2273" spans="5:10" x14ac:dyDescent="0.25">
      <c r="E2273"/>
      <c r="F2273"/>
      <c r="G2273" s="12"/>
      <c r="H2273" s="12"/>
      <c r="I2273" s="12"/>
      <c r="J2273" s="12"/>
    </row>
    <row r="2274" spans="5:10" x14ac:dyDescent="0.25">
      <c r="E2274"/>
      <c r="F2274"/>
      <c r="G2274" s="12"/>
      <c r="H2274" s="12"/>
      <c r="I2274" s="12"/>
      <c r="J2274" s="12"/>
    </row>
    <row r="2275" spans="5:10" x14ac:dyDescent="0.25">
      <c r="E2275"/>
      <c r="F2275"/>
      <c r="G2275" s="12"/>
      <c r="H2275" s="12"/>
      <c r="I2275" s="12"/>
      <c r="J2275" s="12"/>
    </row>
    <row r="2276" spans="5:10" x14ac:dyDescent="0.25">
      <c r="E2276"/>
      <c r="F2276"/>
      <c r="G2276" s="12"/>
      <c r="H2276" s="12"/>
      <c r="I2276" s="12"/>
      <c r="J2276" s="12"/>
    </row>
    <row r="2277" spans="5:10" x14ac:dyDescent="0.25">
      <c r="E2277"/>
      <c r="F2277"/>
      <c r="G2277" s="12"/>
      <c r="H2277" s="12"/>
      <c r="I2277" s="12"/>
      <c r="J2277" s="12"/>
    </row>
    <row r="2278" spans="5:10" x14ac:dyDescent="0.25">
      <c r="E2278"/>
      <c r="F2278"/>
      <c r="G2278" s="12"/>
      <c r="H2278" s="12"/>
      <c r="I2278" s="12"/>
      <c r="J2278" s="12"/>
    </row>
    <row r="2279" spans="5:10" x14ac:dyDescent="0.25">
      <c r="E2279"/>
      <c r="F2279"/>
      <c r="G2279" s="12"/>
      <c r="H2279" s="12"/>
      <c r="I2279" s="12"/>
      <c r="J2279" s="12"/>
    </row>
    <row r="2280" spans="5:10" x14ac:dyDescent="0.25">
      <c r="E2280"/>
      <c r="F2280"/>
      <c r="G2280" s="12"/>
      <c r="H2280" s="12"/>
      <c r="I2280" s="12"/>
      <c r="J2280" s="12"/>
    </row>
    <row r="2281" spans="5:10" x14ac:dyDescent="0.25">
      <c r="E2281"/>
      <c r="F2281"/>
      <c r="G2281" s="12"/>
      <c r="H2281" s="12"/>
      <c r="I2281" s="12"/>
      <c r="J2281" s="12"/>
    </row>
    <row r="2282" spans="5:10" x14ac:dyDescent="0.25">
      <c r="E2282"/>
      <c r="F2282"/>
      <c r="G2282" s="12"/>
      <c r="H2282" s="12"/>
      <c r="I2282" s="12"/>
      <c r="J2282" s="12"/>
    </row>
    <row r="2283" spans="5:10" x14ac:dyDescent="0.25">
      <c r="E2283"/>
      <c r="F2283"/>
      <c r="G2283" s="12"/>
      <c r="H2283" s="12"/>
      <c r="I2283" s="12"/>
      <c r="J2283" s="12"/>
    </row>
    <row r="2284" spans="5:10" x14ac:dyDescent="0.25">
      <c r="E2284"/>
      <c r="F2284"/>
      <c r="G2284" s="12"/>
      <c r="H2284" s="12"/>
      <c r="I2284" s="12"/>
      <c r="J2284" s="12"/>
    </row>
    <row r="2285" spans="5:10" x14ac:dyDescent="0.25">
      <c r="E2285"/>
      <c r="F2285"/>
      <c r="G2285" s="12"/>
      <c r="H2285" s="12"/>
      <c r="I2285" s="12"/>
      <c r="J2285" s="12"/>
    </row>
    <row r="2286" spans="5:10" x14ac:dyDescent="0.25">
      <c r="E2286"/>
      <c r="F2286"/>
      <c r="G2286" s="12"/>
      <c r="H2286" s="12"/>
      <c r="I2286" s="12"/>
      <c r="J2286" s="12"/>
    </row>
    <row r="2287" spans="5:10" x14ac:dyDescent="0.25">
      <c r="E2287"/>
      <c r="F2287"/>
      <c r="G2287" s="12"/>
      <c r="H2287" s="12"/>
      <c r="I2287" s="12"/>
      <c r="J2287" s="12"/>
    </row>
    <row r="2288" spans="5:10" x14ac:dyDescent="0.25">
      <c r="E2288"/>
      <c r="F2288"/>
      <c r="G2288" s="12"/>
      <c r="H2288" s="12"/>
      <c r="I2288" s="12"/>
      <c r="J2288" s="12"/>
    </row>
    <row r="2289" spans="5:10" x14ac:dyDescent="0.25">
      <c r="E2289"/>
      <c r="F2289"/>
      <c r="G2289" s="12"/>
      <c r="H2289" s="12"/>
      <c r="I2289" s="12"/>
      <c r="J2289" s="12"/>
    </row>
    <row r="2290" spans="5:10" x14ac:dyDescent="0.25">
      <c r="E2290"/>
      <c r="F2290"/>
      <c r="G2290" s="12"/>
      <c r="H2290" s="12"/>
      <c r="I2290" s="12"/>
      <c r="J2290" s="12"/>
    </row>
    <row r="2291" spans="5:10" x14ac:dyDescent="0.25">
      <c r="E2291"/>
      <c r="F2291"/>
      <c r="G2291" s="12"/>
      <c r="H2291" s="12"/>
      <c r="I2291" s="12"/>
      <c r="J2291" s="12"/>
    </row>
    <row r="2292" spans="5:10" x14ac:dyDescent="0.25">
      <c r="E2292"/>
      <c r="F2292"/>
      <c r="G2292" s="12"/>
      <c r="H2292" s="12"/>
      <c r="I2292" s="12"/>
      <c r="J2292" s="12"/>
    </row>
    <row r="2293" spans="5:10" x14ac:dyDescent="0.25">
      <c r="E2293"/>
      <c r="F2293"/>
      <c r="G2293" s="12"/>
      <c r="H2293" s="12"/>
      <c r="I2293" s="12"/>
      <c r="J2293" s="12"/>
    </row>
    <row r="2294" spans="5:10" x14ac:dyDescent="0.25">
      <c r="E2294"/>
      <c r="F2294"/>
      <c r="G2294" s="12"/>
      <c r="H2294" s="12"/>
      <c r="I2294" s="12"/>
      <c r="J2294" s="12"/>
    </row>
    <row r="2295" spans="5:10" x14ac:dyDescent="0.25">
      <c r="E2295"/>
      <c r="F2295"/>
      <c r="G2295" s="12"/>
      <c r="H2295" s="12"/>
      <c r="I2295" s="12"/>
      <c r="J2295" s="12"/>
    </row>
    <row r="2296" spans="5:10" x14ac:dyDescent="0.25">
      <c r="E2296"/>
      <c r="F2296"/>
      <c r="G2296" s="12"/>
      <c r="H2296" s="12"/>
      <c r="I2296" s="12"/>
      <c r="J2296" s="12"/>
    </row>
    <row r="2297" spans="5:10" x14ac:dyDescent="0.25">
      <c r="E2297"/>
      <c r="F2297"/>
      <c r="G2297" s="12"/>
      <c r="H2297" s="12"/>
      <c r="I2297" s="12"/>
      <c r="J2297" s="12"/>
    </row>
    <row r="2298" spans="5:10" x14ac:dyDescent="0.25">
      <c r="E2298"/>
      <c r="F2298"/>
      <c r="G2298" s="12"/>
      <c r="H2298" s="12"/>
      <c r="I2298" s="12"/>
      <c r="J2298" s="12"/>
    </row>
    <row r="2299" spans="5:10" x14ac:dyDescent="0.25">
      <c r="E2299"/>
      <c r="F2299"/>
      <c r="G2299" s="12"/>
      <c r="H2299" s="12"/>
      <c r="I2299" s="12"/>
      <c r="J2299" s="12"/>
    </row>
    <row r="2300" spans="5:10" x14ac:dyDescent="0.25">
      <c r="E2300"/>
      <c r="F2300"/>
      <c r="G2300" s="12"/>
      <c r="H2300" s="12"/>
      <c r="I2300" s="12"/>
      <c r="J2300" s="12"/>
    </row>
    <row r="2301" spans="5:10" x14ac:dyDescent="0.25">
      <c r="E2301"/>
      <c r="F2301"/>
      <c r="G2301" s="12"/>
      <c r="H2301" s="12"/>
      <c r="I2301" s="12"/>
      <c r="J2301" s="12"/>
    </row>
    <row r="2302" spans="5:10" x14ac:dyDescent="0.25">
      <c r="E2302"/>
      <c r="F2302"/>
      <c r="G2302" s="12"/>
      <c r="H2302" s="12"/>
      <c r="I2302" s="12"/>
      <c r="J2302" s="12"/>
    </row>
    <row r="2303" spans="5:10" x14ac:dyDescent="0.25">
      <c r="E2303"/>
      <c r="F2303"/>
      <c r="G2303" s="12"/>
      <c r="H2303" s="12"/>
      <c r="I2303" s="12"/>
      <c r="J2303" s="12"/>
    </row>
    <row r="2304" spans="5:10" x14ac:dyDescent="0.25">
      <c r="E2304"/>
      <c r="F2304"/>
      <c r="G2304" s="12"/>
      <c r="H2304" s="12"/>
      <c r="I2304" s="12"/>
      <c r="J2304" s="12"/>
    </row>
    <row r="2305" spans="5:10" x14ac:dyDescent="0.25">
      <c r="E2305"/>
      <c r="F2305"/>
      <c r="G2305" s="12"/>
      <c r="H2305" s="12"/>
      <c r="I2305" s="12"/>
      <c r="J2305" s="12"/>
    </row>
    <row r="2306" spans="5:10" x14ac:dyDescent="0.25">
      <c r="E2306"/>
      <c r="F2306"/>
      <c r="G2306" s="12"/>
      <c r="H2306" s="12"/>
      <c r="I2306" s="12"/>
      <c r="J2306" s="12"/>
    </row>
    <row r="2307" spans="5:10" x14ac:dyDescent="0.25">
      <c r="E2307"/>
      <c r="F2307"/>
      <c r="G2307" s="12"/>
      <c r="H2307" s="12"/>
      <c r="I2307" s="12"/>
      <c r="J2307" s="12"/>
    </row>
    <row r="2308" spans="5:10" x14ac:dyDescent="0.25">
      <c r="E2308"/>
      <c r="F2308"/>
      <c r="G2308" s="12"/>
      <c r="H2308" s="12"/>
      <c r="I2308" s="12"/>
      <c r="J2308" s="12"/>
    </row>
    <row r="2309" spans="5:10" x14ac:dyDescent="0.25">
      <c r="E2309"/>
      <c r="F2309"/>
      <c r="G2309" s="12"/>
      <c r="H2309" s="12"/>
      <c r="I2309" s="12"/>
      <c r="J2309" s="12"/>
    </row>
    <row r="2310" spans="5:10" x14ac:dyDescent="0.25">
      <c r="E2310"/>
      <c r="F2310"/>
      <c r="G2310" s="12"/>
      <c r="H2310" s="12"/>
      <c r="I2310" s="12"/>
      <c r="J2310" s="12"/>
    </row>
    <row r="2311" spans="5:10" x14ac:dyDescent="0.25">
      <c r="E2311"/>
      <c r="F2311"/>
      <c r="G2311" s="12"/>
      <c r="H2311" s="12"/>
      <c r="I2311" s="12"/>
      <c r="J2311" s="12"/>
    </row>
    <row r="2312" spans="5:10" x14ac:dyDescent="0.25">
      <c r="E2312"/>
      <c r="F2312"/>
      <c r="G2312" s="12"/>
      <c r="H2312" s="12"/>
      <c r="I2312" s="12"/>
      <c r="J2312" s="12"/>
    </row>
    <row r="2313" spans="5:10" x14ac:dyDescent="0.25">
      <c r="E2313"/>
      <c r="F2313"/>
      <c r="G2313" s="12"/>
      <c r="H2313" s="12"/>
      <c r="I2313" s="12"/>
      <c r="J2313" s="12"/>
    </row>
    <row r="2314" spans="5:10" x14ac:dyDescent="0.25">
      <c r="E2314"/>
      <c r="F2314"/>
      <c r="G2314" s="12"/>
      <c r="H2314" s="12"/>
      <c r="I2314" s="12"/>
      <c r="J2314" s="12"/>
    </row>
    <row r="2315" spans="5:10" x14ac:dyDescent="0.25">
      <c r="E2315"/>
      <c r="F2315"/>
      <c r="G2315" s="12"/>
      <c r="H2315" s="12"/>
      <c r="I2315" s="12"/>
      <c r="J2315" s="12"/>
    </row>
    <row r="2316" spans="5:10" x14ac:dyDescent="0.25">
      <c r="E2316"/>
      <c r="F2316"/>
      <c r="G2316" s="12"/>
      <c r="H2316" s="12"/>
      <c r="I2316" s="12"/>
      <c r="J2316" s="12"/>
    </row>
    <row r="2317" spans="5:10" x14ac:dyDescent="0.25">
      <c r="E2317"/>
      <c r="F2317"/>
      <c r="G2317" s="12"/>
      <c r="H2317" s="12"/>
      <c r="I2317" s="12"/>
      <c r="J2317" s="12"/>
    </row>
    <row r="2318" spans="5:10" x14ac:dyDescent="0.25">
      <c r="E2318"/>
      <c r="F2318"/>
      <c r="G2318" s="12"/>
      <c r="H2318" s="12"/>
      <c r="I2318" s="12"/>
      <c r="J2318" s="12"/>
    </row>
    <row r="2319" spans="5:10" x14ac:dyDescent="0.25">
      <c r="E2319"/>
      <c r="F2319"/>
      <c r="G2319" s="12"/>
      <c r="H2319" s="12"/>
      <c r="I2319" s="12"/>
      <c r="J2319" s="12"/>
    </row>
    <row r="2320" spans="5:10" x14ac:dyDescent="0.25">
      <c r="E2320"/>
      <c r="F2320"/>
      <c r="G2320" s="12"/>
      <c r="H2320" s="12"/>
      <c r="I2320" s="12"/>
      <c r="J2320" s="12"/>
    </row>
    <row r="2321" spans="5:10" x14ac:dyDescent="0.25">
      <c r="E2321"/>
      <c r="F2321"/>
      <c r="G2321" s="12"/>
      <c r="H2321" s="12"/>
      <c r="I2321" s="12"/>
      <c r="J2321" s="12"/>
    </row>
    <row r="2322" spans="5:10" x14ac:dyDescent="0.25">
      <c r="E2322"/>
      <c r="F2322"/>
      <c r="G2322" s="12"/>
      <c r="H2322" s="12"/>
      <c r="I2322" s="12"/>
      <c r="J2322" s="12"/>
    </row>
    <row r="2323" spans="5:10" x14ac:dyDescent="0.25">
      <c r="E2323"/>
      <c r="F2323"/>
      <c r="G2323" s="12"/>
      <c r="H2323" s="12"/>
      <c r="I2323" s="12"/>
      <c r="J2323" s="12"/>
    </row>
    <row r="2324" spans="5:10" x14ac:dyDescent="0.25">
      <c r="E2324"/>
      <c r="F2324"/>
      <c r="G2324" s="12"/>
      <c r="H2324" s="12"/>
      <c r="I2324" s="12"/>
      <c r="J2324" s="12"/>
    </row>
    <row r="2325" spans="5:10" x14ac:dyDescent="0.25">
      <c r="E2325"/>
      <c r="F2325"/>
      <c r="G2325" s="12"/>
      <c r="H2325" s="12"/>
      <c r="I2325" s="12"/>
      <c r="J2325" s="12"/>
    </row>
    <row r="2326" spans="5:10" x14ac:dyDescent="0.25">
      <c r="E2326"/>
      <c r="F2326"/>
      <c r="G2326" s="12"/>
      <c r="H2326" s="12"/>
      <c r="I2326" s="12"/>
      <c r="J2326" s="12"/>
    </row>
    <row r="2327" spans="5:10" x14ac:dyDescent="0.25">
      <c r="E2327"/>
      <c r="F2327"/>
      <c r="G2327" s="12"/>
      <c r="H2327" s="12"/>
      <c r="I2327" s="12"/>
      <c r="J2327" s="12"/>
    </row>
    <row r="2328" spans="5:10" x14ac:dyDescent="0.25">
      <c r="E2328"/>
      <c r="F2328"/>
      <c r="G2328" s="12"/>
      <c r="H2328" s="12"/>
      <c r="I2328" s="12"/>
      <c r="J2328" s="12"/>
    </row>
    <row r="2329" spans="5:10" x14ac:dyDescent="0.25">
      <c r="E2329"/>
      <c r="F2329"/>
      <c r="G2329" s="12"/>
      <c r="H2329" s="12"/>
      <c r="I2329" s="12"/>
      <c r="J2329" s="12"/>
    </row>
    <row r="2330" spans="5:10" x14ac:dyDescent="0.25">
      <c r="E2330"/>
      <c r="F2330"/>
      <c r="G2330" s="12"/>
      <c r="H2330" s="12"/>
      <c r="I2330" s="12"/>
      <c r="J2330" s="12"/>
    </row>
    <row r="2331" spans="5:10" x14ac:dyDescent="0.25">
      <c r="E2331"/>
      <c r="F2331"/>
      <c r="G2331" s="12"/>
      <c r="H2331" s="12"/>
      <c r="I2331" s="12"/>
      <c r="J2331" s="12"/>
    </row>
    <row r="2332" spans="5:10" x14ac:dyDescent="0.25">
      <c r="E2332"/>
      <c r="F2332"/>
      <c r="G2332" s="12"/>
      <c r="H2332" s="12"/>
      <c r="I2332" s="12"/>
      <c r="J2332" s="12"/>
    </row>
    <row r="2333" spans="5:10" x14ac:dyDescent="0.25">
      <c r="E2333"/>
      <c r="F2333"/>
      <c r="G2333" s="12"/>
      <c r="H2333" s="12"/>
      <c r="I2333" s="12"/>
      <c r="J2333" s="12"/>
    </row>
    <row r="2334" spans="5:10" x14ac:dyDescent="0.25">
      <c r="E2334"/>
      <c r="F2334"/>
      <c r="G2334" s="12"/>
      <c r="H2334" s="12"/>
      <c r="I2334" s="12"/>
      <c r="J2334" s="12"/>
    </row>
    <row r="2335" spans="5:10" x14ac:dyDescent="0.25">
      <c r="E2335"/>
      <c r="F2335"/>
      <c r="G2335" s="12"/>
      <c r="H2335" s="12"/>
      <c r="I2335" s="12"/>
      <c r="J2335" s="12"/>
    </row>
    <row r="2336" spans="5:10" x14ac:dyDescent="0.25">
      <c r="E2336"/>
      <c r="F2336"/>
      <c r="G2336" s="12"/>
      <c r="H2336" s="12"/>
      <c r="I2336" s="12"/>
      <c r="J2336" s="12"/>
    </row>
    <row r="2337" spans="5:10" x14ac:dyDescent="0.25">
      <c r="E2337"/>
      <c r="F2337"/>
      <c r="G2337" s="12"/>
      <c r="H2337" s="12"/>
      <c r="I2337" s="12"/>
      <c r="J2337" s="12"/>
    </row>
    <row r="2338" spans="5:10" x14ac:dyDescent="0.25">
      <c r="E2338"/>
      <c r="F2338"/>
      <c r="G2338" s="12"/>
      <c r="H2338" s="12"/>
      <c r="I2338" s="12"/>
      <c r="J2338" s="12"/>
    </row>
    <row r="2339" spans="5:10" x14ac:dyDescent="0.25">
      <c r="E2339"/>
      <c r="F2339"/>
      <c r="G2339" s="12"/>
      <c r="H2339" s="12"/>
      <c r="I2339" s="12"/>
      <c r="J2339" s="12"/>
    </row>
    <row r="2340" spans="5:10" x14ac:dyDescent="0.25">
      <c r="E2340"/>
      <c r="F2340"/>
      <c r="G2340" s="12"/>
      <c r="H2340" s="12"/>
      <c r="I2340" s="12"/>
      <c r="J2340" s="12"/>
    </row>
    <row r="2341" spans="5:10" x14ac:dyDescent="0.25">
      <c r="E2341"/>
      <c r="F2341"/>
      <c r="G2341" s="12"/>
      <c r="H2341" s="12"/>
      <c r="I2341" s="12"/>
      <c r="J2341" s="12"/>
    </row>
    <row r="2342" spans="5:10" x14ac:dyDescent="0.25">
      <c r="E2342"/>
      <c r="F2342"/>
      <c r="G2342" s="12"/>
      <c r="H2342" s="12"/>
      <c r="I2342" s="12"/>
      <c r="J2342" s="12"/>
    </row>
    <row r="2343" spans="5:10" x14ac:dyDescent="0.25">
      <c r="E2343"/>
      <c r="F2343"/>
      <c r="G2343" s="12"/>
      <c r="H2343" s="12"/>
      <c r="I2343" s="12"/>
      <c r="J2343" s="12"/>
    </row>
    <row r="2344" spans="5:10" x14ac:dyDescent="0.25">
      <c r="E2344"/>
      <c r="F2344"/>
      <c r="G2344" s="12"/>
      <c r="H2344" s="12"/>
      <c r="I2344" s="12"/>
      <c r="J2344" s="12"/>
    </row>
    <row r="2345" spans="5:10" x14ac:dyDescent="0.25">
      <c r="E2345"/>
      <c r="F2345"/>
      <c r="G2345" s="12"/>
      <c r="H2345" s="12"/>
      <c r="I2345" s="12"/>
      <c r="J2345" s="12"/>
    </row>
    <row r="2346" spans="5:10" x14ac:dyDescent="0.25">
      <c r="E2346"/>
      <c r="F2346"/>
      <c r="G2346" s="12"/>
      <c r="H2346" s="12"/>
      <c r="I2346" s="12"/>
      <c r="J2346" s="12"/>
    </row>
    <row r="2347" spans="5:10" x14ac:dyDescent="0.25">
      <c r="E2347"/>
      <c r="F2347"/>
      <c r="G2347" s="12"/>
      <c r="H2347" s="12"/>
      <c r="I2347" s="12"/>
      <c r="J2347" s="12"/>
    </row>
    <row r="2348" spans="5:10" x14ac:dyDescent="0.25">
      <c r="E2348"/>
      <c r="F2348"/>
      <c r="G2348" s="12"/>
      <c r="H2348" s="12"/>
      <c r="I2348" s="12"/>
      <c r="J2348" s="12"/>
    </row>
    <row r="2349" spans="5:10" x14ac:dyDescent="0.25">
      <c r="E2349"/>
      <c r="F2349"/>
      <c r="G2349" s="12"/>
      <c r="H2349" s="12"/>
      <c r="I2349" s="12"/>
      <c r="J2349" s="12"/>
    </row>
    <row r="2350" spans="5:10" x14ac:dyDescent="0.25">
      <c r="E2350"/>
      <c r="F2350"/>
      <c r="G2350" s="12"/>
      <c r="H2350" s="12"/>
      <c r="I2350" s="12"/>
      <c r="J2350" s="12"/>
    </row>
    <row r="2351" spans="5:10" x14ac:dyDescent="0.25">
      <c r="E2351"/>
      <c r="F2351"/>
      <c r="G2351" s="12"/>
      <c r="H2351" s="12"/>
      <c r="I2351" s="12"/>
      <c r="J2351" s="12"/>
    </row>
    <row r="2352" spans="5:10" x14ac:dyDescent="0.25">
      <c r="E2352"/>
      <c r="F2352"/>
      <c r="G2352" s="12"/>
      <c r="H2352" s="12"/>
      <c r="I2352" s="12"/>
      <c r="J2352" s="12"/>
    </row>
    <row r="2353" spans="5:10" x14ac:dyDescent="0.25">
      <c r="E2353"/>
      <c r="F2353"/>
      <c r="G2353" s="12"/>
      <c r="H2353" s="12"/>
      <c r="I2353" s="12"/>
      <c r="J2353" s="12"/>
    </row>
    <row r="2354" spans="5:10" x14ac:dyDescent="0.25">
      <c r="E2354"/>
      <c r="F2354"/>
      <c r="G2354" s="12"/>
      <c r="H2354" s="12"/>
      <c r="I2354" s="12"/>
      <c r="J2354" s="12"/>
    </row>
    <row r="2355" spans="5:10" x14ac:dyDescent="0.25">
      <c r="E2355"/>
      <c r="F2355"/>
      <c r="G2355" s="12"/>
      <c r="H2355" s="12"/>
      <c r="I2355" s="12"/>
      <c r="J2355" s="12"/>
    </row>
    <row r="2356" spans="5:10" x14ac:dyDescent="0.25">
      <c r="E2356"/>
      <c r="F2356"/>
      <c r="G2356" s="12"/>
      <c r="H2356" s="12"/>
      <c r="I2356" s="12"/>
      <c r="J2356" s="12"/>
    </row>
    <row r="2357" spans="5:10" x14ac:dyDescent="0.25">
      <c r="E2357"/>
      <c r="F2357"/>
      <c r="G2357" s="12"/>
      <c r="H2357" s="12"/>
      <c r="I2357" s="12"/>
      <c r="J2357" s="12"/>
    </row>
    <row r="2358" spans="5:10" x14ac:dyDescent="0.25">
      <c r="E2358"/>
      <c r="F2358"/>
      <c r="G2358" s="12"/>
      <c r="H2358" s="12"/>
      <c r="I2358" s="12"/>
      <c r="J2358" s="12"/>
    </row>
    <row r="2359" spans="5:10" x14ac:dyDescent="0.25">
      <c r="E2359"/>
      <c r="F2359"/>
      <c r="G2359" s="12"/>
      <c r="H2359" s="12"/>
      <c r="I2359" s="12"/>
      <c r="J2359" s="12"/>
    </row>
    <row r="2360" spans="5:10" x14ac:dyDescent="0.25">
      <c r="E2360"/>
      <c r="F2360"/>
      <c r="G2360" s="12"/>
      <c r="H2360" s="12"/>
      <c r="I2360" s="12"/>
      <c r="J2360" s="12"/>
    </row>
    <row r="2361" spans="5:10" x14ac:dyDescent="0.25">
      <c r="E2361"/>
      <c r="F2361"/>
      <c r="G2361" s="12"/>
      <c r="H2361" s="12"/>
      <c r="I2361" s="12"/>
      <c r="J2361" s="12"/>
    </row>
    <row r="2362" spans="5:10" x14ac:dyDescent="0.25">
      <c r="E2362"/>
      <c r="F2362"/>
      <c r="G2362" s="12"/>
      <c r="H2362" s="12"/>
      <c r="I2362" s="12"/>
      <c r="J2362" s="12"/>
    </row>
    <row r="2363" spans="5:10" x14ac:dyDescent="0.25">
      <c r="E2363"/>
      <c r="F2363"/>
      <c r="G2363" s="12"/>
      <c r="H2363" s="12"/>
      <c r="I2363" s="12"/>
      <c r="J2363" s="12"/>
    </row>
    <row r="2364" spans="5:10" x14ac:dyDescent="0.25">
      <c r="E2364"/>
      <c r="F2364"/>
      <c r="G2364" s="12"/>
      <c r="H2364" s="12"/>
      <c r="I2364" s="12"/>
      <c r="J2364" s="12"/>
    </row>
    <row r="2365" spans="5:10" x14ac:dyDescent="0.25">
      <c r="E2365"/>
      <c r="F2365"/>
      <c r="G2365" s="12"/>
      <c r="H2365" s="12"/>
      <c r="I2365" s="12"/>
      <c r="J2365" s="12"/>
    </row>
    <row r="2366" spans="5:10" x14ac:dyDescent="0.25">
      <c r="E2366"/>
      <c r="F2366"/>
      <c r="G2366" s="12"/>
      <c r="H2366" s="12"/>
      <c r="I2366" s="12"/>
      <c r="J2366" s="12"/>
    </row>
    <row r="2367" spans="5:10" x14ac:dyDescent="0.25">
      <c r="E2367"/>
      <c r="F2367"/>
      <c r="G2367" s="12"/>
      <c r="H2367" s="12"/>
      <c r="I2367" s="12"/>
      <c r="J2367" s="12"/>
    </row>
    <row r="2368" spans="5:10" x14ac:dyDescent="0.25">
      <c r="E2368"/>
      <c r="F2368"/>
      <c r="G2368" s="12"/>
      <c r="H2368" s="12"/>
      <c r="I2368" s="12"/>
      <c r="J2368" s="12"/>
    </row>
    <row r="2369" spans="5:10" x14ac:dyDescent="0.25">
      <c r="E2369"/>
      <c r="F2369"/>
      <c r="G2369" s="12"/>
      <c r="H2369" s="12"/>
      <c r="I2369" s="12"/>
      <c r="J2369" s="12"/>
    </row>
    <row r="2370" spans="5:10" x14ac:dyDescent="0.25">
      <c r="E2370"/>
      <c r="F2370"/>
      <c r="G2370" s="12"/>
      <c r="H2370" s="12"/>
      <c r="I2370" s="12"/>
      <c r="J2370" s="12"/>
    </row>
    <row r="2371" spans="5:10" x14ac:dyDescent="0.25">
      <c r="E2371"/>
      <c r="F2371"/>
      <c r="G2371" s="12"/>
      <c r="H2371" s="12"/>
      <c r="I2371" s="12"/>
      <c r="J2371" s="12"/>
    </row>
    <row r="2372" spans="5:10" x14ac:dyDescent="0.25">
      <c r="E2372"/>
      <c r="F2372"/>
      <c r="G2372" s="12"/>
      <c r="H2372" s="12"/>
      <c r="I2372" s="12"/>
      <c r="J2372" s="12"/>
    </row>
    <row r="2373" spans="5:10" x14ac:dyDescent="0.25">
      <c r="E2373"/>
      <c r="F2373"/>
      <c r="G2373" s="12"/>
      <c r="H2373" s="12"/>
      <c r="I2373" s="12"/>
      <c r="J2373" s="12"/>
    </row>
    <row r="2374" spans="5:10" x14ac:dyDescent="0.25">
      <c r="E2374"/>
      <c r="F2374"/>
      <c r="G2374" s="12"/>
      <c r="H2374" s="12"/>
      <c r="I2374" s="12"/>
      <c r="J2374" s="12"/>
    </row>
    <row r="2375" spans="5:10" x14ac:dyDescent="0.25">
      <c r="E2375"/>
      <c r="F2375"/>
      <c r="G2375" s="12"/>
      <c r="H2375" s="12"/>
      <c r="I2375" s="12"/>
      <c r="J2375" s="12"/>
    </row>
    <row r="2376" spans="5:10" x14ac:dyDescent="0.25">
      <c r="E2376"/>
      <c r="F2376"/>
      <c r="G2376" s="12"/>
      <c r="H2376" s="12"/>
      <c r="I2376" s="12"/>
      <c r="J2376" s="12"/>
    </row>
    <row r="2377" spans="5:10" x14ac:dyDescent="0.25">
      <c r="E2377"/>
      <c r="F2377"/>
      <c r="G2377" s="12"/>
      <c r="H2377" s="12"/>
      <c r="I2377" s="12"/>
      <c r="J2377" s="12"/>
    </row>
    <row r="2378" spans="5:10" x14ac:dyDescent="0.25">
      <c r="E2378"/>
      <c r="F2378"/>
      <c r="G2378" s="12"/>
      <c r="H2378" s="12"/>
      <c r="I2378" s="12"/>
      <c r="J2378" s="12"/>
    </row>
    <row r="2379" spans="5:10" x14ac:dyDescent="0.25">
      <c r="E2379"/>
      <c r="F2379"/>
      <c r="G2379" s="12"/>
      <c r="H2379" s="12"/>
      <c r="I2379" s="12"/>
      <c r="J2379" s="12"/>
    </row>
    <row r="2380" spans="5:10" x14ac:dyDescent="0.25">
      <c r="E2380"/>
      <c r="F2380"/>
      <c r="G2380" s="12"/>
      <c r="H2380" s="12"/>
      <c r="I2380" s="12"/>
      <c r="J2380" s="12"/>
    </row>
    <row r="2381" spans="5:10" x14ac:dyDescent="0.25">
      <c r="E2381"/>
      <c r="F2381"/>
      <c r="G2381" s="12"/>
      <c r="H2381" s="12"/>
      <c r="I2381" s="12"/>
      <c r="J2381" s="12"/>
    </row>
    <row r="2382" spans="5:10" x14ac:dyDescent="0.25">
      <c r="E2382"/>
      <c r="F2382"/>
      <c r="G2382" s="12"/>
      <c r="H2382" s="12"/>
      <c r="I2382" s="12"/>
      <c r="J2382" s="12"/>
    </row>
    <row r="2383" spans="5:10" x14ac:dyDescent="0.25">
      <c r="E2383"/>
      <c r="F2383"/>
      <c r="G2383" s="12"/>
      <c r="H2383" s="12"/>
      <c r="I2383" s="12"/>
      <c r="J2383" s="12"/>
    </row>
    <row r="2384" spans="5:10" x14ac:dyDescent="0.25">
      <c r="E2384"/>
      <c r="F2384"/>
      <c r="G2384" s="12"/>
      <c r="H2384" s="12"/>
      <c r="I2384" s="12"/>
      <c r="J2384" s="12"/>
    </row>
    <row r="2385" spans="5:10" x14ac:dyDescent="0.25">
      <c r="E2385"/>
      <c r="F2385"/>
      <c r="G2385" s="12"/>
      <c r="H2385" s="12"/>
      <c r="I2385" s="12"/>
      <c r="J2385" s="12"/>
    </row>
    <row r="2386" spans="5:10" x14ac:dyDescent="0.25">
      <c r="E2386"/>
      <c r="F2386"/>
      <c r="G2386" s="12"/>
      <c r="H2386" s="12"/>
      <c r="I2386" s="12"/>
      <c r="J2386" s="12"/>
    </row>
    <row r="2387" spans="5:10" x14ac:dyDescent="0.25">
      <c r="E2387"/>
      <c r="F2387"/>
      <c r="G2387" s="12"/>
      <c r="H2387" s="12"/>
      <c r="I2387" s="12"/>
      <c r="J2387" s="12"/>
    </row>
    <row r="2388" spans="5:10" x14ac:dyDescent="0.25">
      <c r="E2388"/>
      <c r="F2388"/>
      <c r="G2388" s="12"/>
      <c r="H2388" s="12"/>
      <c r="I2388" s="12"/>
      <c r="J2388" s="12"/>
    </row>
    <row r="2389" spans="5:10" x14ac:dyDescent="0.25">
      <c r="E2389"/>
      <c r="F2389"/>
      <c r="G2389" s="12"/>
      <c r="H2389" s="12"/>
      <c r="I2389" s="12"/>
      <c r="J2389" s="12"/>
    </row>
    <row r="2390" spans="5:10" x14ac:dyDescent="0.25">
      <c r="E2390"/>
      <c r="F2390"/>
      <c r="G2390" s="12"/>
      <c r="H2390" s="12"/>
      <c r="I2390" s="12"/>
      <c r="J2390" s="12"/>
    </row>
    <row r="2391" spans="5:10" x14ac:dyDescent="0.25">
      <c r="E2391"/>
      <c r="F2391"/>
      <c r="G2391" s="12"/>
      <c r="H2391" s="12"/>
      <c r="I2391" s="12"/>
      <c r="J2391" s="12"/>
    </row>
    <row r="2392" spans="5:10" x14ac:dyDescent="0.25">
      <c r="E2392"/>
      <c r="F2392"/>
      <c r="G2392" s="12"/>
      <c r="H2392" s="12"/>
      <c r="I2392" s="12"/>
      <c r="J2392" s="12"/>
    </row>
    <row r="2393" spans="5:10" x14ac:dyDescent="0.25">
      <c r="E2393"/>
      <c r="F2393"/>
      <c r="G2393" s="12"/>
      <c r="H2393" s="12"/>
      <c r="I2393" s="12"/>
      <c r="J2393" s="12"/>
    </row>
    <row r="2394" spans="5:10" x14ac:dyDescent="0.25">
      <c r="E2394"/>
      <c r="F2394"/>
      <c r="G2394" s="12"/>
      <c r="H2394" s="12"/>
      <c r="I2394" s="12"/>
      <c r="J2394" s="12"/>
    </row>
    <row r="2395" spans="5:10" x14ac:dyDescent="0.25">
      <c r="E2395"/>
      <c r="F2395"/>
      <c r="G2395" s="12"/>
      <c r="H2395" s="12"/>
      <c r="I2395" s="12"/>
      <c r="J2395" s="12"/>
    </row>
    <row r="2396" spans="5:10" x14ac:dyDescent="0.25">
      <c r="E2396"/>
      <c r="F2396"/>
      <c r="G2396" s="12"/>
      <c r="H2396" s="12"/>
      <c r="I2396" s="12"/>
      <c r="J2396" s="12"/>
    </row>
    <row r="2397" spans="5:10" x14ac:dyDescent="0.25">
      <c r="E2397"/>
      <c r="F2397"/>
      <c r="G2397" s="12"/>
      <c r="H2397" s="12"/>
      <c r="I2397" s="12"/>
      <c r="J2397" s="12"/>
    </row>
    <row r="2398" spans="5:10" x14ac:dyDescent="0.25">
      <c r="E2398"/>
      <c r="F2398"/>
      <c r="G2398" s="12"/>
      <c r="H2398" s="12"/>
      <c r="I2398" s="12"/>
      <c r="J2398" s="12"/>
    </row>
    <row r="2399" spans="5:10" x14ac:dyDescent="0.25">
      <c r="E2399"/>
      <c r="F2399"/>
      <c r="G2399" s="12"/>
      <c r="H2399" s="12"/>
      <c r="I2399" s="12"/>
      <c r="J2399" s="12"/>
    </row>
    <row r="2400" spans="5:10" x14ac:dyDescent="0.25">
      <c r="E2400"/>
      <c r="F2400"/>
      <c r="G2400" s="12"/>
      <c r="H2400" s="12"/>
      <c r="I2400" s="12"/>
      <c r="J2400" s="12"/>
    </row>
    <row r="2401" spans="5:10" x14ac:dyDescent="0.25">
      <c r="E2401"/>
      <c r="F2401"/>
      <c r="G2401" s="12"/>
      <c r="H2401" s="12"/>
      <c r="I2401" s="12"/>
      <c r="J2401" s="12"/>
    </row>
    <row r="2402" spans="5:10" x14ac:dyDescent="0.25">
      <c r="E2402"/>
      <c r="F2402"/>
      <c r="G2402" s="12"/>
      <c r="H2402" s="12"/>
      <c r="I2402" s="12"/>
      <c r="J2402" s="12"/>
    </row>
    <row r="2403" spans="5:10" x14ac:dyDescent="0.25">
      <c r="E2403"/>
      <c r="F2403"/>
      <c r="G2403" s="12"/>
      <c r="H2403" s="12"/>
      <c r="I2403" s="12"/>
      <c r="J2403" s="12"/>
    </row>
    <row r="2404" spans="5:10" x14ac:dyDescent="0.25">
      <c r="E2404"/>
      <c r="F2404"/>
      <c r="G2404" s="12"/>
      <c r="H2404" s="12"/>
      <c r="I2404" s="12"/>
      <c r="J2404" s="12"/>
    </row>
    <row r="2405" spans="5:10" x14ac:dyDescent="0.25">
      <c r="E2405"/>
      <c r="F2405"/>
      <c r="G2405" s="12"/>
      <c r="H2405" s="12"/>
      <c r="I2405" s="12"/>
      <c r="J2405" s="12"/>
    </row>
    <row r="2406" spans="5:10" x14ac:dyDescent="0.25">
      <c r="E2406"/>
      <c r="F2406"/>
      <c r="G2406" s="12"/>
      <c r="H2406" s="12"/>
      <c r="I2406" s="12"/>
      <c r="J2406" s="12"/>
    </row>
    <row r="2407" spans="5:10" x14ac:dyDescent="0.25">
      <c r="E2407"/>
      <c r="F2407"/>
      <c r="G2407" s="12"/>
      <c r="H2407" s="12"/>
      <c r="I2407" s="12"/>
      <c r="J2407" s="12"/>
    </row>
    <row r="2408" spans="5:10" x14ac:dyDescent="0.25">
      <c r="E2408"/>
      <c r="F2408"/>
      <c r="G2408" s="12"/>
      <c r="H2408" s="12"/>
      <c r="I2408" s="12"/>
      <c r="J2408" s="12"/>
    </row>
    <row r="2409" spans="5:10" x14ac:dyDescent="0.25">
      <c r="E2409"/>
      <c r="F2409"/>
      <c r="G2409" s="12"/>
      <c r="H2409" s="12"/>
      <c r="I2409" s="12"/>
      <c r="J2409" s="12"/>
    </row>
    <row r="2410" spans="5:10" x14ac:dyDescent="0.25">
      <c r="E2410"/>
      <c r="F2410"/>
      <c r="G2410" s="12"/>
      <c r="H2410" s="12"/>
      <c r="I2410" s="12"/>
      <c r="J2410" s="12"/>
    </row>
    <row r="2411" spans="5:10" x14ac:dyDescent="0.25">
      <c r="E2411"/>
      <c r="F2411"/>
      <c r="G2411" s="12"/>
      <c r="H2411" s="12"/>
      <c r="I2411" s="12"/>
      <c r="J2411" s="12"/>
    </row>
    <row r="2412" spans="5:10" x14ac:dyDescent="0.25">
      <c r="E2412"/>
      <c r="F2412"/>
      <c r="G2412" s="12"/>
      <c r="H2412" s="12"/>
      <c r="I2412" s="12"/>
      <c r="J2412" s="12"/>
    </row>
    <row r="2413" spans="5:10" x14ac:dyDescent="0.25">
      <c r="E2413"/>
      <c r="F2413"/>
      <c r="G2413" s="12"/>
      <c r="H2413" s="12"/>
      <c r="I2413" s="12"/>
      <c r="J2413" s="12"/>
    </row>
    <row r="2414" spans="5:10" x14ac:dyDescent="0.25">
      <c r="E2414"/>
      <c r="F2414"/>
      <c r="G2414" s="12"/>
      <c r="H2414" s="12"/>
      <c r="I2414" s="12"/>
      <c r="J2414" s="12"/>
    </row>
    <row r="2415" spans="5:10" x14ac:dyDescent="0.25">
      <c r="E2415"/>
      <c r="F2415"/>
      <c r="G2415" s="12"/>
      <c r="H2415" s="12"/>
      <c r="I2415" s="12"/>
      <c r="J2415" s="12"/>
    </row>
    <row r="2416" spans="5:10" x14ac:dyDescent="0.25">
      <c r="E2416"/>
      <c r="F2416"/>
      <c r="G2416" s="12"/>
      <c r="H2416" s="12"/>
      <c r="I2416" s="12"/>
      <c r="J2416" s="12"/>
    </row>
    <row r="2417" spans="5:10" x14ac:dyDescent="0.25">
      <c r="E2417"/>
      <c r="F2417"/>
      <c r="G2417" s="12"/>
      <c r="H2417" s="12"/>
      <c r="I2417" s="12"/>
      <c r="J2417" s="12"/>
    </row>
    <row r="2418" spans="5:10" x14ac:dyDescent="0.25">
      <c r="E2418"/>
      <c r="F2418"/>
      <c r="G2418" s="12"/>
      <c r="H2418" s="12"/>
      <c r="I2418" s="12"/>
      <c r="J2418" s="12"/>
    </row>
    <row r="2419" spans="5:10" x14ac:dyDescent="0.25">
      <c r="E2419"/>
      <c r="F2419"/>
      <c r="G2419" s="12"/>
      <c r="H2419" s="12"/>
      <c r="I2419" s="12"/>
      <c r="J2419" s="12"/>
    </row>
    <row r="2420" spans="5:10" x14ac:dyDescent="0.25">
      <c r="E2420"/>
      <c r="F2420"/>
      <c r="G2420" s="12"/>
      <c r="H2420" s="12"/>
      <c r="I2420" s="12"/>
      <c r="J2420" s="12"/>
    </row>
    <row r="2421" spans="5:10" x14ac:dyDescent="0.25">
      <c r="E2421"/>
      <c r="F2421"/>
      <c r="G2421" s="12"/>
      <c r="H2421" s="12"/>
      <c r="I2421" s="12"/>
      <c r="J2421" s="12"/>
    </row>
    <row r="2422" spans="5:10" x14ac:dyDescent="0.25">
      <c r="E2422"/>
      <c r="F2422"/>
      <c r="G2422" s="12"/>
      <c r="H2422" s="12"/>
      <c r="I2422" s="12"/>
      <c r="J2422" s="12"/>
    </row>
    <row r="2423" spans="5:10" x14ac:dyDescent="0.25">
      <c r="E2423"/>
      <c r="F2423"/>
      <c r="G2423" s="12"/>
      <c r="H2423" s="12"/>
      <c r="I2423" s="12"/>
      <c r="J2423" s="12"/>
    </row>
    <row r="2424" spans="5:10" x14ac:dyDescent="0.25">
      <c r="E2424"/>
      <c r="F2424"/>
      <c r="G2424" s="12"/>
      <c r="H2424" s="12"/>
      <c r="I2424" s="12"/>
      <c r="J2424" s="12"/>
    </row>
    <row r="2425" spans="5:10" x14ac:dyDescent="0.25">
      <c r="E2425"/>
      <c r="F2425"/>
      <c r="G2425" s="12"/>
      <c r="H2425" s="12"/>
      <c r="I2425" s="12"/>
      <c r="J2425" s="12"/>
    </row>
    <row r="2426" spans="5:10" x14ac:dyDescent="0.25">
      <c r="E2426"/>
      <c r="F2426"/>
      <c r="G2426" s="12"/>
      <c r="H2426" s="12"/>
      <c r="I2426" s="12"/>
      <c r="J2426" s="12"/>
    </row>
    <row r="2427" spans="5:10" x14ac:dyDescent="0.25">
      <c r="E2427"/>
      <c r="F2427"/>
      <c r="G2427" s="12"/>
      <c r="H2427" s="12"/>
      <c r="I2427" s="12"/>
      <c r="J2427" s="12"/>
    </row>
    <row r="2428" spans="5:10" x14ac:dyDescent="0.25">
      <c r="E2428"/>
      <c r="F2428"/>
      <c r="G2428" s="12"/>
      <c r="H2428" s="12"/>
      <c r="I2428" s="12"/>
      <c r="J2428" s="12"/>
    </row>
    <row r="2429" spans="5:10" x14ac:dyDescent="0.25">
      <c r="E2429"/>
      <c r="F2429"/>
      <c r="G2429" s="12"/>
      <c r="H2429" s="12"/>
      <c r="I2429" s="12"/>
      <c r="J2429" s="12"/>
    </row>
    <row r="2430" spans="5:10" x14ac:dyDescent="0.25">
      <c r="E2430"/>
      <c r="F2430"/>
      <c r="G2430" s="12"/>
      <c r="H2430" s="12"/>
      <c r="I2430" s="12"/>
      <c r="J2430" s="12"/>
    </row>
    <row r="2431" spans="5:10" x14ac:dyDescent="0.25">
      <c r="E2431"/>
      <c r="F2431"/>
      <c r="G2431" s="12"/>
      <c r="H2431" s="12"/>
      <c r="I2431" s="12"/>
      <c r="J2431" s="12"/>
    </row>
    <row r="2432" spans="5:10" x14ac:dyDescent="0.25">
      <c r="E2432"/>
      <c r="F2432"/>
      <c r="G2432" s="12"/>
      <c r="H2432" s="12"/>
      <c r="I2432" s="12"/>
      <c r="J2432" s="12"/>
    </row>
    <row r="2433" spans="5:10" x14ac:dyDescent="0.25">
      <c r="E2433"/>
      <c r="F2433"/>
      <c r="G2433" s="12"/>
      <c r="H2433" s="12"/>
      <c r="I2433" s="12"/>
      <c r="J2433" s="12"/>
    </row>
    <row r="2434" spans="5:10" x14ac:dyDescent="0.25">
      <c r="E2434"/>
      <c r="F2434"/>
      <c r="G2434" s="12"/>
      <c r="H2434" s="12"/>
      <c r="I2434" s="12"/>
      <c r="J2434" s="12"/>
    </row>
    <row r="2435" spans="5:10" x14ac:dyDescent="0.25">
      <c r="E2435"/>
      <c r="F2435"/>
      <c r="G2435" s="12"/>
      <c r="H2435" s="12"/>
      <c r="I2435" s="12"/>
      <c r="J2435" s="12"/>
    </row>
    <row r="2436" spans="5:10" x14ac:dyDescent="0.25">
      <c r="E2436"/>
      <c r="F2436"/>
      <c r="G2436" s="12"/>
      <c r="H2436" s="12"/>
      <c r="I2436" s="12"/>
      <c r="J2436" s="12"/>
    </row>
    <row r="2437" spans="5:10" x14ac:dyDescent="0.25">
      <c r="E2437"/>
      <c r="F2437"/>
      <c r="G2437" s="12"/>
      <c r="H2437" s="12"/>
      <c r="I2437" s="12"/>
      <c r="J2437" s="12"/>
    </row>
    <row r="2438" spans="5:10" x14ac:dyDescent="0.25">
      <c r="E2438"/>
      <c r="F2438"/>
      <c r="G2438" s="12"/>
      <c r="H2438" s="12"/>
      <c r="I2438" s="12"/>
      <c r="J2438" s="12"/>
    </row>
    <row r="2439" spans="5:10" x14ac:dyDescent="0.25">
      <c r="E2439"/>
      <c r="F2439"/>
      <c r="G2439" s="12"/>
      <c r="H2439" s="12"/>
      <c r="I2439" s="12"/>
      <c r="J2439" s="12"/>
    </row>
    <row r="2440" spans="5:10" x14ac:dyDescent="0.25">
      <c r="E2440"/>
      <c r="F2440"/>
      <c r="G2440" s="12"/>
      <c r="H2440" s="12"/>
      <c r="I2440" s="12"/>
      <c r="J2440" s="12"/>
    </row>
    <row r="2441" spans="5:10" x14ac:dyDescent="0.25">
      <c r="E2441"/>
      <c r="F2441"/>
      <c r="G2441" s="12"/>
      <c r="H2441" s="12"/>
      <c r="I2441" s="12"/>
      <c r="J2441" s="12"/>
    </row>
    <row r="2442" spans="5:10" x14ac:dyDescent="0.25">
      <c r="E2442"/>
      <c r="F2442"/>
      <c r="G2442" s="12"/>
      <c r="H2442" s="12"/>
      <c r="I2442" s="12"/>
      <c r="J2442" s="12"/>
    </row>
    <row r="2443" spans="5:10" x14ac:dyDescent="0.25">
      <c r="E2443"/>
      <c r="F2443"/>
      <c r="G2443" s="12"/>
      <c r="H2443" s="12"/>
      <c r="I2443" s="12"/>
      <c r="J2443" s="12"/>
    </row>
    <row r="2444" spans="5:10" x14ac:dyDescent="0.25">
      <c r="E2444"/>
      <c r="F2444"/>
      <c r="G2444" s="12"/>
      <c r="H2444" s="12"/>
      <c r="I2444" s="12"/>
      <c r="J2444" s="12"/>
    </row>
    <row r="2445" spans="5:10" x14ac:dyDescent="0.25">
      <c r="E2445"/>
      <c r="F2445"/>
      <c r="G2445" s="12"/>
      <c r="H2445" s="12"/>
      <c r="I2445" s="12"/>
      <c r="J2445" s="12"/>
    </row>
    <row r="2446" spans="5:10" x14ac:dyDescent="0.25">
      <c r="E2446"/>
      <c r="F2446"/>
      <c r="G2446" s="12"/>
      <c r="H2446" s="12"/>
      <c r="I2446" s="12"/>
      <c r="J2446" s="12"/>
    </row>
    <row r="2447" spans="5:10" x14ac:dyDescent="0.25">
      <c r="E2447"/>
      <c r="F2447"/>
      <c r="G2447" s="12"/>
      <c r="H2447" s="12"/>
      <c r="I2447" s="12"/>
      <c r="J2447" s="12"/>
    </row>
    <row r="2448" spans="5:10" x14ac:dyDescent="0.25">
      <c r="E2448"/>
      <c r="F2448"/>
      <c r="G2448" s="12"/>
      <c r="H2448" s="12"/>
      <c r="I2448" s="12"/>
      <c r="J2448" s="12"/>
    </row>
    <row r="2449" spans="5:10" x14ac:dyDescent="0.25">
      <c r="E2449"/>
      <c r="F2449"/>
      <c r="G2449" s="12"/>
      <c r="H2449" s="12"/>
      <c r="I2449" s="12"/>
      <c r="J2449" s="12"/>
    </row>
    <row r="2450" spans="5:10" x14ac:dyDescent="0.25">
      <c r="E2450"/>
      <c r="F2450"/>
      <c r="G2450" s="12"/>
      <c r="H2450" s="12"/>
      <c r="I2450" s="12"/>
      <c r="J2450" s="12"/>
    </row>
    <row r="2451" spans="5:10" x14ac:dyDescent="0.25">
      <c r="E2451"/>
      <c r="F2451"/>
      <c r="G2451" s="12"/>
      <c r="H2451" s="12"/>
      <c r="I2451" s="12"/>
      <c r="J2451" s="12"/>
    </row>
    <row r="2452" spans="5:10" x14ac:dyDescent="0.25">
      <c r="E2452"/>
      <c r="F2452"/>
      <c r="G2452" s="12"/>
      <c r="H2452" s="12"/>
      <c r="I2452" s="12"/>
      <c r="J2452" s="12"/>
    </row>
    <row r="2453" spans="5:10" x14ac:dyDescent="0.25">
      <c r="E2453"/>
      <c r="F2453"/>
      <c r="G2453" s="12"/>
      <c r="H2453" s="12"/>
      <c r="I2453" s="12"/>
      <c r="J2453" s="12"/>
    </row>
    <row r="2454" spans="5:10" x14ac:dyDescent="0.25">
      <c r="E2454"/>
      <c r="F2454"/>
      <c r="G2454" s="12"/>
      <c r="H2454" s="12"/>
      <c r="I2454" s="12"/>
      <c r="J2454" s="12"/>
    </row>
    <row r="2455" spans="5:10" x14ac:dyDescent="0.25">
      <c r="E2455"/>
      <c r="F2455"/>
      <c r="G2455" s="12"/>
      <c r="H2455" s="12"/>
      <c r="I2455" s="12"/>
      <c r="J2455" s="12"/>
    </row>
    <row r="2456" spans="5:10" x14ac:dyDescent="0.25">
      <c r="E2456"/>
      <c r="F2456"/>
      <c r="G2456" s="12"/>
      <c r="H2456" s="12"/>
      <c r="I2456" s="12"/>
      <c r="J2456" s="12"/>
    </row>
    <row r="2457" spans="5:10" x14ac:dyDescent="0.25">
      <c r="E2457"/>
      <c r="F2457"/>
      <c r="G2457" s="12"/>
      <c r="H2457" s="12"/>
      <c r="I2457" s="12"/>
      <c r="J2457" s="12"/>
    </row>
    <row r="2458" spans="5:10" x14ac:dyDescent="0.25">
      <c r="E2458"/>
      <c r="F2458"/>
      <c r="G2458" s="12"/>
      <c r="H2458" s="12"/>
      <c r="I2458" s="12"/>
      <c r="J2458" s="12"/>
    </row>
    <row r="2459" spans="5:10" x14ac:dyDescent="0.25">
      <c r="E2459"/>
      <c r="F2459"/>
      <c r="G2459" s="12"/>
      <c r="H2459" s="12"/>
      <c r="I2459" s="12"/>
      <c r="J2459" s="12"/>
    </row>
    <row r="2460" spans="5:10" x14ac:dyDescent="0.25">
      <c r="E2460"/>
      <c r="F2460"/>
      <c r="G2460" s="12"/>
      <c r="H2460" s="12"/>
      <c r="I2460" s="12"/>
      <c r="J2460" s="12"/>
    </row>
    <row r="2461" spans="5:10" x14ac:dyDescent="0.25">
      <c r="E2461"/>
      <c r="F2461"/>
      <c r="G2461" s="12"/>
      <c r="H2461" s="12"/>
      <c r="I2461" s="12"/>
      <c r="J2461" s="12"/>
    </row>
    <row r="2462" spans="5:10" x14ac:dyDescent="0.25">
      <c r="E2462"/>
      <c r="F2462"/>
      <c r="G2462" s="12"/>
      <c r="H2462" s="12"/>
      <c r="I2462" s="12"/>
      <c r="J2462" s="12"/>
    </row>
    <row r="2463" spans="5:10" x14ac:dyDescent="0.25">
      <c r="E2463"/>
      <c r="F2463"/>
      <c r="G2463" s="12"/>
      <c r="H2463" s="12"/>
      <c r="I2463" s="12"/>
      <c r="J2463" s="12"/>
    </row>
    <row r="2464" spans="5:10" x14ac:dyDescent="0.25">
      <c r="E2464"/>
      <c r="F2464"/>
      <c r="G2464" s="12"/>
      <c r="H2464" s="12"/>
      <c r="I2464" s="12"/>
      <c r="J2464" s="12"/>
    </row>
    <row r="2465" spans="5:10" x14ac:dyDescent="0.25">
      <c r="E2465"/>
      <c r="F2465"/>
      <c r="G2465" s="12"/>
      <c r="H2465" s="12"/>
      <c r="I2465" s="12"/>
      <c r="J2465" s="12"/>
    </row>
    <row r="2466" spans="5:10" x14ac:dyDescent="0.25">
      <c r="E2466"/>
      <c r="F2466"/>
      <c r="G2466" s="12"/>
      <c r="H2466" s="12"/>
      <c r="I2466" s="12"/>
      <c r="J2466" s="12"/>
    </row>
    <row r="2467" spans="5:10" x14ac:dyDescent="0.25">
      <c r="E2467"/>
      <c r="F2467"/>
      <c r="G2467" s="12"/>
      <c r="H2467" s="12"/>
      <c r="I2467" s="12"/>
      <c r="J2467" s="12"/>
    </row>
    <row r="2468" spans="5:10" x14ac:dyDescent="0.25">
      <c r="E2468"/>
      <c r="F2468"/>
      <c r="G2468" s="12"/>
      <c r="H2468" s="12"/>
      <c r="I2468" s="12"/>
      <c r="J2468" s="12"/>
    </row>
    <row r="2469" spans="5:10" x14ac:dyDescent="0.25">
      <c r="E2469"/>
      <c r="F2469"/>
      <c r="G2469" s="12"/>
      <c r="H2469" s="12"/>
      <c r="I2469" s="12"/>
      <c r="J2469" s="12"/>
    </row>
    <row r="2470" spans="5:10" x14ac:dyDescent="0.25">
      <c r="E2470"/>
      <c r="F2470"/>
      <c r="G2470" s="12"/>
      <c r="H2470" s="12"/>
      <c r="I2470" s="12"/>
      <c r="J2470" s="12"/>
    </row>
    <row r="2471" spans="5:10" x14ac:dyDescent="0.25">
      <c r="E2471"/>
      <c r="F2471"/>
      <c r="G2471" s="12"/>
      <c r="H2471" s="12"/>
      <c r="I2471" s="12"/>
      <c r="J2471" s="12"/>
    </row>
    <row r="2472" spans="5:10" x14ac:dyDescent="0.25">
      <c r="E2472"/>
      <c r="F2472"/>
      <c r="G2472" s="12"/>
      <c r="H2472" s="12"/>
      <c r="I2472" s="12"/>
      <c r="J2472" s="12"/>
    </row>
    <row r="2473" spans="5:10" x14ac:dyDescent="0.25">
      <c r="E2473"/>
      <c r="F2473"/>
      <c r="G2473" s="12"/>
      <c r="H2473" s="12"/>
      <c r="I2473" s="12"/>
      <c r="J2473" s="12"/>
    </row>
    <row r="2474" spans="5:10" x14ac:dyDescent="0.25">
      <c r="E2474"/>
      <c r="F2474"/>
      <c r="G2474" s="12"/>
      <c r="H2474" s="12"/>
      <c r="I2474" s="12"/>
      <c r="J2474" s="12"/>
    </row>
    <row r="2475" spans="5:10" x14ac:dyDescent="0.25">
      <c r="E2475"/>
      <c r="F2475"/>
      <c r="G2475" s="12"/>
      <c r="H2475" s="12"/>
      <c r="I2475" s="12"/>
      <c r="J2475" s="12"/>
    </row>
    <row r="2476" spans="5:10" x14ac:dyDescent="0.25">
      <c r="E2476"/>
      <c r="F2476"/>
      <c r="G2476" s="12"/>
      <c r="H2476" s="12"/>
      <c r="I2476" s="12"/>
      <c r="J2476" s="12"/>
    </row>
    <row r="2477" spans="5:10" x14ac:dyDescent="0.25">
      <c r="E2477"/>
      <c r="F2477"/>
      <c r="G2477" s="12"/>
      <c r="H2477" s="12"/>
      <c r="I2477" s="12"/>
      <c r="J2477" s="12"/>
    </row>
    <row r="2478" spans="5:10" x14ac:dyDescent="0.25">
      <c r="E2478"/>
      <c r="F2478"/>
      <c r="G2478" s="12"/>
      <c r="H2478" s="12"/>
      <c r="I2478" s="12"/>
      <c r="J2478" s="12"/>
    </row>
    <row r="2479" spans="5:10" x14ac:dyDescent="0.25">
      <c r="E2479"/>
      <c r="F2479"/>
      <c r="G2479" s="12"/>
      <c r="H2479" s="12"/>
      <c r="I2479" s="12"/>
      <c r="J2479" s="12"/>
    </row>
    <row r="2480" spans="5:10" x14ac:dyDescent="0.25">
      <c r="E2480"/>
      <c r="F2480"/>
      <c r="G2480" s="12"/>
      <c r="H2480" s="12"/>
      <c r="I2480" s="12"/>
      <c r="J2480" s="12"/>
    </row>
    <row r="2481" spans="5:10" x14ac:dyDescent="0.25">
      <c r="E2481"/>
      <c r="F2481"/>
      <c r="G2481" s="12"/>
      <c r="H2481" s="12"/>
      <c r="I2481" s="12"/>
      <c r="J2481" s="12"/>
    </row>
    <row r="2482" spans="5:10" x14ac:dyDescent="0.25">
      <c r="E2482"/>
      <c r="F2482"/>
      <c r="G2482" s="12"/>
      <c r="H2482" s="12"/>
      <c r="I2482" s="12"/>
      <c r="J2482" s="12"/>
    </row>
    <row r="2483" spans="5:10" x14ac:dyDescent="0.25">
      <c r="E2483"/>
      <c r="F2483"/>
      <c r="G2483" s="12"/>
      <c r="H2483" s="12"/>
      <c r="I2483" s="12"/>
      <c r="J2483" s="12"/>
    </row>
    <row r="2484" spans="5:10" x14ac:dyDescent="0.25">
      <c r="E2484"/>
      <c r="F2484"/>
      <c r="G2484" s="12"/>
      <c r="H2484" s="12"/>
      <c r="I2484" s="12"/>
      <c r="J2484" s="12"/>
    </row>
    <row r="2485" spans="5:10" x14ac:dyDescent="0.25">
      <c r="E2485"/>
      <c r="F2485"/>
      <c r="G2485" s="12"/>
      <c r="H2485" s="12"/>
      <c r="I2485" s="12"/>
      <c r="J2485" s="12"/>
    </row>
    <row r="2486" spans="5:10" x14ac:dyDescent="0.25">
      <c r="E2486"/>
      <c r="F2486"/>
      <c r="G2486" s="12"/>
      <c r="H2486" s="12"/>
      <c r="I2486" s="12"/>
      <c r="J2486" s="12"/>
    </row>
    <row r="2487" spans="5:10" x14ac:dyDescent="0.25">
      <c r="E2487"/>
      <c r="F2487"/>
      <c r="G2487" s="12"/>
      <c r="H2487" s="12"/>
      <c r="I2487" s="12"/>
      <c r="J2487" s="12"/>
    </row>
    <row r="2488" spans="5:10" x14ac:dyDescent="0.25">
      <c r="E2488"/>
      <c r="F2488"/>
      <c r="G2488" s="12"/>
      <c r="H2488" s="12"/>
      <c r="I2488" s="12"/>
      <c r="J2488" s="12"/>
    </row>
    <row r="2489" spans="5:10" x14ac:dyDescent="0.25">
      <c r="E2489"/>
      <c r="F2489"/>
      <c r="G2489" s="12"/>
      <c r="H2489" s="12"/>
      <c r="I2489" s="12"/>
      <c r="J2489" s="12"/>
    </row>
    <row r="2490" spans="5:10" x14ac:dyDescent="0.25">
      <c r="E2490"/>
      <c r="F2490"/>
      <c r="G2490" s="12"/>
      <c r="H2490" s="12"/>
      <c r="I2490" s="12"/>
      <c r="J2490" s="12"/>
    </row>
    <row r="2491" spans="5:10" x14ac:dyDescent="0.25">
      <c r="E2491"/>
      <c r="F2491"/>
      <c r="G2491" s="12"/>
      <c r="H2491" s="12"/>
      <c r="I2491" s="12"/>
      <c r="J2491" s="12"/>
    </row>
    <row r="2492" spans="5:10" x14ac:dyDescent="0.25">
      <c r="E2492"/>
      <c r="F2492"/>
      <c r="G2492" s="12"/>
      <c r="H2492" s="12"/>
      <c r="I2492" s="12"/>
      <c r="J2492" s="12"/>
    </row>
    <row r="2493" spans="5:10" x14ac:dyDescent="0.25">
      <c r="E2493"/>
      <c r="F2493"/>
      <c r="G2493" s="12"/>
      <c r="H2493" s="12"/>
      <c r="I2493" s="12"/>
      <c r="J2493" s="12"/>
    </row>
    <row r="2494" spans="5:10" x14ac:dyDescent="0.25">
      <c r="E2494"/>
      <c r="F2494"/>
      <c r="G2494" s="12"/>
      <c r="H2494" s="12"/>
      <c r="I2494" s="12"/>
      <c r="J2494" s="12"/>
    </row>
    <row r="2495" spans="5:10" x14ac:dyDescent="0.25">
      <c r="E2495"/>
      <c r="F2495"/>
      <c r="G2495" s="12"/>
      <c r="H2495" s="12"/>
      <c r="I2495" s="12"/>
      <c r="J2495" s="12"/>
    </row>
    <row r="2496" spans="5:10" x14ac:dyDescent="0.25">
      <c r="E2496"/>
      <c r="F2496"/>
      <c r="G2496" s="12"/>
      <c r="H2496" s="12"/>
      <c r="I2496" s="12"/>
      <c r="J2496" s="12"/>
    </row>
    <row r="2497" spans="5:10" x14ac:dyDescent="0.25">
      <c r="E2497"/>
      <c r="F2497"/>
      <c r="G2497" s="12"/>
      <c r="H2497" s="12"/>
      <c r="I2497" s="12"/>
      <c r="J2497" s="12"/>
    </row>
    <row r="2498" spans="5:10" x14ac:dyDescent="0.25">
      <c r="E2498"/>
      <c r="F2498"/>
      <c r="G2498" s="12"/>
      <c r="H2498" s="12"/>
      <c r="I2498" s="12"/>
      <c r="J2498" s="12"/>
    </row>
    <row r="2499" spans="5:10" x14ac:dyDescent="0.25">
      <c r="E2499"/>
      <c r="F2499"/>
      <c r="G2499" s="12"/>
      <c r="H2499" s="12"/>
      <c r="I2499" s="12"/>
      <c r="J2499" s="12"/>
    </row>
    <row r="2500" spans="5:10" x14ac:dyDescent="0.25">
      <c r="E2500"/>
      <c r="F2500"/>
      <c r="G2500" s="12"/>
      <c r="H2500" s="12"/>
      <c r="I2500" s="12"/>
      <c r="J2500" s="12"/>
    </row>
    <row r="2501" spans="5:10" x14ac:dyDescent="0.25">
      <c r="E2501"/>
      <c r="F2501"/>
      <c r="G2501" s="12"/>
      <c r="H2501" s="12"/>
      <c r="I2501" s="12"/>
      <c r="J2501" s="12"/>
    </row>
    <row r="2502" spans="5:10" x14ac:dyDescent="0.25">
      <c r="E2502"/>
      <c r="F2502"/>
      <c r="G2502" s="12"/>
      <c r="H2502" s="12"/>
      <c r="I2502" s="12"/>
      <c r="J2502" s="12"/>
    </row>
    <row r="2503" spans="5:10" x14ac:dyDescent="0.25">
      <c r="E2503"/>
      <c r="F2503"/>
      <c r="G2503" s="12"/>
      <c r="H2503" s="12"/>
      <c r="I2503" s="12"/>
      <c r="J2503" s="12"/>
    </row>
    <row r="2504" spans="5:10" x14ac:dyDescent="0.25">
      <c r="E2504"/>
      <c r="F2504"/>
      <c r="G2504" s="12"/>
      <c r="H2504" s="12"/>
      <c r="I2504" s="12"/>
      <c r="J2504" s="12"/>
    </row>
    <row r="2505" spans="5:10" x14ac:dyDescent="0.25">
      <c r="E2505"/>
      <c r="F2505"/>
      <c r="G2505" s="12"/>
      <c r="H2505" s="12"/>
      <c r="I2505" s="12"/>
      <c r="J2505" s="12"/>
    </row>
    <row r="2506" spans="5:10" x14ac:dyDescent="0.25">
      <c r="E2506"/>
      <c r="F2506"/>
      <c r="G2506" s="12"/>
      <c r="H2506" s="12"/>
      <c r="I2506" s="12"/>
      <c r="J2506" s="12"/>
    </row>
    <row r="2507" spans="5:10" x14ac:dyDescent="0.25">
      <c r="E2507"/>
      <c r="F2507"/>
      <c r="G2507" s="12"/>
      <c r="H2507" s="12"/>
      <c r="I2507" s="12"/>
      <c r="J2507" s="12"/>
    </row>
    <row r="2508" spans="5:10" x14ac:dyDescent="0.25">
      <c r="E2508"/>
      <c r="F2508"/>
      <c r="G2508" s="12"/>
      <c r="H2508" s="12"/>
      <c r="I2508" s="12"/>
      <c r="J2508" s="12"/>
    </row>
    <row r="2509" spans="5:10" x14ac:dyDescent="0.25">
      <c r="E2509"/>
      <c r="F2509"/>
      <c r="G2509" s="12"/>
      <c r="H2509" s="12"/>
      <c r="I2509" s="12"/>
      <c r="J2509" s="12"/>
    </row>
    <row r="2510" spans="5:10" x14ac:dyDescent="0.25">
      <c r="E2510"/>
      <c r="F2510"/>
      <c r="G2510" s="12"/>
      <c r="H2510" s="12"/>
      <c r="I2510" s="12"/>
      <c r="J2510" s="12"/>
    </row>
    <row r="2511" spans="5:10" x14ac:dyDescent="0.25">
      <c r="E2511"/>
      <c r="F2511"/>
      <c r="G2511" s="12"/>
      <c r="H2511" s="12"/>
      <c r="I2511" s="12"/>
      <c r="J2511" s="12"/>
    </row>
    <row r="2512" spans="5:10" x14ac:dyDescent="0.25">
      <c r="E2512"/>
      <c r="F2512"/>
      <c r="G2512" s="12"/>
      <c r="H2512" s="12"/>
      <c r="I2512" s="12"/>
      <c r="J2512" s="12"/>
    </row>
    <row r="2513" spans="5:10" x14ac:dyDescent="0.25">
      <c r="E2513"/>
      <c r="F2513"/>
      <c r="G2513" s="12"/>
      <c r="H2513" s="12"/>
      <c r="I2513" s="12"/>
      <c r="J2513" s="12"/>
    </row>
    <row r="2514" spans="5:10" x14ac:dyDescent="0.25">
      <c r="E2514"/>
      <c r="F2514"/>
      <c r="G2514" s="12"/>
      <c r="H2514" s="12"/>
      <c r="I2514" s="12"/>
      <c r="J2514" s="12"/>
    </row>
    <row r="2515" spans="5:10" x14ac:dyDescent="0.25">
      <c r="E2515"/>
      <c r="F2515"/>
      <c r="G2515" s="12"/>
      <c r="H2515" s="12"/>
      <c r="I2515" s="12"/>
      <c r="J2515" s="12"/>
    </row>
    <row r="2516" spans="5:10" x14ac:dyDescent="0.25">
      <c r="E2516"/>
      <c r="F2516"/>
      <c r="G2516" s="12"/>
      <c r="H2516" s="12"/>
      <c r="I2516" s="12"/>
      <c r="J2516" s="12"/>
    </row>
    <row r="2517" spans="5:10" x14ac:dyDescent="0.25">
      <c r="E2517"/>
      <c r="F2517"/>
      <c r="G2517" s="12"/>
      <c r="H2517" s="12"/>
      <c r="I2517" s="12"/>
      <c r="J2517" s="12"/>
    </row>
    <row r="2518" spans="5:10" x14ac:dyDescent="0.25">
      <c r="E2518"/>
      <c r="F2518"/>
      <c r="G2518" s="12"/>
      <c r="H2518" s="12"/>
      <c r="I2518" s="12"/>
      <c r="J2518" s="12"/>
    </row>
    <row r="2519" spans="5:10" x14ac:dyDescent="0.25">
      <c r="E2519"/>
      <c r="F2519"/>
      <c r="G2519" s="12"/>
      <c r="H2519" s="12"/>
      <c r="I2519" s="12"/>
      <c r="J2519" s="12"/>
    </row>
    <row r="2520" spans="5:10" x14ac:dyDescent="0.25">
      <c r="E2520"/>
      <c r="F2520"/>
      <c r="G2520" s="12"/>
      <c r="H2520" s="12"/>
      <c r="I2520" s="12"/>
      <c r="J2520" s="12"/>
    </row>
    <row r="2521" spans="5:10" x14ac:dyDescent="0.25">
      <c r="E2521"/>
      <c r="F2521"/>
      <c r="G2521" s="12"/>
      <c r="H2521" s="12"/>
      <c r="I2521" s="12"/>
      <c r="J2521" s="12"/>
    </row>
    <row r="2522" spans="5:10" x14ac:dyDescent="0.25">
      <c r="E2522"/>
      <c r="F2522"/>
      <c r="G2522" s="12"/>
      <c r="H2522" s="12"/>
      <c r="I2522" s="12"/>
      <c r="J2522" s="12"/>
    </row>
    <row r="2523" spans="5:10" x14ac:dyDescent="0.25">
      <c r="E2523"/>
      <c r="F2523"/>
      <c r="G2523" s="12"/>
      <c r="H2523" s="12"/>
      <c r="I2523" s="12"/>
      <c r="J2523" s="12"/>
    </row>
    <row r="2524" spans="5:10" x14ac:dyDescent="0.25">
      <c r="E2524"/>
      <c r="F2524"/>
      <c r="G2524" s="12"/>
      <c r="H2524" s="12"/>
      <c r="I2524" s="12"/>
      <c r="J2524" s="12"/>
    </row>
    <row r="2525" spans="5:10" x14ac:dyDescent="0.25">
      <c r="E2525"/>
      <c r="F2525"/>
      <c r="G2525" s="12"/>
      <c r="H2525" s="12"/>
      <c r="I2525" s="12"/>
      <c r="J2525" s="12"/>
    </row>
    <row r="2526" spans="5:10" x14ac:dyDescent="0.25">
      <c r="E2526"/>
      <c r="F2526"/>
      <c r="G2526" s="12"/>
      <c r="H2526" s="12"/>
      <c r="I2526" s="12"/>
      <c r="J2526" s="12"/>
    </row>
    <row r="2527" spans="5:10" x14ac:dyDescent="0.25">
      <c r="E2527"/>
      <c r="F2527"/>
      <c r="G2527" s="12"/>
      <c r="H2527" s="12"/>
      <c r="I2527" s="12"/>
      <c r="J2527" s="12"/>
    </row>
    <row r="2528" spans="5:10" x14ac:dyDescent="0.25">
      <c r="E2528"/>
      <c r="F2528"/>
      <c r="G2528" s="12"/>
      <c r="H2528" s="12"/>
      <c r="I2528" s="12"/>
      <c r="J2528" s="12"/>
    </row>
    <row r="2529" spans="5:10" x14ac:dyDescent="0.25">
      <c r="E2529"/>
      <c r="F2529"/>
      <c r="G2529" s="12"/>
      <c r="H2529" s="12"/>
      <c r="I2529" s="12"/>
      <c r="J2529" s="12"/>
    </row>
    <row r="2530" spans="5:10" x14ac:dyDescent="0.25">
      <c r="E2530"/>
      <c r="F2530"/>
      <c r="G2530" s="12"/>
      <c r="H2530" s="12"/>
      <c r="I2530" s="12"/>
      <c r="J2530" s="12"/>
    </row>
    <row r="2531" spans="5:10" x14ac:dyDescent="0.25">
      <c r="E2531"/>
      <c r="F2531"/>
      <c r="G2531" s="12"/>
      <c r="H2531" s="12"/>
      <c r="I2531" s="12"/>
      <c r="J2531" s="12"/>
    </row>
    <row r="2532" spans="5:10" x14ac:dyDescent="0.25">
      <c r="E2532"/>
      <c r="F2532"/>
      <c r="G2532" s="12"/>
      <c r="H2532" s="12"/>
      <c r="I2532" s="12"/>
      <c r="J2532" s="12"/>
    </row>
    <row r="2533" spans="5:10" x14ac:dyDescent="0.25">
      <c r="E2533"/>
      <c r="F2533"/>
      <c r="G2533" s="12"/>
      <c r="H2533" s="12"/>
      <c r="I2533" s="12"/>
      <c r="J2533" s="12"/>
    </row>
    <row r="2534" spans="5:10" x14ac:dyDescent="0.25">
      <c r="E2534"/>
      <c r="F2534"/>
      <c r="G2534" s="12"/>
      <c r="H2534" s="12"/>
      <c r="I2534" s="12"/>
      <c r="J2534" s="12"/>
    </row>
    <row r="2535" spans="5:10" x14ac:dyDescent="0.25">
      <c r="E2535"/>
      <c r="F2535"/>
      <c r="G2535" s="12"/>
      <c r="H2535" s="12"/>
      <c r="I2535" s="12"/>
      <c r="J2535" s="12"/>
    </row>
    <row r="2536" spans="5:10" x14ac:dyDescent="0.25">
      <c r="E2536"/>
      <c r="F2536"/>
      <c r="G2536" s="12"/>
      <c r="H2536" s="12"/>
      <c r="I2536" s="12"/>
      <c r="J2536" s="12"/>
    </row>
    <row r="2537" spans="5:10" x14ac:dyDescent="0.25">
      <c r="E2537"/>
      <c r="F2537"/>
      <c r="G2537" s="12"/>
      <c r="H2537" s="12"/>
      <c r="I2537" s="12"/>
      <c r="J2537" s="12"/>
    </row>
    <row r="2538" spans="5:10" x14ac:dyDescent="0.25">
      <c r="E2538"/>
      <c r="F2538"/>
      <c r="G2538" s="12"/>
      <c r="H2538" s="12"/>
      <c r="I2538" s="12"/>
      <c r="J2538" s="12"/>
    </row>
    <row r="2539" spans="5:10" x14ac:dyDescent="0.25">
      <c r="E2539"/>
      <c r="F2539"/>
      <c r="G2539" s="12"/>
      <c r="H2539" s="12"/>
      <c r="I2539" s="12"/>
      <c r="J2539" s="12"/>
    </row>
    <row r="2540" spans="5:10" x14ac:dyDescent="0.25">
      <c r="E2540"/>
      <c r="F2540"/>
      <c r="G2540" s="12"/>
      <c r="H2540" s="12"/>
      <c r="I2540" s="12"/>
      <c r="J2540" s="12"/>
    </row>
    <row r="2541" spans="5:10" x14ac:dyDescent="0.25">
      <c r="E2541"/>
      <c r="F2541"/>
      <c r="G2541" s="12"/>
      <c r="H2541" s="12"/>
      <c r="I2541" s="12"/>
      <c r="J2541" s="12"/>
    </row>
    <row r="2542" spans="5:10" x14ac:dyDescent="0.25">
      <c r="E2542"/>
      <c r="F2542"/>
      <c r="G2542" s="12"/>
      <c r="H2542" s="12"/>
      <c r="I2542" s="12"/>
      <c r="J2542" s="12"/>
    </row>
    <row r="2543" spans="5:10" x14ac:dyDescent="0.25">
      <c r="E2543"/>
      <c r="F2543"/>
      <c r="G2543" s="12"/>
      <c r="H2543" s="12"/>
      <c r="I2543" s="12"/>
      <c r="J2543" s="12"/>
    </row>
    <row r="2544" spans="5:10" x14ac:dyDescent="0.25">
      <c r="E2544"/>
      <c r="F2544"/>
      <c r="G2544" s="12"/>
      <c r="H2544" s="12"/>
      <c r="I2544" s="12"/>
      <c r="J2544" s="12"/>
    </row>
    <row r="2545" spans="5:10" x14ac:dyDescent="0.25">
      <c r="E2545"/>
      <c r="F2545"/>
      <c r="G2545" s="12"/>
      <c r="H2545" s="12"/>
      <c r="I2545" s="12"/>
      <c r="J2545" s="12"/>
    </row>
    <row r="2546" spans="5:10" x14ac:dyDescent="0.25">
      <c r="E2546"/>
      <c r="F2546"/>
      <c r="G2546" s="12"/>
      <c r="H2546" s="12"/>
      <c r="I2546" s="12"/>
      <c r="J2546" s="12"/>
    </row>
    <row r="2547" spans="5:10" x14ac:dyDescent="0.25">
      <c r="E2547"/>
      <c r="F2547"/>
      <c r="G2547" s="12"/>
      <c r="H2547" s="12"/>
      <c r="I2547" s="12"/>
      <c r="J2547" s="12"/>
    </row>
    <row r="2548" spans="5:10" x14ac:dyDescent="0.25">
      <c r="E2548"/>
      <c r="F2548"/>
      <c r="G2548" s="12"/>
      <c r="H2548" s="12"/>
      <c r="I2548" s="12"/>
      <c r="J2548" s="12"/>
    </row>
    <row r="2549" spans="5:10" x14ac:dyDescent="0.25">
      <c r="E2549"/>
      <c r="F2549"/>
      <c r="G2549" s="12"/>
      <c r="H2549" s="12"/>
      <c r="I2549" s="12"/>
      <c r="J2549" s="12"/>
    </row>
    <row r="2550" spans="5:10" x14ac:dyDescent="0.25">
      <c r="E2550"/>
      <c r="F2550"/>
      <c r="G2550" s="12"/>
      <c r="H2550" s="12"/>
      <c r="I2550" s="12"/>
      <c r="J2550" s="12"/>
    </row>
    <row r="2551" spans="5:10" x14ac:dyDescent="0.25">
      <c r="E2551"/>
      <c r="F2551"/>
      <c r="G2551" s="12"/>
      <c r="H2551" s="12"/>
      <c r="I2551" s="12"/>
      <c r="J2551" s="12"/>
    </row>
    <row r="2552" spans="5:10" x14ac:dyDescent="0.25">
      <c r="E2552"/>
      <c r="F2552"/>
      <c r="G2552" s="12"/>
      <c r="H2552" s="12"/>
      <c r="I2552" s="12"/>
      <c r="J2552" s="12"/>
    </row>
    <row r="2553" spans="5:10" x14ac:dyDescent="0.25">
      <c r="E2553"/>
      <c r="F2553"/>
      <c r="G2553" s="12"/>
      <c r="H2553" s="12"/>
      <c r="I2553" s="12"/>
      <c r="J2553" s="12"/>
    </row>
    <row r="2554" spans="5:10" x14ac:dyDescent="0.25">
      <c r="E2554"/>
      <c r="F2554"/>
      <c r="G2554" s="12"/>
      <c r="H2554" s="12"/>
      <c r="I2554" s="12"/>
      <c r="J2554" s="12"/>
    </row>
    <row r="2555" spans="5:10" x14ac:dyDescent="0.25">
      <c r="E2555"/>
      <c r="F2555"/>
      <c r="G2555" s="12"/>
      <c r="H2555" s="12"/>
      <c r="I2555" s="12"/>
      <c r="J2555" s="12"/>
    </row>
    <row r="2556" spans="5:10" x14ac:dyDescent="0.25">
      <c r="E2556"/>
      <c r="F2556"/>
      <c r="G2556" s="12"/>
      <c r="H2556" s="12"/>
      <c r="I2556" s="12"/>
      <c r="J2556" s="12"/>
    </row>
    <row r="2557" spans="5:10" x14ac:dyDescent="0.25">
      <c r="E2557"/>
      <c r="F2557"/>
      <c r="G2557" s="12"/>
      <c r="H2557" s="12"/>
      <c r="I2557" s="12"/>
      <c r="J2557" s="12"/>
    </row>
    <row r="2558" spans="5:10" x14ac:dyDescent="0.25">
      <c r="E2558"/>
      <c r="F2558"/>
      <c r="G2558" s="12"/>
      <c r="H2558" s="12"/>
      <c r="I2558" s="12"/>
      <c r="J2558" s="12"/>
    </row>
    <row r="2559" spans="5:10" x14ac:dyDescent="0.25">
      <c r="E2559"/>
      <c r="F2559"/>
      <c r="G2559" s="12"/>
      <c r="H2559" s="12"/>
      <c r="I2559" s="12"/>
      <c r="J2559" s="12"/>
    </row>
    <row r="2560" spans="5:10" x14ac:dyDescent="0.25">
      <c r="E2560"/>
      <c r="F2560"/>
      <c r="G2560" s="12"/>
      <c r="H2560" s="12"/>
      <c r="I2560" s="12"/>
      <c r="J2560" s="12"/>
    </row>
    <row r="2561" spans="5:10" x14ac:dyDescent="0.25">
      <c r="E2561"/>
      <c r="F2561"/>
      <c r="G2561" s="12"/>
      <c r="H2561" s="12"/>
      <c r="I2561" s="12"/>
      <c r="J2561" s="12"/>
    </row>
    <row r="2562" spans="5:10" x14ac:dyDescent="0.25">
      <c r="E2562"/>
      <c r="F2562"/>
      <c r="G2562" s="12"/>
      <c r="H2562" s="12"/>
      <c r="I2562" s="12"/>
      <c r="J2562" s="12"/>
    </row>
    <row r="2563" spans="5:10" x14ac:dyDescent="0.25">
      <c r="E2563"/>
      <c r="F2563"/>
      <c r="G2563" s="12"/>
      <c r="H2563" s="12"/>
      <c r="I2563" s="12"/>
      <c r="J2563" s="12"/>
    </row>
    <row r="2564" spans="5:10" x14ac:dyDescent="0.25">
      <c r="E2564"/>
      <c r="F2564"/>
      <c r="G2564" s="12"/>
      <c r="H2564" s="12"/>
      <c r="I2564" s="12"/>
      <c r="J2564" s="12"/>
    </row>
    <row r="2565" spans="5:10" x14ac:dyDescent="0.25">
      <c r="E2565"/>
      <c r="F2565"/>
      <c r="G2565" s="12"/>
      <c r="H2565" s="12"/>
      <c r="I2565" s="12"/>
      <c r="J2565" s="12"/>
    </row>
    <row r="2566" spans="5:10" x14ac:dyDescent="0.25">
      <c r="E2566"/>
      <c r="F2566"/>
      <c r="G2566" s="12"/>
      <c r="H2566" s="12"/>
      <c r="I2566" s="12"/>
      <c r="J2566" s="12"/>
    </row>
    <row r="2567" spans="5:10" x14ac:dyDescent="0.25">
      <c r="E2567"/>
      <c r="F2567"/>
      <c r="G2567" s="12"/>
      <c r="H2567" s="12"/>
      <c r="I2567" s="12"/>
      <c r="J2567" s="12"/>
    </row>
    <row r="2568" spans="5:10" x14ac:dyDescent="0.25">
      <c r="E2568"/>
      <c r="F2568"/>
      <c r="G2568" s="12"/>
      <c r="H2568" s="12"/>
      <c r="I2568" s="12"/>
      <c r="J2568" s="12"/>
    </row>
    <row r="2569" spans="5:10" x14ac:dyDescent="0.25">
      <c r="E2569"/>
      <c r="F2569"/>
      <c r="G2569" s="12"/>
      <c r="H2569" s="12"/>
      <c r="I2569" s="12"/>
      <c r="J2569" s="12"/>
    </row>
    <row r="2570" spans="5:10" x14ac:dyDescent="0.25">
      <c r="E2570"/>
      <c r="F2570"/>
      <c r="G2570" s="12"/>
      <c r="H2570" s="12"/>
      <c r="I2570" s="12"/>
      <c r="J2570" s="12"/>
    </row>
    <row r="2571" spans="5:10" x14ac:dyDescent="0.25">
      <c r="E2571"/>
      <c r="F2571"/>
      <c r="G2571" s="12"/>
      <c r="H2571" s="12"/>
      <c r="I2571" s="12"/>
      <c r="J2571" s="12"/>
    </row>
    <row r="2572" spans="5:10" x14ac:dyDescent="0.25">
      <c r="E2572"/>
      <c r="F2572"/>
      <c r="G2572" s="12"/>
      <c r="H2572" s="12"/>
      <c r="I2572" s="12"/>
      <c r="J2572" s="12"/>
    </row>
    <row r="2573" spans="5:10" x14ac:dyDescent="0.25">
      <c r="E2573"/>
      <c r="F2573"/>
      <c r="G2573" s="12"/>
      <c r="H2573" s="12"/>
      <c r="I2573" s="12"/>
      <c r="J2573" s="12"/>
    </row>
    <row r="2574" spans="5:10" x14ac:dyDescent="0.25">
      <c r="E2574"/>
      <c r="F2574"/>
      <c r="G2574" s="12"/>
      <c r="H2574" s="12"/>
      <c r="I2574" s="12"/>
      <c r="J2574" s="12"/>
    </row>
    <row r="2575" spans="5:10" x14ac:dyDescent="0.25">
      <c r="E2575"/>
      <c r="F2575"/>
      <c r="G2575" s="12"/>
      <c r="H2575" s="12"/>
      <c r="I2575" s="12"/>
      <c r="J2575" s="12"/>
    </row>
    <row r="2576" spans="5:10" x14ac:dyDescent="0.25">
      <c r="E2576"/>
      <c r="F2576"/>
      <c r="G2576" s="12"/>
      <c r="H2576" s="12"/>
      <c r="I2576" s="12"/>
      <c r="J2576" s="12"/>
    </row>
    <row r="2577" spans="5:10" x14ac:dyDescent="0.25">
      <c r="E2577"/>
      <c r="F2577"/>
      <c r="G2577" s="12"/>
      <c r="H2577" s="12"/>
      <c r="I2577" s="12"/>
      <c r="J2577" s="12"/>
    </row>
    <row r="2578" spans="5:10" x14ac:dyDescent="0.25">
      <c r="E2578"/>
      <c r="F2578"/>
      <c r="G2578" s="12"/>
      <c r="H2578" s="12"/>
      <c r="I2578" s="12"/>
      <c r="J2578" s="12"/>
    </row>
    <row r="2579" spans="5:10" x14ac:dyDescent="0.25">
      <c r="E2579"/>
      <c r="F2579"/>
      <c r="G2579" s="12"/>
      <c r="H2579" s="12"/>
      <c r="I2579" s="12"/>
      <c r="J2579" s="12"/>
    </row>
    <row r="2580" spans="5:10" x14ac:dyDescent="0.25">
      <c r="E2580"/>
      <c r="F2580"/>
      <c r="G2580" s="12"/>
      <c r="H2580" s="12"/>
      <c r="I2580" s="12"/>
      <c r="J2580" s="12"/>
    </row>
    <row r="2581" spans="5:10" x14ac:dyDescent="0.25">
      <c r="E2581"/>
      <c r="F2581"/>
      <c r="G2581" s="12"/>
      <c r="H2581" s="12"/>
      <c r="I2581" s="12"/>
      <c r="J2581" s="12"/>
    </row>
    <row r="2582" spans="5:10" x14ac:dyDescent="0.25">
      <c r="E2582"/>
      <c r="F2582"/>
      <c r="G2582" s="12"/>
      <c r="H2582" s="12"/>
      <c r="I2582" s="12"/>
      <c r="J2582" s="12"/>
    </row>
    <row r="2583" spans="5:10" x14ac:dyDescent="0.25">
      <c r="E2583"/>
      <c r="F2583"/>
      <c r="G2583" s="12"/>
      <c r="H2583" s="12"/>
      <c r="I2583" s="12"/>
      <c r="J2583" s="12"/>
    </row>
    <row r="2584" spans="5:10" x14ac:dyDescent="0.25">
      <c r="E2584"/>
      <c r="F2584"/>
      <c r="G2584" s="12"/>
      <c r="H2584" s="12"/>
      <c r="I2584" s="12"/>
      <c r="J2584" s="12"/>
    </row>
    <row r="2585" spans="5:10" x14ac:dyDescent="0.25">
      <c r="E2585"/>
      <c r="F2585"/>
      <c r="G2585" s="12"/>
      <c r="H2585" s="12"/>
      <c r="I2585" s="12"/>
      <c r="J2585" s="12"/>
    </row>
    <row r="2586" spans="5:10" x14ac:dyDescent="0.25">
      <c r="E2586"/>
      <c r="F2586"/>
      <c r="G2586" s="12"/>
      <c r="H2586" s="12"/>
      <c r="I2586" s="12"/>
      <c r="J2586" s="12"/>
    </row>
    <row r="2587" spans="5:10" x14ac:dyDescent="0.25">
      <c r="E2587"/>
      <c r="F2587"/>
      <c r="G2587" s="12"/>
      <c r="H2587" s="12"/>
      <c r="I2587" s="12"/>
      <c r="J2587" s="12"/>
    </row>
    <row r="2588" spans="5:10" x14ac:dyDescent="0.25">
      <c r="E2588"/>
      <c r="F2588"/>
      <c r="G2588" s="12"/>
      <c r="H2588" s="12"/>
      <c r="I2588" s="12"/>
      <c r="J2588" s="12"/>
    </row>
    <row r="2589" spans="5:10" x14ac:dyDescent="0.25">
      <c r="E2589"/>
      <c r="F2589"/>
      <c r="G2589" s="12"/>
      <c r="H2589" s="12"/>
      <c r="I2589" s="12"/>
      <c r="J2589" s="12"/>
    </row>
    <row r="2590" spans="5:10" x14ac:dyDescent="0.25">
      <c r="E2590"/>
      <c r="F2590"/>
      <c r="G2590" s="12"/>
      <c r="H2590" s="12"/>
      <c r="I2590" s="12"/>
      <c r="J2590" s="12"/>
    </row>
    <row r="2591" spans="5:10" x14ac:dyDescent="0.25">
      <c r="E2591"/>
      <c r="F2591"/>
      <c r="G2591" s="12"/>
      <c r="H2591" s="12"/>
      <c r="I2591" s="12"/>
      <c r="J2591" s="12"/>
    </row>
    <row r="2592" spans="5:10" x14ac:dyDescent="0.25">
      <c r="E2592"/>
      <c r="F2592"/>
      <c r="G2592" s="12"/>
      <c r="H2592" s="12"/>
      <c r="I2592" s="12"/>
      <c r="J2592" s="12"/>
    </row>
    <row r="2593" spans="5:10" x14ac:dyDescent="0.25">
      <c r="E2593"/>
      <c r="F2593"/>
      <c r="G2593" s="12"/>
      <c r="H2593" s="12"/>
      <c r="I2593" s="12"/>
      <c r="J2593" s="12"/>
    </row>
    <row r="2594" spans="5:10" x14ac:dyDescent="0.25">
      <c r="E2594"/>
      <c r="F2594"/>
      <c r="G2594" s="12"/>
      <c r="H2594" s="12"/>
      <c r="I2594" s="12"/>
      <c r="J2594" s="12"/>
    </row>
    <row r="2595" spans="5:10" x14ac:dyDescent="0.25">
      <c r="E2595"/>
      <c r="F2595"/>
      <c r="G2595" s="12"/>
      <c r="H2595" s="12"/>
      <c r="I2595" s="12"/>
      <c r="J2595" s="12"/>
    </row>
    <row r="2596" spans="5:10" x14ac:dyDescent="0.25">
      <c r="E2596"/>
      <c r="F2596"/>
      <c r="G2596" s="12"/>
      <c r="H2596" s="12"/>
      <c r="I2596" s="12"/>
      <c r="J2596" s="12"/>
    </row>
    <row r="2597" spans="5:10" x14ac:dyDescent="0.25">
      <c r="E2597"/>
      <c r="F2597"/>
      <c r="G2597" s="12"/>
      <c r="H2597" s="12"/>
      <c r="I2597" s="12"/>
      <c r="J2597" s="12"/>
    </row>
    <row r="2598" spans="5:10" x14ac:dyDescent="0.25">
      <c r="E2598"/>
      <c r="F2598"/>
      <c r="G2598" s="12"/>
      <c r="H2598" s="12"/>
      <c r="I2598" s="12"/>
      <c r="J2598" s="12"/>
    </row>
    <row r="2599" spans="5:10" x14ac:dyDescent="0.25">
      <c r="E2599"/>
      <c r="F2599"/>
      <c r="G2599" s="12"/>
      <c r="H2599" s="12"/>
      <c r="I2599" s="12"/>
      <c r="J2599" s="12"/>
    </row>
    <row r="2600" spans="5:10" x14ac:dyDescent="0.25">
      <c r="E2600"/>
      <c r="F2600"/>
      <c r="G2600" s="12"/>
      <c r="H2600" s="12"/>
      <c r="I2600" s="12"/>
      <c r="J2600" s="12"/>
    </row>
    <row r="2601" spans="5:10" x14ac:dyDescent="0.25">
      <c r="E2601"/>
      <c r="F2601"/>
      <c r="G2601" s="12"/>
      <c r="H2601" s="12"/>
      <c r="I2601" s="12"/>
      <c r="J2601" s="12"/>
    </row>
    <row r="2602" spans="5:10" x14ac:dyDescent="0.25">
      <c r="E2602"/>
      <c r="F2602"/>
      <c r="G2602" s="12"/>
      <c r="H2602" s="12"/>
      <c r="I2602" s="12"/>
      <c r="J2602" s="12"/>
    </row>
    <row r="2603" spans="5:10" x14ac:dyDescent="0.25">
      <c r="E2603"/>
      <c r="F2603"/>
      <c r="G2603" s="12"/>
      <c r="H2603" s="12"/>
      <c r="I2603" s="12"/>
      <c r="J2603" s="12"/>
    </row>
    <row r="2604" spans="5:10" x14ac:dyDescent="0.25">
      <c r="E2604"/>
      <c r="F2604"/>
      <c r="G2604" s="12"/>
      <c r="H2604" s="12"/>
      <c r="I2604" s="12"/>
      <c r="J2604" s="12"/>
    </row>
    <row r="2605" spans="5:10" x14ac:dyDescent="0.25">
      <c r="E2605"/>
      <c r="F2605"/>
      <c r="G2605" s="12"/>
      <c r="H2605" s="12"/>
      <c r="I2605" s="12"/>
      <c r="J2605" s="12"/>
    </row>
    <row r="2606" spans="5:10" x14ac:dyDescent="0.25">
      <c r="E2606"/>
      <c r="F2606"/>
      <c r="G2606" s="12"/>
      <c r="H2606" s="12"/>
      <c r="I2606" s="12"/>
      <c r="J2606" s="12"/>
    </row>
    <row r="2607" spans="5:10" x14ac:dyDescent="0.25">
      <c r="E2607"/>
      <c r="F2607"/>
      <c r="G2607" s="12"/>
      <c r="H2607" s="12"/>
      <c r="I2607" s="12"/>
      <c r="J2607" s="12"/>
    </row>
    <row r="2608" spans="5:10" x14ac:dyDescent="0.25">
      <c r="E2608"/>
      <c r="F2608"/>
      <c r="G2608" s="12"/>
      <c r="H2608" s="12"/>
      <c r="I2608" s="12"/>
      <c r="J2608" s="12"/>
    </row>
    <row r="2609" spans="5:10" x14ac:dyDescent="0.25">
      <c r="E2609"/>
      <c r="F2609"/>
      <c r="G2609" s="12"/>
      <c r="H2609" s="12"/>
      <c r="I2609" s="12"/>
      <c r="J2609" s="12"/>
    </row>
    <row r="2610" spans="5:10" x14ac:dyDescent="0.25">
      <c r="E2610"/>
      <c r="F2610"/>
      <c r="G2610" s="12"/>
      <c r="H2610" s="12"/>
      <c r="I2610" s="12"/>
      <c r="J2610" s="12"/>
    </row>
    <row r="2611" spans="5:10" x14ac:dyDescent="0.25">
      <c r="E2611"/>
      <c r="F2611"/>
      <c r="G2611" s="12"/>
      <c r="H2611" s="12"/>
      <c r="I2611" s="12"/>
      <c r="J2611" s="12"/>
    </row>
    <row r="2612" spans="5:10" x14ac:dyDescent="0.25">
      <c r="E2612"/>
      <c r="F2612"/>
      <c r="G2612" s="12"/>
      <c r="H2612" s="12"/>
      <c r="I2612" s="12"/>
      <c r="J2612" s="12"/>
    </row>
    <row r="2613" spans="5:10" x14ac:dyDescent="0.25">
      <c r="E2613"/>
      <c r="F2613"/>
      <c r="G2613" s="12"/>
      <c r="H2613" s="12"/>
      <c r="I2613" s="12"/>
      <c r="J2613" s="12"/>
    </row>
    <row r="2614" spans="5:10" x14ac:dyDescent="0.25">
      <c r="E2614"/>
      <c r="F2614"/>
      <c r="G2614" s="12"/>
      <c r="H2614" s="12"/>
      <c r="I2614" s="12"/>
      <c r="J2614" s="12"/>
    </row>
    <row r="2615" spans="5:10" x14ac:dyDescent="0.25">
      <c r="E2615"/>
      <c r="F2615"/>
      <c r="G2615" s="12"/>
      <c r="H2615" s="12"/>
      <c r="I2615" s="12"/>
      <c r="J2615" s="12"/>
    </row>
    <row r="2616" spans="5:10" x14ac:dyDescent="0.25">
      <c r="E2616"/>
      <c r="F2616"/>
      <c r="G2616" s="12"/>
      <c r="H2616" s="12"/>
      <c r="I2616" s="12"/>
      <c r="J2616" s="12"/>
    </row>
    <row r="2617" spans="5:10" x14ac:dyDescent="0.25">
      <c r="E2617"/>
      <c r="F2617"/>
      <c r="G2617" s="12"/>
      <c r="H2617" s="12"/>
      <c r="I2617" s="12"/>
      <c r="J2617" s="12"/>
    </row>
    <row r="2618" spans="5:10" x14ac:dyDescent="0.25">
      <c r="E2618"/>
      <c r="F2618"/>
      <c r="G2618" s="12"/>
      <c r="H2618" s="12"/>
      <c r="I2618" s="12"/>
      <c r="J2618" s="12"/>
    </row>
    <row r="2619" spans="5:10" x14ac:dyDescent="0.25">
      <c r="E2619"/>
      <c r="F2619"/>
      <c r="G2619" s="12"/>
      <c r="H2619" s="12"/>
      <c r="I2619" s="12"/>
      <c r="J2619" s="12"/>
    </row>
    <row r="2620" spans="5:10" x14ac:dyDescent="0.25">
      <c r="E2620"/>
      <c r="F2620"/>
      <c r="G2620" s="12"/>
      <c r="H2620" s="12"/>
      <c r="I2620" s="12"/>
      <c r="J2620" s="12"/>
    </row>
    <row r="2621" spans="5:10" x14ac:dyDescent="0.25">
      <c r="E2621"/>
      <c r="F2621"/>
      <c r="G2621" s="12"/>
      <c r="H2621" s="12"/>
      <c r="I2621" s="12"/>
      <c r="J2621" s="12"/>
    </row>
    <row r="2622" spans="5:10" x14ac:dyDescent="0.25">
      <c r="E2622"/>
      <c r="F2622"/>
      <c r="G2622" s="12"/>
      <c r="H2622" s="12"/>
      <c r="I2622" s="12"/>
      <c r="J2622" s="12"/>
    </row>
    <row r="2623" spans="5:10" x14ac:dyDescent="0.25">
      <c r="E2623"/>
      <c r="F2623"/>
      <c r="G2623" s="12"/>
      <c r="H2623" s="12"/>
      <c r="I2623" s="12"/>
      <c r="J2623" s="12"/>
    </row>
    <row r="2624" spans="5:10" x14ac:dyDescent="0.25">
      <c r="E2624"/>
      <c r="F2624"/>
      <c r="G2624" s="12"/>
      <c r="H2624" s="12"/>
      <c r="I2624" s="12"/>
      <c r="J2624" s="12"/>
    </row>
    <row r="2625" spans="5:10" x14ac:dyDescent="0.25">
      <c r="E2625"/>
      <c r="F2625"/>
      <c r="G2625" s="12"/>
      <c r="H2625" s="12"/>
      <c r="I2625" s="12"/>
      <c r="J2625" s="12"/>
    </row>
    <row r="2626" spans="5:10" x14ac:dyDescent="0.25">
      <c r="E2626"/>
      <c r="F2626"/>
      <c r="G2626" s="12"/>
      <c r="H2626" s="12"/>
      <c r="I2626" s="12"/>
      <c r="J2626" s="12"/>
    </row>
    <row r="2627" spans="5:10" x14ac:dyDescent="0.25">
      <c r="E2627"/>
      <c r="F2627"/>
      <c r="G2627" s="12"/>
      <c r="H2627" s="12"/>
      <c r="I2627" s="12"/>
      <c r="J2627" s="12"/>
    </row>
    <row r="2628" spans="5:10" x14ac:dyDescent="0.25">
      <c r="E2628"/>
      <c r="F2628"/>
      <c r="G2628" s="12"/>
      <c r="H2628" s="12"/>
      <c r="I2628" s="12"/>
      <c r="J2628" s="12"/>
    </row>
    <row r="2629" spans="5:10" x14ac:dyDescent="0.25">
      <c r="E2629"/>
      <c r="F2629"/>
      <c r="G2629" s="12"/>
      <c r="H2629" s="12"/>
      <c r="I2629" s="12"/>
      <c r="J2629" s="12"/>
    </row>
    <row r="2630" spans="5:10" x14ac:dyDescent="0.25">
      <c r="E2630"/>
      <c r="F2630"/>
      <c r="G2630" s="12"/>
      <c r="H2630" s="12"/>
      <c r="I2630" s="12"/>
      <c r="J2630" s="12"/>
    </row>
    <row r="2631" spans="5:10" x14ac:dyDescent="0.25">
      <c r="E2631"/>
      <c r="F2631"/>
      <c r="G2631" s="12"/>
      <c r="H2631" s="12"/>
      <c r="I2631" s="12"/>
      <c r="J2631" s="12"/>
    </row>
    <row r="2632" spans="5:10" x14ac:dyDescent="0.25">
      <c r="E2632"/>
      <c r="F2632"/>
      <c r="G2632" s="12"/>
      <c r="H2632" s="12"/>
      <c r="I2632" s="12"/>
      <c r="J2632" s="12"/>
    </row>
    <row r="2633" spans="5:10" x14ac:dyDescent="0.25">
      <c r="E2633"/>
      <c r="F2633"/>
      <c r="G2633" s="12"/>
      <c r="H2633" s="12"/>
      <c r="I2633" s="12"/>
      <c r="J2633" s="12"/>
    </row>
    <row r="2634" spans="5:10" x14ac:dyDescent="0.25">
      <c r="E2634"/>
      <c r="F2634"/>
      <c r="G2634" s="12"/>
      <c r="H2634" s="12"/>
      <c r="I2634" s="12"/>
      <c r="J2634" s="12"/>
    </row>
    <row r="2635" spans="5:10" x14ac:dyDescent="0.25">
      <c r="E2635"/>
      <c r="F2635"/>
      <c r="G2635" s="12"/>
      <c r="H2635" s="12"/>
      <c r="I2635" s="12"/>
      <c r="J2635" s="12"/>
    </row>
    <row r="2636" spans="5:10" x14ac:dyDescent="0.25">
      <c r="E2636"/>
      <c r="F2636"/>
      <c r="G2636" s="12"/>
      <c r="H2636" s="12"/>
      <c r="I2636" s="12"/>
      <c r="J2636" s="12"/>
    </row>
    <row r="2637" spans="5:10" x14ac:dyDescent="0.25">
      <c r="E2637"/>
      <c r="F2637"/>
      <c r="G2637" s="12"/>
      <c r="H2637" s="12"/>
      <c r="I2637" s="12"/>
      <c r="J2637" s="12"/>
    </row>
    <row r="2638" spans="5:10" x14ac:dyDescent="0.25">
      <c r="E2638"/>
      <c r="F2638"/>
      <c r="G2638" s="12"/>
      <c r="H2638" s="12"/>
      <c r="I2638" s="12"/>
      <c r="J2638" s="12"/>
    </row>
    <row r="2639" spans="5:10" x14ac:dyDescent="0.25">
      <c r="E2639"/>
      <c r="F2639"/>
      <c r="G2639" s="12"/>
      <c r="H2639" s="12"/>
      <c r="I2639" s="12"/>
      <c r="J2639" s="12"/>
    </row>
    <row r="2640" spans="5:10" x14ac:dyDescent="0.25">
      <c r="E2640"/>
      <c r="F2640"/>
      <c r="G2640" s="12"/>
      <c r="H2640" s="12"/>
      <c r="I2640" s="12"/>
      <c r="J2640" s="12"/>
    </row>
    <row r="2641" spans="5:10" x14ac:dyDescent="0.25">
      <c r="E2641"/>
      <c r="F2641"/>
      <c r="G2641" s="12"/>
      <c r="H2641" s="12"/>
      <c r="I2641" s="12"/>
      <c r="J2641" s="12"/>
    </row>
    <row r="2642" spans="5:10" x14ac:dyDescent="0.25">
      <c r="E2642"/>
      <c r="F2642"/>
      <c r="G2642" s="12"/>
      <c r="H2642" s="12"/>
      <c r="I2642" s="12"/>
      <c r="J2642" s="12"/>
    </row>
    <row r="2643" spans="5:10" x14ac:dyDescent="0.25">
      <c r="E2643"/>
      <c r="F2643"/>
      <c r="G2643" s="12"/>
      <c r="H2643" s="12"/>
      <c r="I2643" s="12"/>
      <c r="J2643" s="12"/>
    </row>
    <row r="2644" spans="5:10" x14ac:dyDescent="0.25">
      <c r="E2644"/>
      <c r="F2644"/>
      <c r="G2644" s="12"/>
      <c r="H2644" s="12"/>
      <c r="I2644" s="12"/>
      <c r="J2644" s="12"/>
    </row>
    <row r="2645" spans="5:10" x14ac:dyDescent="0.25">
      <c r="E2645"/>
      <c r="F2645"/>
      <c r="G2645" s="12"/>
      <c r="H2645" s="12"/>
      <c r="I2645" s="12"/>
      <c r="J2645" s="12"/>
    </row>
    <row r="2646" spans="5:10" x14ac:dyDescent="0.25">
      <c r="E2646"/>
      <c r="F2646"/>
      <c r="G2646" s="12"/>
      <c r="H2646" s="12"/>
      <c r="I2646" s="12"/>
      <c r="J2646" s="12"/>
    </row>
    <row r="2647" spans="5:10" x14ac:dyDescent="0.25">
      <c r="E2647"/>
      <c r="F2647"/>
      <c r="G2647" s="12"/>
      <c r="H2647" s="12"/>
      <c r="I2647" s="12"/>
      <c r="J2647" s="12"/>
    </row>
    <row r="2648" spans="5:10" x14ac:dyDescent="0.25">
      <c r="E2648"/>
      <c r="F2648"/>
      <c r="G2648" s="12"/>
      <c r="H2648" s="12"/>
      <c r="I2648" s="12"/>
      <c r="J2648" s="12"/>
    </row>
    <row r="2649" spans="5:10" x14ac:dyDescent="0.25">
      <c r="E2649"/>
      <c r="F2649"/>
      <c r="G2649" s="12"/>
      <c r="H2649" s="12"/>
      <c r="I2649" s="12"/>
      <c r="J2649" s="12"/>
    </row>
    <row r="2650" spans="5:10" x14ac:dyDescent="0.25">
      <c r="E2650"/>
      <c r="F2650"/>
      <c r="G2650" s="12"/>
      <c r="H2650" s="12"/>
      <c r="I2650" s="12"/>
      <c r="J2650" s="12"/>
    </row>
    <row r="2651" spans="5:10" x14ac:dyDescent="0.25">
      <c r="E2651"/>
      <c r="F2651"/>
      <c r="G2651" s="12"/>
      <c r="H2651" s="12"/>
      <c r="I2651" s="12"/>
      <c r="J2651" s="12"/>
    </row>
    <row r="2652" spans="5:10" x14ac:dyDescent="0.25">
      <c r="E2652"/>
      <c r="F2652"/>
      <c r="G2652" s="12"/>
      <c r="H2652" s="12"/>
      <c r="I2652" s="12"/>
      <c r="J2652" s="12"/>
    </row>
    <row r="2653" spans="5:10" x14ac:dyDescent="0.25">
      <c r="E2653"/>
      <c r="F2653"/>
      <c r="G2653" s="12"/>
      <c r="H2653" s="12"/>
      <c r="I2653" s="12"/>
      <c r="J2653" s="12"/>
    </row>
    <row r="2654" spans="5:10" x14ac:dyDescent="0.25">
      <c r="E2654"/>
      <c r="F2654"/>
      <c r="G2654" s="12"/>
      <c r="H2654" s="12"/>
      <c r="I2654" s="12"/>
      <c r="J2654" s="12"/>
    </row>
    <row r="2655" spans="5:10" x14ac:dyDescent="0.25">
      <c r="E2655"/>
      <c r="F2655"/>
      <c r="G2655" s="12"/>
      <c r="H2655" s="12"/>
      <c r="I2655" s="12"/>
      <c r="J2655" s="12"/>
    </row>
    <row r="2656" spans="5:10" x14ac:dyDescent="0.25">
      <c r="E2656"/>
      <c r="F2656"/>
      <c r="G2656" s="12"/>
      <c r="H2656" s="12"/>
      <c r="I2656" s="12"/>
      <c r="J2656" s="12"/>
    </row>
    <row r="2657" spans="5:10" x14ac:dyDescent="0.25">
      <c r="E2657"/>
      <c r="F2657"/>
      <c r="G2657" s="12"/>
      <c r="H2657" s="12"/>
      <c r="I2657" s="12"/>
      <c r="J2657" s="12"/>
    </row>
    <row r="2658" spans="5:10" x14ac:dyDescent="0.25">
      <c r="E2658"/>
      <c r="F2658"/>
      <c r="G2658" s="12"/>
      <c r="H2658" s="12"/>
      <c r="I2658" s="12"/>
      <c r="J2658" s="12"/>
    </row>
    <row r="2659" spans="5:10" x14ac:dyDescent="0.25">
      <c r="E2659"/>
      <c r="F2659"/>
      <c r="G2659" s="12"/>
      <c r="H2659" s="12"/>
      <c r="I2659" s="12"/>
      <c r="J2659" s="12"/>
    </row>
    <row r="2660" spans="5:10" x14ac:dyDescent="0.25">
      <c r="E2660"/>
      <c r="F2660"/>
      <c r="G2660" s="12"/>
      <c r="H2660" s="12"/>
      <c r="I2660" s="12"/>
      <c r="J2660" s="12"/>
    </row>
    <row r="2661" spans="5:10" x14ac:dyDescent="0.25">
      <c r="E2661"/>
      <c r="F2661"/>
      <c r="G2661" s="12"/>
      <c r="H2661" s="12"/>
      <c r="I2661" s="12"/>
      <c r="J2661" s="12"/>
    </row>
    <row r="2662" spans="5:10" x14ac:dyDescent="0.25">
      <c r="E2662"/>
      <c r="F2662"/>
      <c r="G2662" s="12"/>
      <c r="H2662" s="12"/>
      <c r="I2662" s="12"/>
      <c r="J2662" s="12"/>
    </row>
    <row r="2663" spans="5:10" x14ac:dyDescent="0.25">
      <c r="E2663"/>
      <c r="F2663"/>
      <c r="G2663" s="12"/>
      <c r="H2663" s="12"/>
      <c r="I2663" s="12"/>
      <c r="J2663" s="12"/>
    </row>
    <row r="2664" spans="5:10" x14ac:dyDescent="0.25">
      <c r="E2664"/>
      <c r="F2664"/>
      <c r="G2664" s="12"/>
      <c r="H2664" s="12"/>
      <c r="I2664" s="12"/>
      <c r="J2664" s="12"/>
    </row>
    <row r="2665" spans="5:10" x14ac:dyDescent="0.25">
      <c r="E2665"/>
      <c r="F2665"/>
      <c r="G2665" s="12"/>
      <c r="H2665" s="12"/>
      <c r="I2665" s="12"/>
      <c r="J2665" s="12"/>
    </row>
    <row r="2666" spans="5:10" x14ac:dyDescent="0.25">
      <c r="E2666"/>
      <c r="F2666"/>
      <c r="G2666" s="12"/>
      <c r="H2666" s="12"/>
      <c r="I2666" s="12"/>
      <c r="J2666" s="12"/>
    </row>
    <row r="2667" spans="5:10" x14ac:dyDescent="0.25">
      <c r="E2667"/>
      <c r="F2667"/>
      <c r="G2667" s="12"/>
      <c r="H2667" s="12"/>
      <c r="I2667" s="12"/>
      <c r="J2667" s="12"/>
    </row>
    <row r="2668" spans="5:10" x14ac:dyDescent="0.25">
      <c r="E2668"/>
      <c r="F2668"/>
      <c r="G2668" s="12"/>
      <c r="H2668" s="12"/>
      <c r="I2668" s="12"/>
      <c r="J2668" s="12"/>
    </row>
    <row r="2669" spans="5:10" x14ac:dyDescent="0.25">
      <c r="E2669"/>
      <c r="F2669"/>
      <c r="G2669" s="12"/>
      <c r="H2669" s="12"/>
      <c r="I2669" s="12"/>
      <c r="J2669" s="12"/>
    </row>
    <row r="2670" spans="5:10" x14ac:dyDescent="0.25">
      <c r="E2670"/>
      <c r="F2670"/>
      <c r="G2670" s="12"/>
      <c r="H2670" s="12"/>
      <c r="I2670" s="12"/>
      <c r="J2670" s="12"/>
    </row>
    <row r="2671" spans="5:10" x14ac:dyDescent="0.25">
      <c r="E2671"/>
      <c r="F2671"/>
      <c r="G2671" s="12"/>
      <c r="H2671" s="12"/>
      <c r="I2671" s="12"/>
      <c r="J2671" s="12"/>
    </row>
    <row r="2672" spans="5:10" x14ac:dyDescent="0.25">
      <c r="E2672"/>
      <c r="F2672"/>
      <c r="G2672" s="12"/>
      <c r="H2672" s="12"/>
      <c r="I2672" s="12"/>
      <c r="J2672" s="12"/>
    </row>
    <row r="2673" spans="5:10" x14ac:dyDescent="0.25">
      <c r="E2673"/>
      <c r="F2673"/>
      <c r="G2673" s="12"/>
      <c r="H2673" s="12"/>
      <c r="I2673" s="12"/>
      <c r="J2673" s="12"/>
    </row>
    <row r="2674" spans="5:10" x14ac:dyDescent="0.25">
      <c r="E2674"/>
      <c r="F2674"/>
      <c r="G2674" s="12"/>
      <c r="H2674" s="12"/>
      <c r="I2674" s="12"/>
      <c r="J2674" s="12"/>
    </row>
    <row r="2675" spans="5:10" x14ac:dyDescent="0.25">
      <c r="E2675"/>
      <c r="F2675"/>
      <c r="G2675" s="12"/>
      <c r="H2675" s="12"/>
      <c r="I2675" s="12"/>
      <c r="J2675" s="12"/>
    </row>
    <row r="2676" spans="5:10" x14ac:dyDescent="0.25">
      <c r="E2676"/>
      <c r="F2676"/>
      <c r="G2676" s="12"/>
      <c r="H2676" s="12"/>
      <c r="I2676" s="12"/>
      <c r="J2676" s="12"/>
    </row>
    <row r="2677" spans="5:10" x14ac:dyDescent="0.25">
      <c r="E2677"/>
      <c r="F2677"/>
      <c r="G2677" s="12"/>
      <c r="H2677" s="12"/>
      <c r="I2677" s="12"/>
      <c r="J2677" s="12"/>
    </row>
    <row r="2678" spans="5:10" x14ac:dyDescent="0.25">
      <c r="E2678"/>
      <c r="F2678"/>
      <c r="G2678" s="12"/>
      <c r="H2678" s="12"/>
      <c r="I2678" s="12"/>
      <c r="J2678" s="12"/>
    </row>
    <row r="2679" spans="5:10" x14ac:dyDescent="0.25">
      <c r="E2679"/>
      <c r="F2679"/>
      <c r="G2679" s="12"/>
      <c r="H2679" s="12"/>
      <c r="I2679" s="12"/>
      <c r="J2679" s="12"/>
    </row>
    <row r="2680" spans="5:10" x14ac:dyDescent="0.25">
      <c r="E2680"/>
      <c r="F2680"/>
      <c r="G2680" s="12"/>
      <c r="H2680" s="12"/>
      <c r="I2680" s="12"/>
      <c r="J2680" s="12"/>
    </row>
    <row r="2681" spans="5:10" x14ac:dyDescent="0.25">
      <c r="E2681"/>
      <c r="F2681"/>
      <c r="G2681" s="12"/>
      <c r="H2681" s="12"/>
      <c r="I2681" s="12"/>
      <c r="J2681" s="12"/>
    </row>
    <row r="2682" spans="5:10" x14ac:dyDescent="0.25">
      <c r="E2682"/>
      <c r="F2682"/>
      <c r="G2682" s="12"/>
      <c r="H2682" s="12"/>
      <c r="I2682" s="12"/>
      <c r="J2682" s="12"/>
    </row>
    <row r="2683" spans="5:10" x14ac:dyDescent="0.25">
      <c r="E2683"/>
      <c r="F2683"/>
      <c r="G2683" s="12"/>
      <c r="H2683" s="12"/>
      <c r="I2683" s="12"/>
      <c r="J2683" s="12"/>
    </row>
    <row r="2684" spans="5:10" x14ac:dyDescent="0.25">
      <c r="E2684"/>
      <c r="F2684"/>
      <c r="G2684" s="12"/>
      <c r="H2684" s="12"/>
      <c r="I2684" s="12"/>
      <c r="J2684" s="12"/>
    </row>
    <row r="2685" spans="5:10" x14ac:dyDescent="0.25">
      <c r="E2685"/>
      <c r="F2685"/>
      <c r="G2685" s="12"/>
      <c r="H2685" s="12"/>
      <c r="I2685" s="12"/>
      <c r="J2685" s="12"/>
    </row>
    <row r="2686" spans="5:10" x14ac:dyDescent="0.25">
      <c r="E2686"/>
      <c r="F2686"/>
      <c r="G2686" s="12"/>
      <c r="H2686" s="12"/>
      <c r="I2686" s="12"/>
      <c r="J2686" s="12"/>
    </row>
    <row r="2687" spans="5:10" x14ac:dyDescent="0.25">
      <c r="E2687"/>
      <c r="F2687"/>
      <c r="G2687" s="12"/>
      <c r="H2687" s="12"/>
      <c r="I2687" s="12"/>
      <c r="J2687" s="12"/>
    </row>
    <row r="2688" spans="5:10" x14ac:dyDescent="0.25">
      <c r="E2688"/>
      <c r="F2688"/>
      <c r="G2688" s="12"/>
      <c r="H2688" s="12"/>
      <c r="I2688" s="12"/>
      <c r="J2688" s="12"/>
    </row>
    <row r="2689" spans="5:10" x14ac:dyDescent="0.25">
      <c r="E2689"/>
      <c r="F2689"/>
      <c r="G2689" s="12"/>
      <c r="H2689" s="12"/>
      <c r="I2689" s="12"/>
      <c r="J2689" s="12"/>
    </row>
    <row r="2690" spans="5:10" x14ac:dyDescent="0.25">
      <c r="E2690"/>
      <c r="F2690"/>
      <c r="G2690" s="12"/>
      <c r="H2690" s="12"/>
      <c r="I2690" s="12"/>
      <c r="J2690" s="12"/>
    </row>
    <row r="2691" spans="5:10" x14ac:dyDescent="0.25">
      <c r="E2691"/>
      <c r="F2691"/>
      <c r="G2691" s="12"/>
      <c r="H2691" s="12"/>
      <c r="I2691" s="12"/>
      <c r="J2691" s="12"/>
    </row>
    <row r="2692" spans="5:10" x14ac:dyDescent="0.25">
      <c r="E2692"/>
      <c r="F2692"/>
      <c r="G2692" s="12"/>
      <c r="H2692" s="12"/>
      <c r="I2692" s="12"/>
      <c r="J2692" s="12"/>
    </row>
    <row r="2693" spans="5:10" x14ac:dyDescent="0.25">
      <c r="E2693"/>
      <c r="F2693"/>
      <c r="G2693" s="12"/>
      <c r="H2693" s="12"/>
      <c r="I2693" s="12"/>
      <c r="J2693" s="12"/>
    </row>
    <row r="2694" spans="5:10" x14ac:dyDescent="0.25">
      <c r="E2694"/>
      <c r="F2694"/>
      <c r="G2694" s="12"/>
      <c r="H2694" s="12"/>
      <c r="I2694" s="12"/>
      <c r="J2694" s="12"/>
    </row>
    <row r="2695" spans="5:10" x14ac:dyDescent="0.25">
      <c r="E2695"/>
      <c r="F2695"/>
      <c r="G2695" s="12"/>
      <c r="H2695" s="12"/>
      <c r="I2695" s="12"/>
      <c r="J2695" s="12"/>
    </row>
    <row r="2696" spans="5:10" x14ac:dyDescent="0.25">
      <c r="E2696"/>
      <c r="F2696"/>
      <c r="G2696" s="12"/>
      <c r="H2696" s="12"/>
      <c r="I2696" s="12"/>
      <c r="J2696" s="12"/>
    </row>
    <row r="2697" spans="5:10" x14ac:dyDescent="0.25">
      <c r="E2697"/>
      <c r="F2697"/>
      <c r="G2697" s="12"/>
      <c r="H2697" s="12"/>
      <c r="I2697" s="12"/>
      <c r="J2697" s="12"/>
    </row>
    <row r="2698" spans="5:10" x14ac:dyDescent="0.25">
      <c r="E2698"/>
      <c r="F2698"/>
      <c r="G2698" s="12"/>
      <c r="H2698" s="12"/>
      <c r="I2698" s="12"/>
      <c r="J2698" s="12"/>
    </row>
    <row r="2699" spans="5:10" x14ac:dyDescent="0.25">
      <c r="E2699"/>
      <c r="F2699"/>
      <c r="G2699" s="12"/>
      <c r="H2699" s="12"/>
      <c r="I2699" s="12"/>
      <c r="J2699" s="12"/>
    </row>
    <row r="2700" spans="5:10" x14ac:dyDescent="0.25">
      <c r="E2700"/>
      <c r="F2700"/>
      <c r="G2700" s="12"/>
      <c r="H2700" s="12"/>
      <c r="I2700" s="12"/>
      <c r="J2700" s="12"/>
    </row>
    <row r="2701" spans="5:10" x14ac:dyDescent="0.25">
      <c r="E2701"/>
      <c r="F2701"/>
      <c r="G2701" s="12"/>
      <c r="H2701" s="12"/>
      <c r="I2701" s="12"/>
      <c r="J2701" s="12"/>
    </row>
    <row r="2702" spans="5:10" x14ac:dyDescent="0.25">
      <c r="E2702"/>
      <c r="F2702"/>
      <c r="G2702" s="12"/>
      <c r="H2702" s="12"/>
      <c r="I2702" s="12"/>
      <c r="J2702" s="12"/>
    </row>
    <row r="2703" spans="5:10" x14ac:dyDescent="0.25">
      <c r="E2703"/>
      <c r="F2703"/>
      <c r="G2703" s="12"/>
      <c r="H2703" s="12"/>
      <c r="I2703" s="12"/>
      <c r="J2703" s="12"/>
    </row>
    <row r="2704" spans="5:10" x14ac:dyDescent="0.25">
      <c r="E2704"/>
      <c r="F2704"/>
      <c r="G2704" s="12"/>
      <c r="H2704" s="12"/>
      <c r="I2704" s="12"/>
      <c r="J2704" s="12"/>
    </row>
    <row r="2705" spans="5:10" x14ac:dyDescent="0.25">
      <c r="E2705"/>
      <c r="F2705"/>
      <c r="G2705" s="12"/>
      <c r="H2705" s="12"/>
      <c r="I2705" s="12"/>
      <c r="J2705" s="12"/>
    </row>
    <row r="2706" spans="5:10" x14ac:dyDescent="0.25">
      <c r="E2706"/>
      <c r="F2706"/>
      <c r="G2706" s="12"/>
      <c r="H2706" s="12"/>
      <c r="I2706" s="12"/>
      <c r="J2706" s="12"/>
    </row>
    <row r="2707" spans="5:10" x14ac:dyDescent="0.25">
      <c r="E2707"/>
      <c r="F2707"/>
      <c r="G2707" s="12"/>
      <c r="H2707" s="12"/>
      <c r="I2707" s="12"/>
      <c r="J2707" s="12"/>
    </row>
    <row r="2708" spans="5:10" x14ac:dyDescent="0.25">
      <c r="E2708"/>
      <c r="F2708"/>
      <c r="G2708" s="12"/>
      <c r="H2708" s="12"/>
      <c r="I2708" s="12"/>
      <c r="J2708" s="12"/>
    </row>
    <row r="2709" spans="5:10" x14ac:dyDescent="0.25">
      <c r="E2709"/>
      <c r="F2709"/>
      <c r="G2709" s="12"/>
      <c r="H2709" s="12"/>
      <c r="I2709" s="12"/>
      <c r="J2709" s="12"/>
    </row>
    <row r="2710" spans="5:10" x14ac:dyDescent="0.25">
      <c r="E2710"/>
      <c r="F2710"/>
      <c r="G2710" s="12"/>
      <c r="H2710" s="12"/>
      <c r="I2710" s="12"/>
      <c r="J2710" s="12"/>
    </row>
    <row r="2711" spans="5:10" x14ac:dyDescent="0.25">
      <c r="E2711"/>
      <c r="F2711"/>
      <c r="G2711" s="12"/>
      <c r="H2711" s="12"/>
      <c r="I2711" s="12"/>
      <c r="J2711" s="12"/>
    </row>
    <row r="2712" spans="5:10" x14ac:dyDescent="0.25">
      <c r="E2712"/>
      <c r="F2712"/>
      <c r="G2712" s="12"/>
      <c r="H2712" s="12"/>
      <c r="I2712" s="12"/>
      <c r="J2712" s="12"/>
    </row>
    <row r="2713" spans="5:10" x14ac:dyDescent="0.25">
      <c r="E2713"/>
      <c r="F2713"/>
      <c r="G2713" s="12"/>
      <c r="H2713" s="12"/>
      <c r="I2713" s="12"/>
      <c r="J2713" s="12"/>
    </row>
    <row r="2714" spans="5:10" x14ac:dyDescent="0.25">
      <c r="E2714"/>
      <c r="F2714"/>
      <c r="G2714" s="12"/>
      <c r="H2714" s="12"/>
      <c r="I2714" s="12"/>
      <c r="J2714" s="12"/>
    </row>
    <row r="2715" spans="5:10" x14ac:dyDescent="0.25">
      <c r="E2715"/>
      <c r="F2715"/>
      <c r="G2715" s="12"/>
      <c r="H2715" s="12"/>
      <c r="I2715" s="12"/>
      <c r="J2715" s="12"/>
    </row>
    <row r="2716" spans="5:10" x14ac:dyDescent="0.25">
      <c r="E2716"/>
      <c r="F2716"/>
      <c r="G2716" s="12"/>
      <c r="H2716" s="12"/>
      <c r="I2716" s="12"/>
      <c r="J2716" s="12"/>
    </row>
    <row r="2717" spans="5:10" x14ac:dyDescent="0.25">
      <c r="E2717"/>
      <c r="F2717"/>
      <c r="G2717" s="12"/>
      <c r="H2717" s="12"/>
      <c r="I2717" s="12"/>
      <c r="J2717" s="12"/>
    </row>
    <row r="2718" spans="5:10" x14ac:dyDescent="0.25">
      <c r="E2718"/>
      <c r="F2718"/>
      <c r="G2718" s="12"/>
      <c r="H2718" s="12"/>
      <c r="I2718" s="12"/>
      <c r="J2718" s="12"/>
    </row>
    <row r="2719" spans="5:10" x14ac:dyDescent="0.25">
      <c r="E2719"/>
      <c r="F2719"/>
      <c r="G2719" s="12"/>
      <c r="H2719" s="12"/>
      <c r="I2719" s="12"/>
      <c r="J2719" s="12"/>
    </row>
    <row r="2720" spans="5:10" x14ac:dyDescent="0.25">
      <c r="E2720"/>
      <c r="F2720"/>
      <c r="G2720" s="12"/>
      <c r="H2720" s="12"/>
      <c r="I2720" s="12"/>
      <c r="J2720" s="12"/>
    </row>
    <row r="2721" spans="5:10" x14ac:dyDescent="0.25">
      <c r="E2721"/>
      <c r="F2721"/>
      <c r="G2721" s="12"/>
      <c r="H2721" s="12"/>
      <c r="I2721" s="12"/>
      <c r="J2721" s="12"/>
    </row>
    <row r="2722" spans="5:10" x14ac:dyDescent="0.25">
      <c r="E2722"/>
      <c r="F2722"/>
      <c r="G2722" s="12"/>
      <c r="H2722" s="12"/>
      <c r="I2722" s="12"/>
      <c r="J2722" s="12"/>
    </row>
    <row r="2723" spans="5:10" x14ac:dyDescent="0.25">
      <c r="E2723"/>
      <c r="F2723"/>
      <c r="G2723" s="12"/>
      <c r="H2723" s="12"/>
      <c r="I2723" s="12"/>
      <c r="J2723" s="12"/>
    </row>
    <row r="2724" spans="5:10" x14ac:dyDescent="0.25">
      <c r="E2724"/>
      <c r="F2724"/>
      <c r="G2724" s="12"/>
      <c r="H2724" s="12"/>
      <c r="I2724" s="12"/>
      <c r="J2724" s="12"/>
    </row>
    <row r="2725" spans="5:10" x14ac:dyDescent="0.25">
      <c r="E2725"/>
      <c r="F2725"/>
      <c r="G2725" s="12"/>
      <c r="H2725" s="12"/>
      <c r="I2725" s="12"/>
      <c r="J2725" s="12"/>
    </row>
    <row r="2726" spans="5:10" x14ac:dyDescent="0.25">
      <c r="E2726"/>
      <c r="F2726"/>
      <c r="G2726" s="12"/>
      <c r="H2726" s="12"/>
      <c r="I2726" s="12"/>
      <c r="J2726" s="12"/>
    </row>
    <row r="2727" spans="5:10" x14ac:dyDescent="0.25">
      <c r="E2727"/>
      <c r="F2727"/>
      <c r="G2727" s="12"/>
      <c r="H2727" s="12"/>
      <c r="I2727" s="12"/>
      <c r="J2727" s="12"/>
    </row>
    <row r="2728" spans="5:10" x14ac:dyDescent="0.25">
      <c r="E2728"/>
      <c r="F2728"/>
      <c r="G2728" s="12"/>
      <c r="H2728" s="12"/>
      <c r="I2728" s="12"/>
      <c r="J2728" s="12"/>
    </row>
    <row r="2729" spans="5:10" x14ac:dyDescent="0.25">
      <c r="E2729"/>
      <c r="F2729"/>
      <c r="G2729" s="12"/>
      <c r="H2729" s="12"/>
      <c r="I2729" s="12"/>
      <c r="J2729" s="12"/>
    </row>
    <row r="2730" spans="5:10" x14ac:dyDescent="0.25">
      <c r="E2730"/>
      <c r="F2730"/>
      <c r="G2730" s="12"/>
      <c r="H2730" s="12"/>
      <c r="I2730" s="12"/>
      <c r="J2730" s="12"/>
    </row>
    <row r="2731" spans="5:10" x14ac:dyDescent="0.25">
      <c r="E2731"/>
      <c r="F2731"/>
      <c r="G2731" s="12"/>
      <c r="H2731" s="12"/>
      <c r="I2731" s="12"/>
      <c r="J2731" s="12"/>
    </row>
    <row r="2732" spans="5:10" x14ac:dyDescent="0.25">
      <c r="E2732"/>
      <c r="F2732"/>
      <c r="G2732" s="12"/>
      <c r="H2732" s="12"/>
      <c r="I2732" s="12"/>
      <c r="J2732" s="12"/>
    </row>
    <row r="2733" spans="5:10" x14ac:dyDescent="0.25">
      <c r="E2733"/>
      <c r="F2733"/>
      <c r="G2733" s="12"/>
      <c r="H2733" s="12"/>
      <c r="I2733" s="12"/>
      <c r="J2733" s="12"/>
    </row>
    <row r="2734" spans="5:10" x14ac:dyDescent="0.25">
      <c r="E2734"/>
      <c r="F2734"/>
      <c r="G2734" s="12"/>
      <c r="H2734" s="12"/>
      <c r="I2734" s="12"/>
      <c r="J2734" s="12"/>
    </row>
    <row r="2735" spans="5:10" x14ac:dyDescent="0.25">
      <c r="E2735"/>
      <c r="F2735"/>
      <c r="G2735" s="12"/>
      <c r="H2735" s="12"/>
      <c r="I2735" s="12"/>
      <c r="J2735" s="12"/>
    </row>
    <row r="2736" spans="5:10" x14ac:dyDescent="0.25">
      <c r="E2736"/>
      <c r="F2736"/>
      <c r="G2736" s="12"/>
      <c r="H2736" s="12"/>
      <c r="I2736" s="12"/>
      <c r="J2736" s="12"/>
    </row>
    <row r="2737" spans="5:10" x14ac:dyDescent="0.25">
      <c r="E2737"/>
      <c r="F2737"/>
      <c r="G2737" s="12"/>
      <c r="H2737" s="12"/>
      <c r="I2737" s="12"/>
      <c r="J2737" s="12"/>
    </row>
    <row r="2738" spans="5:10" x14ac:dyDescent="0.25">
      <c r="E2738"/>
      <c r="F2738"/>
      <c r="G2738" s="12"/>
      <c r="H2738" s="12"/>
      <c r="I2738" s="12"/>
      <c r="J2738" s="12"/>
    </row>
    <row r="2739" spans="5:10" x14ac:dyDescent="0.25">
      <c r="E2739"/>
      <c r="F2739"/>
      <c r="G2739" s="12"/>
      <c r="H2739" s="12"/>
      <c r="I2739" s="12"/>
      <c r="J2739" s="12"/>
    </row>
    <row r="2740" spans="5:10" x14ac:dyDescent="0.25">
      <c r="E2740"/>
      <c r="F2740"/>
      <c r="G2740" s="12"/>
      <c r="H2740" s="12"/>
      <c r="I2740" s="12"/>
      <c r="J2740" s="12"/>
    </row>
    <row r="2741" spans="5:10" x14ac:dyDescent="0.25">
      <c r="E2741"/>
      <c r="F2741"/>
      <c r="G2741" s="12"/>
      <c r="H2741" s="12"/>
      <c r="I2741" s="12"/>
      <c r="J2741" s="12"/>
    </row>
    <row r="2742" spans="5:10" x14ac:dyDescent="0.25">
      <c r="E2742"/>
      <c r="F2742"/>
      <c r="G2742" s="12"/>
      <c r="H2742" s="12"/>
      <c r="I2742" s="12"/>
      <c r="J2742" s="12"/>
    </row>
    <row r="2743" spans="5:10" x14ac:dyDescent="0.25">
      <c r="E2743"/>
      <c r="F2743"/>
      <c r="G2743" s="12"/>
      <c r="H2743" s="12"/>
      <c r="I2743" s="12"/>
      <c r="J2743" s="12"/>
    </row>
    <row r="2744" spans="5:10" x14ac:dyDescent="0.25">
      <c r="E2744"/>
      <c r="F2744"/>
      <c r="G2744" s="12"/>
      <c r="H2744" s="12"/>
      <c r="I2744" s="12"/>
      <c r="J2744" s="12"/>
    </row>
    <row r="2745" spans="5:10" x14ac:dyDescent="0.25">
      <c r="E2745"/>
      <c r="F2745"/>
      <c r="G2745" s="12"/>
      <c r="H2745" s="12"/>
      <c r="I2745" s="12"/>
      <c r="J2745" s="12"/>
    </row>
    <row r="2746" spans="5:10" x14ac:dyDescent="0.25">
      <c r="E2746"/>
      <c r="F2746"/>
      <c r="G2746" s="12"/>
      <c r="H2746" s="12"/>
      <c r="I2746" s="12"/>
      <c r="J2746" s="12"/>
    </row>
    <row r="2747" spans="5:10" x14ac:dyDescent="0.25">
      <c r="E2747"/>
      <c r="F2747"/>
      <c r="G2747" s="12"/>
      <c r="H2747" s="12"/>
      <c r="I2747" s="12"/>
      <c r="J2747" s="12"/>
    </row>
    <row r="2748" spans="5:10" x14ac:dyDescent="0.25">
      <c r="E2748"/>
      <c r="F2748"/>
      <c r="G2748" s="12"/>
      <c r="H2748" s="12"/>
      <c r="I2748" s="12"/>
      <c r="J2748" s="12"/>
    </row>
    <row r="2749" spans="5:10" x14ac:dyDescent="0.25">
      <c r="E2749"/>
      <c r="F2749"/>
      <c r="G2749" s="12"/>
      <c r="H2749" s="12"/>
      <c r="I2749" s="12"/>
      <c r="J2749" s="12"/>
    </row>
    <row r="2750" spans="5:10" x14ac:dyDescent="0.25">
      <c r="E2750"/>
      <c r="F2750"/>
      <c r="G2750" s="12"/>
      <c r="H2750" s="12"/>
      <c r="I2750" s="12"/>
      <c r="J2750" s="12"/>
    </row>
    <row r="2751" spans="5:10" x14ac:dyDescent="0.25">
      <c r="E2751"/>
      <c r="F2751"/>
      <c r="G2751" s="12"/>
      <c r="H2751" s="12"/>
      <c r="I2751" s="12"/>
      <c r="J2751" s="12"/>
    </row>
    <row r="2752" spans="5:10" x14ac:dyDescent="0.25">
      <c r="E2752"/>
      <c r="F2752"/>
      <c r="G2752" s="12"/>
      <c r="H2752" s="12"/>
      <c r="I2752" s="12"/>
      <c r="J2752" s="12"/>
    </row>
    <row r="2753" spans="5:10" x14ac:dyDescent="0.25">
      <c r="E2753"/>
      <c r="F2753"/>
      <c r="G2753" s="12"/>
      <c r="H2753" s="12"/>
      <c r="I2753" s="12"/>
      <c r="J2753" s="12"/>
    </row>
    <row r="2754" spans="5:10" x14ac:dyDescent="0.25">
      <c r="E2754"/>
      <c r="F2754"/>
      <c r="G2754" s="12"/>
      <c r="H2754" s="12"/>
      <c r="I2754" s="12"/>
      <c r="J2754" s="12"/>
    </row>
    <row r="2755" spans="5:10" x14ac:dyDescent="0.25">
      <c r="E2755"/>
      <c r="F2755"/>
      <c r="G2755" s="12"/>
      <c r="H2755" s="12"/>
      <c r="I2755" s="12"/>
      <c r="J2755" s="12"/>
    </row>
    <row r="2756" spans="5:10" x14ac:dyDescent="0.25">
      <c r="E2756"/>
      <c r="F2756"/>
      <c r="G2756" s="12"/>
      <c r="H2756" s="12"/>
      <c r="I2756" s="12"/>
      <c r="J2756" s="12"/>
    </row>
    <row r="2757" spans="5:10" x14ac:dyDescent="0.25">
      <c r="E2757"/>
      <c r="F2757"/>
      <c r="G2757" s="12"/>
      <c r="H2757" s="12"/>
      <c r="I2757" s="12"/>
      <c r="J2757" s="12"/>
    </row>
    <row r="2758" spans="5:10" x14ac:dyDescent="0.25">
      <c r="E2758"/>
      <c r="F2758"/>
      <c r="G2758" s="12"/>
      <c r="H2758" s="12"/>
      <c r="I2758" s="12"/>
      <c r="J2758" s="12"/>
    </row>
    <row r="2759" spans="5:10" x14ac:dyDescent="0.25">
      <c r="E2759"/>
      <c r="F2759"/>
      <c r="G2759" s="12"/>
      <c r="H2759" s="12"/>
      <c r="I2759" s="12"/>
      <c r="J2759" s="12"/>
    </row>
    <row r="2760" spans="5:10" x14ac:dyDescent="0.25">
      <c r="E2760"/>
      <c r="F2760"/>
      <c r="G2760" s="12"/>
      <c r="H2760" s="12"/>
      <c r="I2760" s="12"/>
      <c r="J2760" s="12"/>
    </row>
    <row r="2761" spans="5:10" x14ac:dyDescent="0.25">
      <c r="E2761"/>
      <c r="F2761"/>
      <c r="G2761" s="12"/>
      <c r="H2761" s="12"/>
      <c r="I2761" s="12"/>
      <c r="J2761" s="12"/>
    </row>
    <row r="2762" spans="5:10" x14ac:dyDescent="0.25">
      <c r="E2762"/>
      <c r="F2762"/>
      <c r="G2762" s="12"/>
      <c r="H2762" s="12"/>
      <c r="I2762" s="12"/>
      <c r="J2762" s="12"/>
    </row>
    <row r="2763" spans="5:10" x14ac:dyDescent="0.25">
      <c r="E2763"/>
      <c r="F2763"/>
      <c r="G2763" s="12"/>
      <c r="H2763" s="12"/>
      <c r="I2763" s="12"/>
      <c r="J2763" s="12"/>
    </row>
    <row r="2764" spans="5:10" x14ac:dyDescent="0.25">
      <c r="E2764"/>
      <c r="F2764"/>
      <c r="G2764" s="12"/>
      <c r="H2764" s="12"/>
      <c r="I2764" s="12"/>
      <c r="J2764" s="12"/>
    </row>
    <row r="2765" spans="5:10" x14ac:dyDescent="0.25">
      <c r="E2765"/>
      <c r="F2765"/>
      <c r="G2765" s="12"/>
      <c r="H2765" s="12"/>
      <c r="I2765" s="12"/>
      <c r="J2765" s="12"/>
    </row>
    <row r="2766" spans="5:10" x14ac:dyDescent="0.25">
      <c r="E2766"/>
      <c r="F2766"/>
      <c r="G2766" s="12"/>
      <c r="H2766" s="12"/>
      <c r="I2766" s="12"/>
      <c r="J2766" s="12"/>
    </row>
    <row r="2767" spans="5:10" x14ac:dyDescent="0.25">
      <c r="E2767"/>
      <c r="F2767"/>
      <c r="G2767" s="12"/>
      <c r="H2767" s="12"/>
      <c r="I2767" s="12"/>
      <c r="J2767" s="12"/>
    </row>
    <row r="2768" spans="5:10" x14ac:dyDescent="0.25">
      <c r="E2768"/>
      <c r="F2768"/>
      <c r="G2768" s="12"/>
      <c r="H2768" s="12"/>
      <c r="I2768" s="12"/>
      <c r="J2768" s="12"/>
    </row>
    <row r="2769" spans="5:10" x14ac:dyDescent="0.25">
      <c r="E2769"/>
      <c r="F2769"/>
      <c r="G2769" s="12"/>
      <c r="H2769" s="12"/>
      <c r="I2769" s="12"/>
      <c r="J2769" s="12"/>
    </row>
    <row r="2770" spans="5:10" x14ac:dyDescent="0.25">
      <c r="E2770"/>
      <c r="F2770"/>
      <c r="G2770" s="12"/>
      <c r="H2770" s="12"/>
      <c r="I2770" s="12"/>
      <c r="J2770" s="12"/>
    </row>
    <row r="2771" spans="5:10" x14ac:dyDescent="0.25">
      <c r="E2771"/>
      <c r="F2771"/>
      <c r="G2771" s="12"/>
      <c r="H2771" s="12"/>
      <c r="I2771" s="12"/>
      <c r="J2771" s="12"/>
    </row>
    <row r="2772" spans="5:10" x14ac:dyDescent="0.25">
      <c r="E2772"/>
      <c r="F2772"/>
      <c r="G2772" s="12"/>
      <c r="H2772" s="12"/>
      <c r="I2772" s="12"/>
      <c r="J2772" s="12"/>
    </row>
    <row r="2773" spans="5:10" x14ac:dyDescent="0.25">
      <c r="E2773"/>
      <c r="F2773"/>
      <c r="G2773" s="12"/>
      <c r="H2773" s="12"/>
      <c r="I2773" s="12"/>
      <c r="J2773" s="12"/>
    </row>
    <row r="2774" spans="5:10" x14ac:dyDescent="0.25">
      <c r="E2774"/>
      <c r="F2774"/>
      <c r="G2774" s="12"/>
      <c r="H2774" s="12"/>
      <c r="I2774" s="12"/>
      <c r="J2774" s="12"/>
    </row>
    <row r="2775" spans="5:10" x14ac:dyDescent="0.25">
      <c r="E2775"/>
      <c r="F2775"/>
      <c r="G2775" s="12"/>
      <c r="H2775" s="12"/>
      <c r="I2775" s="12"/>
      <c r="J2775" s="12"/>
    </row>
    <row r="2776" spans="5:10" x14ac:dyDescent="0.25">
      <c r="E2776"/>
      <c r="F2776"/>
      <c r="G2776" s="12"/>
      <c r="H2776" s="12"/>
      <c r="I2776" s="12"/>
      <c r="J2776" s="12"/>
    </row>
    <row r="2777" spans="5:10" x14ac:dyDescent="0.25">
      <c r="E2777"/>
      <c r="F2777"/>
      <c r="G2777" s="12"/>
      <c r="H2777" s="12"/>
      <c r="I2777" s="12"/>
      <c r="J2777" s="12"/>
    </row>
    <row r="2778" spans="5:10" x14ac:dyDescent="0.25">
      <c r="E2778"/>
      <c r="F2778"/>
      <c r="G2778" s="12"/>
      <c r="H2778" s="12"/>
      <c r="I2778" s="12"/>
      <c r="J2778" s="12"/>
    </row>
    <row r="2779" spans="5:10" x14ac:dyDescent="0.25">
      <c r="E2779"/>
      <c r="F2779"/>
      <c r="G2779" s="12"/>
      <c r="H2779" s="12"/>
      <c r="I2779" s="12"/>
      <c r="J2779" s="12"/>
    </row>
    <row r="2780" spans="5:10" x14ac:dyDescent="0.25">
      <c r="E2780"/>
      <c r="F2780"/>
      <c r="G2780" s="12"/>
      <c r="H2780" s="12"/>
      <c r="I2780" s="12"/>
      <c r="J2780" s="12"/>
    </row>
    <row r="2781" spans="5:10" x14ac:dyDescent="0.25">
      <c r="E2781"/>
      <c r="F2781"/>
      <c r="G2781" s="12"/>
      <c r="H2781" s="12"/>
      <c r="I2781" s="12"/>
      <c r="J2781" s="12"/>
    </row>
    <row r="2782" spans="5:10" x14ac:dyDescent="0.25">
      <c r="E2782"/>
      <c r="F2782"/>
      <c r="G2782" s="12"/>
      <c r="H2782" s="12"/>
      <c r="I2782" s="12"/>
      <c r="J2782" s="12"/>
    </row>
    <row r="2783" spans="5:10" x14ac:dyDescent="0.25">
      <c r="E2783"/>
      <c r="F2783"/>
      <c r="G2783" s="12"/>
      <c r="H2783" s="12"/>
      <c r="I2783" s="12"/>
      <c r="J2783" s="12"/>
    </row>
    <row r="2784" spans="5:10" x14ac:dyDescent="0.25">
      <c r="E2784"/>
      <c r="F2784"/>
      <c r="G2784" s="12"/>
      <c r="H2784" s="12"/>
      <c r="I2784" s="12"/>
      <c r="J2784" s="12"/>
    </row>
    <row r="2785" spans="5:10" x14ac:dyDescent="0.25">
      <c r="E2785"/>
      <c r="F2785"/>
      <c r="G2785" s="12"/>
      <c r="H2785" s="12"/>
      <c r="I2785" s="12"/>
      <c r="J2785" s="12"/>
    </row>
    <row r="2786" spans="5:10" x14ac:dyDescent="0.25">
      <c r="E2786"/>
      <c r="F2786"/>
      <c r="G2786" s="12"/>
      <c r="H2786" s="12"/>
      <c r="I2786" s="12"/>
      <c r="J2786" s="12"/>
    </row>
    <row r="2787" spans="5:10" x14ac:dyDescent="0.25">
      <c r="E2787"/>
      <c r="F2787"/>
      <c r="G2787" s="12"/>
      <c r="H2787" s="12"/>
      <c r="I2787" s="12"/>
      <c r="J2787" s="12"/>
    </row>
    <row r="2788" spans="5:10" x14ac:dyDescent="0.25">
      <c r="E2788"/>
      <c r="F2788"/>
      <c r="G2788" s="12"/>
      <c r="H2788" s="12"/>
      <c r="I2788" s="12"/>
      <c r="J2788" s="12"/>
    </row>
    <row r="2789" spans="5:10" x14ac:dyDescent="0.25">
      <c r="E2789"/>
      <c r="F2789"/>
      <c r="G2789" s="12"/>
      <c r="H2789" s="12"/>
      <c r="I2789" s="12"/>
      <c r="J2789" s="12"/>
    </row>
    <row r="2790" spans="5:10" x14ac:dyDescent="0.25">
      <c r="E2790"/>
      <c r="F2790"/>
      <c r="G2790" s="12"/>
      <c r="H2790" s="12"/>
      <c r="I2790" s="12"/>
      <c r="J2790" s="12"/>
    </row>
    <row r="2791" spans="5:10" x14ac:dyDescent="0.25">
      <c r="E2791"/>
      <c r="F2791"/>
      <c r="G2791" s="12"/>
      <c r="H2791" s="12"/>
      <c r="I2791" s="12"/>
      <c r="J2791" s="12"/>
    </row>
    <row r="2792" spans="5:10" x14ac:dyDescent="0.25">
      <c r="E2792"/>
      <c r="F2792"/>
      <c r="G2792" s="12"/>
      <c r="H2792" s="12"/>
      <c r="I2792" s="12"/>
      <c r="J2792" s="12"/>
    </row>
    <row r="2793" spans="5:10" x14ac:dyDescent="0.25">
      <c r="E2793"/>
      <c r="F2793"/>
      <c r="G2793" s="12"/>
      <c r="H2793" s="12"/>
      <c r="I2793" s="12"/>
      <c r="J2793" s="12"/>
    </row>
    <row r="2794" spans="5:10" x14ac:dyDescent="0.25">
      <c r="E2794"/>
      <c r="F2794"/>
      <c r="G2794" s="12"/>
      <c r="H2794" s="12"/>
      <c r="I2794" s="12"/>
      <c r="J2794" s="12"/>
    </row>
    <row r="2795" spans="5:10" x14ac:dyDescent="0.25">
      <c r="E2795"/>
      <c r="F2795"/>
      <c r="G2795" s="12"/>
      <c r="H2795" s="12"/>
      <c r="I2795" s="12"/>
      <c r="J2795" s="12"/>
    </row>
    <row r="2796" spans="5:10" x14ac:dyDescent="0.25">
      <c r="E2796"/>
      <c r="F2796"/>
      <c r="G2796" s="12"/>
      <c r="H2796" s="12"/>
      <c r="I2796" s="12"/>
      <c r="J2796" s="12"/>
    </row>
    <row r="2797" spans="5:10" x14ac:dyDescent="0.25">
      <c r="E2797"/>
      <c r="F2797"/>
      <c r="G2797" s="12"/>
      <c r="H2797" s="12"/>
      <c r="I2797" s="12"/>
      <c r="J2797" s="12"/>
    </row>
    <row r="2798" spans="5:10" x14ac:dyDescent="0.25">
      <c r="E2798"/>
      <c r="F2798"/>
      <c r="G2798" s="12"/>
      <c r="H2798" s="12"/>
      <c r="I2798" s="12"/>
      <c r="J2798" s="12"/>
    </row>
    <row r="2799" spans="5:10" x14ac:dyDescent="0.25">
      <c r="E2799"/>
      <c r="F2799"/>
      <c r="G2799" s="12"/>
      <c r="H2799" s="12"/>
      <c r="I2799" s="12"/>
      <c r="J2799" s="12"/>
    </row>
    <row r="2800" spans="5:10" x14ac:dyDescent="0.25">
      <c r="E2800"/>
      <c r="F2800"/>
      <c r="G2800" s="12"/>
      <c r="H2800" s="12"/>
      <c r="I2800" s="12"/>
      <c r="J2800" s="12"/>
    </row>
    <row r="2801" spans="5:10" x14ac:dyDescent="0.25">
      <c r="E2801"/>
      <c r="F2801"/>
      <c r="G2801" s="12"/>
      <c r="H2801" s="12"/>
      <c r="I2801" s="12"/>
      <c r="J2801" s="12"/>
    </row>
    <row r="2802" spans="5:10" x14ac:dyDescent="0.25">
      <c r="E2802"/>
      <c r="F2802"/>
      <c r="G2802" s="12"/>
      <c r="H2802" s="12"/>
      <c r="I2802" s="12"/>
      <c r="J2802" s="12"/>
    </row>
    <row r="2803" spans="5:10" x14ac:dyDescent="0.25">
      <c r="E2803"/>
      <c r="F2803"/>
      <c r="G2803" s="12"/>
      <c r="H2803" s="12"/>
      <c r="I2803" s="12"/>
      <c r="J2803" s="12"/>
    </row>
    <row r="2804" spans="5:10" x14ac:dyDescent="0.25">
      <c r="E2804"/>
      <c r="F2804"/>
      <c r="G2804" s="12"/>
      <c r="H2804" s="12"/>
      <c r="I2804" s="12"/>
      <c r="J2804" s="12"/>
    </row>
    <row r="2805" spans="5:10" x14ac:dyDescent="0.25">
      <c r="E2805"/>
      <c r="F2805"/>
      <c r="G2805" s="12"/>
      <c r="H2805" s="12"/>
      <c r="I2805" s="12"/>
      <c r="J2805" s="12"/>
    </row>
    <row r="2806" spans="5:10" x14ac:dyDescent="0.25">
      <c r="E2806"/>
      <c r="F2806"/>
      <c r="G2806" s="12"/>
      <c r="H2806" s="12"/>
      <c r="I2806" s="12"/>
      <c r="J2806" s="12"/>
    </row>
    <row r="2807" spans="5:10" x14ac:dyDescent="0.25">
      <c r="E2807"/>
      <c r="F2807"/>
      <c r="G2807" s="12"/>
      <c r="H2807" s="12"/>
      <c r="I2807" s="12"/>
      <c r="J2807" s="12"/>
    </row>
    <row r="2808" spans="5:10" x14ac:dyDescent="0.25">
      <c r="E2808"/>
      <c r="F2808"/>
      <c r="G2808" s="12"/>
      <c r="H2808" s="12"/>
      <c r="I2808" s="12"/>
      <c r="J2808" s="12"/>
    </row>
    <row r="2809" spans="5:10" x14ac:dyDescent="0.25">
      <c r="E2809"/>
      <c r="F2809"/>
      <c r="G2809" s="12"/>
      <c r="H2809" s="12"/>
      <c r="I2809" s="12"/>
      <c r="J2809" s="12"/>
    </row>
    <row r="2810" spans="5:10" x14ac:dyDescent="0.25">
      <c r="E2810"/>
      <c r="F2810"/>
      <c r="G2810" s="12"/>
      <c r="H2810" s="12"/>
      <c r="I2810" s="12"/>
      <c r="J2810" s="12"/>
    </row>
    <row r="2811" spans="5:10" x14ac:dyDescent="0.25">
      <c r="E2811"/>
      <c r="F2811"/>
      <c r="G2811" s="12"/>
      <c r="H2811" s="12"/>
      <c r="I2811" s="12"/>
      <c r="J2811" s="12"/>
    </row>
    <row r="2812" spans="5:10" x14ac:dyDescent="0.25">
      <c r="E2812"/>
      <c r="F2812"/>
      <c r="G2812" s="12"/>
      <c r="H2812" s="12"/>
      <c r="I2812" s="12"/>
      <c r="J2812" s="12"/>
    </row>
    <row r="2813" spans="5:10" x14ac:dyDescent="0.25">
      <c r="E2813"/>
      <c r="F2813"/>
      <c r="G2813" s="12"/>
      <c r="H2813" s="12"/>
      <c r="I2813" s="12"/>
      <c r="J2813" s="12"/>
    </row>
    <row r="2814" spans="5:10" x14ac:dyDescent="0.25">
      <c r="E2814"/>
      <c r="F2814"/>
      <c r="G2814" s="12"/>
      <c r="H2814" s="12"/>
      <c r="I2814" s="12"/>
      <c r="J2814" s="12"/>
    </row>
    <row r="2815" spans="5:10" x14ac:dyDescent="0.25">
      <c r="E2815"/>
      <c r="F2815"/>
      <c r="G2815" s="12"/>
      <c r="H2815" s="12"/>
      <c r="I2815" s="12"/>
      <c r="J2815" s="12"/>
    </row>
    <row r="2816" spans="5:10" x14ac:dyDescent="0.25">
      <c r="E2816"/>
      <c r="F2816"/>
      <c r="G2816" s="12"/>
      <c r="H2816" s="12"/>
      <c r="I2816" s="12"/>
      <c r="J2816" s="12"/>
    </row>
    <row r="2817" spans="5:10" x14ac:dyDescent="0.25">
      <c r="E2817"/>
      <c r="F2817"/>
      <c r="G2817" s="12"/>
      <c r="H2817" s="12"/>
      <c r="I2817" s="12"/>
      <c r="J2817" s="12"/>
    </row>
    <row r="2818" spans="5:10" x14ac:dyDescent="0.25">
      <c r="E2818"/>
      <c r="F2818"/>
      <c r="G2818" s="12"/>
      <c r="H2818" s="12"/>
      <c r="I2818" s="12"/>
      <c r="J2818" s="12"/>
    </row>
    <row r="2819" spans="5:10" x14ac:dyDescent="0.25">
      <c r="E2819"/>
      <c r="F2819"/>
      <c r="G2819" s="12"/>
      <c r="H2819" s="12"/>
      <c r="I2819" s="12"/>
      <c r="J2819" s="12"/>
    </row>
    <row r="2820" spans="5:10" x14ac:dyDescent="0.25">
      <c r="E2820"/>
      <c r="F2820"/>
      <c r="G2820" s="12"/>
      <c r="H2820" s="12"/>
      <c r="I2820" s="12"/>
      <c r="J2820" s="12"/>
    </row>
    <row r="2821" spans="5:10" x14ac:dyDescent="0.25">
      <c r="E2821"/>
      <c r="F2821"/>
      <c r="G2821" s="12"/>
      <c r="H2821" s="12"/>
      <c r="I2821" s="12"/>
      <c r="J2821" s="12"/>
    </row>
    <row r="2822" spans="5:10" x14ac:dyDescent="0.25">
      <c r="E2822"/>
      <c r="F2822"/>
      <c r="G2822" s="12"/>
      <c r="H2822" s="12"/>
      <c r="I2822" s="12"/>
      <c r="J2822" s="12"/>
    </row>
    <row r="2823" spans="5:10" x14ac:dyDescent="0.25">
      <c r="E2823"/>
      <c r="F2823"/>
      <c r="G2823" s="12"/>
      <c r="H2823" s="12"/>
      <c r="I2823" s="12"/>
      <c r="J2823" s="12"/>
    </row>
    <row r="2824" spans="5:10" x14ac:dyDescent="0.25">
      <c r="E2824"/>
      <c r="F2824"/>
      <c r="G2824" s="12"/>
      <c r="H2824" s="12"/>
      <c r="I2824" s="12"/>
      <c r="J2824" s="12"/>
    </row>
    <row r="2825" spans="5:10" x14ac:dyDescent="0.25">
      <c r="E2825"/>
      <c r="F2825"/>
      <c r="G2825" s="12"/>
      <c r="H2825" s="12"/>
      <c r="I2825" s="12"/>
      <c r="J2825" s="12"/>
    </row>
    <row r="2826" spans="5:10" x14ac:dyDescent="0.25">
      <c r="E2826"/>
      <c r="F2826"/>
      <c r="G2826" s="12"/>
      <c r="H2826" s="12"/>
      <c r="I2826" s="12"/>
      <c r="J2826" s="12"/>
    </row>
    <row r="2827" spans="5:10" x14ac:dyDescent="0.25">
      <c r="E2827"/>
      <c r="F2827"/>
      <c r="G2827" s="12"/>
      <c r="H2827" s="12"/>
      <c r="I2827" s="12"/>
      <c r="J2827" s="12"/>
    </row>
    <row r="2828" spans="5:10" x14ac:dyDescent="0.25">
      <c r="E2828"/>
      <c r="F2828"/>
      <c r="G2828" s="12"/>
      <c r="H2828" s="12"/>
      <c r="I2828" s="12"/>
      <c r="J2828" s="12"/>
    </row>
    <row r="2829" spans="5:10" x14ac:dyDescent="0.25">
      <c r="E2829"/>
      <c r="F2829"/>
      <c r="G2829" s="12"/>
      <c r="H2829" s="12"/>
      <c r="I2829" s="12"/>
      <c r="J2829" s="12"/>
    </row>
    <row r="2830" spans="5:10" x14ac:dyDescent="0.25">
      <c r="E2830"/>
      <c r="F2830"/>
      <c r="G2830" s="12"/>
      <c r="H2830" s="12"/>
      <c r="I2830" s="12"/>
      <c r="J2830" s="12"/>
    </row>
    <row r="2831" spans="5:10" x14ac:dyDescent="0.25">
      <c r="E2831"/>
      <c r="F2831"/>
      <c r="G2831" s="12"/>
      <c r="H2831" s="12"/>
      <c r="I2831" s="12"/>
      <c r="J2831" s="12"/>
    </row>
    <row r="2832" spans="5:10" x14ac:dyDescent="0.25">
      <c r="E2832"/>
      <c r="F2832"/>
      <c r="G2832" s="12"/>
      <c r="H2832" s="12"/>
      <c r="I2832" s="12"/>
      <c r="J2832" s="12"/>
    </row>
    <row r="2833" spans="5:10" x14ac:dyDescent="0.25">
      <c r="E2833"/>
      <c r="F2833"/>
      <c r="G2833" s="12"/>
      <c r="H2833" s="12"/>
      <c r="I2833" s="12"/>
      <c r="J2833" s="12"/>
    </row>
    <row r="2834" spans="5:10" x14ac:dyDescent="0.25">
      <c r="E2834"/>
      <c r="F2834"/>
      <c r="G2834" s="12"/>
      <c r="H2834" s="12"/>
      <c r="I2834" s="12"/>
      <c r="J2834" s="12"/>
    </row>
    <row r="2835" spans="5:10" x14ac:dyDescent="0.25">
      <c r="E2835"/>
      <c r="F2835"/>
      <c r="G2835" s="12"/>
      <c r="H2835" s="12"/>
      <c r="I2835" s="12"/>
      <c r="J2835" s="12"/>
    </row>
    <row r="2836" spans="5:10" x14ac:dyDescent="0.25">
      <c r="E2836"/>
      <c r="F2836"/>
      <c r="G2836" s="12"/>
      <c r="H2836" s="12"/>
      <c r="I2836" s="12"/>
      <c r="J2836" s="12"/>
    </row>
    <row r="2837" spans="5:10" x14ac:dyDescent="0.25">
      <c r="E2837"/>
      <c r="F2837"/>
      <c r="G2837" s="12"/>
      <c r="H2837" s="12"/>
      <c r="I2837" s="12"/>
      <c r="J2837" s="12"/>
    </row>
    <row r="2838" spans="5:10" x14ac:dyDescent="0.25">
      <c r="E2838"/>
      <c r="F2838"/>
      <c r="G2838" s="12"/>
      <c r="H2838" s="12"/>
      <c r="I2838" s="12"/>
      <c r="J2838" s="12"/>
    </row>
    <row r="2839" spans="5:10" x14ac:dyDescent="0.25">
      <c r="E2839"/>
      <c r="F2839"/>
      <c r="G2839" s="12"/>
      <c r="H2839" s="12"/>
      <c r="I2839" s="12"/>
      <c r="J2839" s="12"/>
    </row>
    <row r="2840" spans="5:10" x14ac:dyDescent="0.25">
      <c r="E2840"/>
      <c r="F2840"/>
      <c r="G2840" s="12"/>
      <c r="H2840" s="12"/>
      <c r="I2840" s="12"/>
      <c r="J2840" s="12"/>
    </row>
    <row r="2841" spans="5:10" x14ac:dyDescent="0.25">
      <c r="E2841"/>
      <c r="F2841"/>
      <c r="G2841" s="12"/>
      <c r="H2841" s="12"/>
      <c r="I2841" s="12"/>
      <c r="J2841" s="12"/>
    </row>
    <row r="2842" spans="5:10" x14ac:dyDescent="0.25">
      <c r="E2842"/>
      <c r="F2842"/>
      <c r="G2842" s="12"/>
      <c r="H2842" s="12"/>
      <c r="I2842" s="12"/>
      <c r="J2842" s="12"/>
    </row>
    <row r="2843" spans="5:10" x14ac:dyDescent="0.25">
      <c r="E2843"/>
      <c r="F2843"/>
      <c r="G2843" s="12"/>
      <c r="H2843" s="12"/>
      <c r="I2843" s="12"/>
      <c r="J2843" s="12"/>
    </row>
    <row r="2844" spans="5:10" x14ac:dyDescent="0.25">
      <c r="E2844"/>
      <c r="F2844"/>
      <c r="G2844" s="12"/>
      <c r="H2844" s="12"/>
      <c r="I2844" s="12"/>
      <c r="J2844" s="12"/>
    </row>
    <row r="2845" spans="5:10" x14ac:dyDescent="0.25">
      <c r="E2845"/>
      <c r="F2845"/>
      <c r="G2845" s="12"/>
      <c r="H2845" s="12"/>
      <c r="I2845" s="12"/>
      <c r="J2845" s="12"/>
    </row>
    <row r="2846" spans="5:10" x14ac:dyDescent="0.25">
      <c r="E2846"/>
      <c r="F2846"/>
      <c r="G2846" s="12"/>
      <c r="H2846" s="12"/>
      <c r="I2846" s="12"/>
      <c r="J2846" s="12"/>
    </row>
    <row r="2847" spans="5:10" x14ac:dyDescent="0.25">
      <c r="E2847"/>
      <c r="F2847"/>
      <c r="G2847" s="12"/>
      <c r="H2847" s="12"/>
      <c r="I2847" s="12"/>
      <c r="J2847" s="12"/>
    </row>
    <row r="2848" spans="5:10" x14ac:dyDescent="0.25">
      <c r="E2848"/>
      <c r="F2848"/>
      <c r="G2848" s="12"/>
      <c r="H2848" s="12"/>
      <c r="I2848" s="12"/>
      <c r="J2848" s="12"/>
    </row>
    <row r="2849" spans="5:10" x14ac:dyDescent="0.25">
      <c r="E2849"/>
      <c r="F2849"/>
      <c r="G2849" s="12"/>
      <c r="H2849" s="12"/>
      <c r="I2849" s="12"/>
      <c r="J2849" s="12"/>
    </row>
    <row r="2850" spans="5:10" x14ac:dyDescent="0.25">
      <c r="E2850"/>
      <c r="F2850"/>
      <c r="G2850" s="12"/>
      <c r="H2850" s="12"/>
      <c r="I2850" s="12"/>
      <c r="J2850" s="12"/>
    </row>
    <row r="2851" spans="5:10" x14ac:dyDescent="0.25">
      <c r="E2851"/>
      <c r="F2851"/>
      <c r="G2851" s="12"/>
      <c r="H2851" s="12"/>
      <c r="I2851" s="12"/>
      <c r="J2851" s="12"/>
    </row>
    <row r="2852" spans="5:10" x14ac:dyDescent="0.25">
      <c r="E2852"/>
      <c r="F2852"/>
      <c r="G2852" s="12"/>
      <c r="H2852" s="12"/>
      <c r="I2852" s="12"/>
      <c r="J2852" s="12"/>
    </row>
    <row r="2853" spans="5:10" x14ac:dyDescent="0.25">
      <c r="E2853"/>
      <c r="F2853"/>
      <c r="G2853" s="12"/>
      <c r="H2853" s="12"/>
      <c r="I2853" s="12"/>
      <c r="J2853" s="12"/>
    </row>
    <row r="2854" spans="5:10" x14ac:dyDescent="0.25">
      <c r="E2854"/>
      <c r="F2854"/>
      <c r="G2854" s="12"/>
      <c r="H2854" s="12"/>
      <c r="I2854" s="12"/>
      <c r="J2854" s="12"/>
    </row>
    <row r="2855" spans="5:10" x14ac:dyDescent="0.25">
      <c r="E2855"/>
      <c r="F2855"/>
      <c r="G2855" s="12"/>
      <c r="H2855" s="12"/>
      <c r="I2855" s="12"/>
      <c r="J2855" s="12"/>
    </row>
    <row r="2856" spans="5:10" x14ac:dyDescent="0.25">
      <c r="E2856"/>
      <c r="F2856"/>
      <c r="G2856" s="12"/>
      <c r="H2856" s="12"/>
      <c r="I2856" s="12"/>
      <c r="J2856" s="12"/>
    </row>
    <row r="2857" spans="5:10" x14ac:dyDescent="0.25">
      <c r="E2857"/>
      <c r="F2857"/>
      <c r="G2857" s="12"/>
      <c r="H2857" s="12"/>
      <c r="I2857" s="12"/>
      <c r="J2857" s="12"/>
    </row>
    <row r="2858" spans="5:10" x14ac:dyDescent="0.25">
      <c r="E2858"/>
      <c r="F2858"/>
      <c r="G2858" s="12"/>
      <c r="H2858" s="12"/>
      <c r="I2858" s="12"/>
      <c r="J2858" s="12"/>
    </row>
    <row r="2859" spans="5:10" x14ac:dyDescent="0.25">
      <c r="E2859"/>
      <c r="F2859"/>
      <c r="G2859" s="12"/>
      <c r="H2859" s="12"/>
      <c r="I2859" s="12"/>
      <c r="J2859" s="12"/>
    </row>
    <row r="2860" spans="5:10" x14ac:dyDescent="0.25">
      <c r="E2860"/>
      <c r="F2860"/>
      <c r="G2860" s="12"/>
      <c r="H2860" s="12"/>
      <c r="I2860" s="12"/>
      <c r="J2860" s="12"/>
    </row>
    <row r="2861" spans="5:10" x14ac:dyDescent="0.25">
      <c r="E2861"/>
      <c r="F2861"/>
      <c r="G2861" s="12"/>
      <c r="H2861" s="12"/>
      <c r="I2861" s="12"/>
      <c r="J2861" s="12"/>
    </row>
    <row r="2862" spans="5:10" x14ac:dyDescent="0.25">
      <c r="E2862"/>
      <c r="F2862"/>
      <c r="G2862" s="12"/>
      <c r="H2862" s="12"/>
      <c r="I2862" s="12"/>
      <c r="J2862" s="12"/>
    </row>
    <row r="2863" spans="5:10" x14ac:dyDescent="0.25">
      <c r="E2863"/>
      <c r="F2863"/>
      <c r="G2863" s="12"/>
      <c r="H2863" s="12"/>
      <c r="I2863" s="12"/>
      <c r="J2863" s="12"/>
    </row>
    <row r="2864" spans="5:10" x14ac:dyDescent="0.25">
      <c r="E2864"/>
      <c r="F2864"/>
      <c r="G2864" s="12"/>
      <c r="H2864" s="12"/>
      <c r="I2864" s="12"/>
      <c r="J2864" s="12"/>
    </row>
    <row r="2865" spans="5:10" x14ac:dyDescent="0.25">
      <c r="E2865"/>
      <c r="F2865"/>
      <c r="G2865" s="12"/>
      <c r="H2865" s="12"/>
      <c r="I2865" s="12"/>
      <c r="J2865" s="12"/>
    </row>
    <row r="2866" spans="5:10" x14ac:dyDescent="0.25">
      <c r="E2866"/>
      <c r="F2866"/>
      <c r="G2866" s="12"/>
      <c r="H2866" s="12"/>
      <c r="I2866" s="12"/>
      <c r="J2866" s="12"/>
    </row>
    <row r="2867" spans="5:10" x14ac:dyDescent="0.25">
      <c r="E2867"/>
      <c r="F2867"/>
      <c r="G2867" s="12"/>
      <c r="H2867" s="12"/>
      <c r="I2867" s="12"/>
      <c r="J2867" s="12"/>
    </row>
    <row r="2868" spans="5:10" x14ac:dyDescent="0.25">
      <c r="E2868"/>
      <c r="F2868"/>
      <c r="G2868" s="12"/>
      <c r="H2868" s="12"/>
      <c r="I2868" s="12"/>
      <c r="J2868" s="12"/>
    </row>
    <row r="2869" spans="5:10" x14ac:dyDescent="0.25">
      <c r="E2869"/>
      <c r="F2869"/>
      <c r="G2869" s="12"/>
      <c r="H2869" s="12"/>
      <c r="I2869" s="12"/>
      <c r="J2869" s="12"/>
    </row>
    <row r="2870" spans="5:10" x14ac:dyDescent="0.25">
      <c r="E2870"/>
      <c r="F2870"/>
      <c r="G2870" s="12"/>
      <c r="H2870" s="12"/>
      <c r="I2870" s="12"/>
      <c r="J2870" s="12"/>
    </row>
    <row r="2871" spans="5:10" x14ac:dyDescent="0.25">
      <c r="E2871"/>
      <c r="F2871"/>
      <c r="G2871" s="12"/>
      <c r="H2871" s="12"/>
      <c r="I2871" s="12"/>
      <c r="J2871" s="12"/>
    </row>
    <row r="2872" spans="5:10" x14ac:dyDescent="0.25">
      <c r="E2872"/>
      <c r="F2872"/>
      <c r="G2872" s="12"/>
      <c r="H2872" s="12"/>
      <c r="I2872" s="12"/>
      <c r="J2872" s="12"/>
    </row>
    <row r="2873" spans="5:10" x14ac:dyDescent="0.25">
      <c r="E2873"/>
      <c r="F2873"/>
      <c r="G2873" s="12"/>
      <c r="H2873" s="12"/>
      <c r="I2873" s="12"/>
      <c r="J2873" s="12"/>
    </row>
    <row r="2874" spans="5:10" x14ac:dyDescent="0.25">
      <c r="E2874"/>
      <c r="F2874"/>
      <c r="G2874" s="12"/>
      <c r="H2874" s="12"/>
      <c r="I2874" s="12"/>
      <c r="J2874" s="12"/>
    </row>
    <row r="2875" spans="5:10" x14ac:dyDescent="0.25">
      <c r="E2875"/>
      <c r="F2875"/>
      <c r="G2875" s="12"/>
      <c r="H2875" s="12"/>
      <c r="I2875" s="12"/>
      <c r="J2875" s="12"/>
    </row>
    <row r="2876" spans="5:10" x14ac:dyDescent="0.25">
      <c r="E2876"/>
      <c r="F2876"/>
      <c r="G2876" s="12"/>
      <c r="H2876" s="12"/>
      <c r="I2876" s="12"/>
      <c r="J2876" s="12"/>
    </row>
    <row r="2877" spans="5:10" x14ac:dyDescent="0.25">
      <c r="E2877"/>
      <c r="F2877"/>
      <c r="G2877" s="12"/>
      <c r="H2877" s="12"/>
      <c r="I2877" s="12"/>
      <c r="J2877" s="12"/>
    </row>
    <row r="2878" spans="5:10" x14ac:dyDescent="0.25">
      <c r="E2878"/>
      <c r="F2878"/>
      <c r="G2878" s="12"/>
      <c r="H2878" s="12"/>
      <c r="I2878" s="12"/>
      <c r="J2878" s="12"/>
    </row>
    <row r="2879" spans="5:10" x14ac:dyDescent="0.25">
      <c r="E2879"/>
      <c r="F2879"/>
      <c r="G2879" s="12"/>
      <c r="H2879" s="12"/>
      <c r="I2879" s="12"/>
      <c r="J2879" s="12"/>
    </row>
    <row r="2880" spans="5:10" x14ac:dyDescent="0.25">
      <c r="E2880"/>
      <c r="F2880"/>
      <c r="G2880" s="12"/>
      <c r="H2880" s="12"/>
      <c r="I2880" s="12"/>
      <c r="J2880" s="12"/>
    </row>
    <row r="2881" spans="5:10" x14ac:dyDescent="0.25">
      <c r="E2881"/>
      <c r="F2881"/>
      <c r="G2881" s="12"/>
      <c r="H2881" s="12"/>
      <c r="I2881" s="12"/>
      <c r="J2881" s="12"/>
    </row>
    <row r="2882" spans="5:10" x14ac:dyDescent="0.25">
      <c r="E2882"/>
      <c r="F2882"/>
      <c r="G2882" s="12"/>
      <c r="H2882" s="12"/>
      <c r="I2882" s="12"/>
      <c r="J2882" s="12"/>
    </row>
    <row r="2883" spans="5:10" x14ac:dyDescent="0.25">
      <c r="E2883"/>
      <c r="F2883"/>
      <c r="G2883" s="12"/>
      <c r="H2883" s="12"/>
      <c r="I2883" s="12"/>
      <c r="J2883" s="12"/>
    </row>
    <row r="2884" spans="5:10" x14ac:dyDescent="0.25">
      <c r="E2884"/>
      <c r="F2884"/>
      <c r="G2884" s="12"/>
      <c r="H2884" s="12"/>
      <c r="I2884" s="12"/>
      <c r="J2884" s="12"/>
    </row>
    <row r="2885" spans="5:10" x14ac:dyDescent="0.25">
      <c r="E2885"/>
      <c r="F2885"/>
      <c r="G2885" s="12"/>
      <c r="H2885" s="12"/>
      <c r="I2885" s="12"/>
      <c r="J2885" s="12"/>
    </row>
    <row r="2886" spans="5:10" x14ac:dyDescent="0.25">
      <c r="E2886"/>
      <c r="F2886"/>
      <c r="G2886" s="12"/>
      <c r="H2886" s="12"/>
      <c r="I2886" s="12"/>
      <c r="J2886" s="12"/>
    </row>
    <row r="2887" spans="5:10" x14ac:dyDescent="0.25">
      <c r="E2887"/>
      <c r="F2887"/>
      <c r="G2887" s="12"/>
      <c r="H2887" s="12"/>
      <c r="I2887" s="12"/>
      <c r="J2887" s="12"/>
    </row>
    <row r="2888" spans="5:10" x14ac:dyDescent="0.25">
      <c r="E2888"/>
      <c r="F2888"/>
      <c r="G2888" s="12"/>
      <c r="H2888" s="12"/>
      <c r="I2888" s="12"/>
      <c r="J2888" s="12"/>
    </row>
    <row r="2889" spans="5:10" x14ac:dyDescent="0.25">
      <c r="E2889"/>
      <c r="F2889"/>
      <c r="G2889" s="12"/>
      <c r="H2889" s="12"/>
      <c r="I2889" s="12"/>
      <c r="J2889" s="12"/>
    </row>
    <row r="2890" spans="5:10" x14ac:dyDescent="0.25">
      <c r="E2890"/>
      <c r="F2890"/>
      <c r="G2890" s="12"/>
      <c r="H2890" s="12"/>
      <c r="I2890" s="12"/>
      <c r="J2890" s="12"/>
    </row>
    <row r="2891" spans="5:10" x14ac:dyDescent="0.25">
      <c r="E2891"/>
      <c r="F2891"/>
      <c r="G2891" s="12"/>
      <c r="H2891" s="12"/>
      <c r="I2891" s="12"/>
      <c r="J2891" s="12"/>
    </row>
    <row r="2892" spans="5:10" x14ac:dyDescent="0.25">
      <c r="E2892"/>
      <c r="F2892"/>
      <c r="G2892" s="12"/>
      <c r="H2892" s="12"/>
      <c r="I2892" s="12"/>
      <c r="J2892" s="12"/>
    </row>
    <row r="2893" spans="5:10" x14ac:dyDescent="0.25">
      <c r="E2893"/>
      <c r="F2893"/>
      <c r="G2893" s="12"/>
      <c r="H2893" s="12"/>
      <c r="I2893" s="12"/>
      <c r="J2893" s="12"/>
    </row>
    <row r="2894" spans="5:10" x14ac:dyDescent="0.25">
      <c r="E2894"/>
      <c r="F2894"/>
      <c r="G2894" s="12"/>
      <c r="H2894" s="12"/>
      <c r="I2894" s="12"/>
      <c r="J2894" s="12"/>
    </row>
    <row r="2895" spans="5:10" x14ac:dyDescent="0.25">
      <c r="E2895"/>
      <c r="F2895"/>
      <c r="G2895" s="12"/>
      <c r="H2895" s="12"/>
      <c r="I2895" s="12"/>
      <c r="J2895" s="12"/>
    </row>
    <row r="2896" spans="5:10" x14ac:dyDescent="0.25">
      <c r="E2896"/>
      <c r="F2896"/>
      <c r="G2896" s="12"/>
      <c r="H2896" s="12"/>
      <c r="I2896" s="12"/>
      <c r="J2896" s="12"/>
    </row>
    <row r="2897" spans="5:10" x14ac:dyDescent="0.25">
      <c r="E2897"/>
      <c r="F2897"/>
      <c r="G2897" s="12"/>
      <c r="H2897" s="12"/>
      <c r="I2897" s="12"/>
      <c r="J2897" s="12"/>
    </row>
    <row r="2898" spans="5:10" x14ac:dyDescent="0.25">
      <c r="E2898"/>
      <c r="F2898"/>
      <c r="G2898" s="12"/>
      <c r="H2898" s="12"/>
      <c r="I2898" s="12"/>
      <c r="J2898" s="12"/>
    </row>
    <row r="2899" spans="5:10" x14ac:dyDescent="0.25">
      <c r="E2899"/>
      <c r="F2899"/>
      <c r="G2899" s="12"/>
      <c r="H2899" s="12"/>
      <c r="I2899" s="12"/>
      <c r="J2899" s="12"/>
    </row>
    <row r="2900" spans="5:10" x14ac:dyDescent="0.25">
      <c r="E2900"/>
      <c r="F2900"/>
      <c r="G2900" s="12"/>
      <c r="H2900" s="12"/>
      <c r="I2900" s="12"/>
      <c r="J2900" s="12"/>
    </row>
    <row r="2901" spans="5:10" x14ac:dyDescent="0.25">
      <c r="E2901"/>
      <c r="F2901"/>
      <c r="G2901" s="12"/>
      <c r="H2901" s="12"/>
      <c r="I2901" s="12"/>
      <c r="J2901" s="12"/>
    </row>
    <row r="2902" spans="5:10" x14ac:dyDescent="0.25">
      <c r="E2902"/>
      <c r="F2902"/>
      <c r="G2902" s="12"/>
      <c r="H2902" s="12"/>
      <c r="I2902" s="12"/>
      <c r="J2902" s="12"/>
    </row>
    <row r="2903" spans="5:10" x14ac:dyDescent="0.25">
      <c r="E2903"/>
      <c r="F2903"/>
      <c r="G2903" s="12"/>
      <c r="H2903" s="12"/>
      <c r="I2903" s="12"/>
      <c r="J2903" s="12"/>
    </row>
    <row r="2904" spans="5:10" x14ac:dyDescent="0.25">
      <c r="E2904"/>
      <c r="F2904"/>
      <c r="G2904" s="12"/>
      <c r="H2904" s="12"/>
      <c r="I2904" s="12"/>
      <c r="J2904" s="12"/>
    </row>
    <row r="2905" spans="5:10" x14ac:dyDescent="0.25">
      <c r="E2905"/>
      <c r="F2905"/>
      <c r="G2905" s="12"/>
      <c r="H2905" s="12"/>
      <c r="I2905" s="12"/>
      <c r="J2905" s="12"/>
    </row>
    <row r="2906" spans="5:10" x14ac:dyDescent="0.25">
      <c r="E2906"/>
      <c r="F2906"/>
      <c r="G2906" s="12"/>
      <c r="H2906" s="12"/>
      <c r="I2906" s="12"/>
      <c r="J2906" s="12"/>
    </row>
    <row r="2907" spans="5:10" x14ac:dyDescent="0.25">
      <c r="E2907"/>
      <c r="F2907"/>
      <c r="G2907" s="12"/>
      <c r="H2907" s="12"/>
      <c r="I2907" s="12"/>
      <c r="J2907" s="12"/>
    </row>
    <row r="2908" spans="5:10" x14ac:dyDescent="0.25">
      <c r="E2908"/>
      <c r="F2908"/>
      <c r="G2908" s="12"/>
      <c r="H2908" s="12"/>
      <c r="I2908" s="12"/>
      <c r="J2908" s="12"/>
    </row>
    <row r="2909" spans="5:10" x14ac:dyDescent="0.25">
      <c r="E2909"/>
      <c r="F2909"/>
      <c r="G2909" s="12"/>
      <c r="H2909" s="12"/>
      <c r="I2909" s="12"/>
      <c r="J2909" s="12"/>
    </row>
    <row r="2910" spans="5:10" x14ac:dyDescent="0.25">
      <c r="E2910"/>
      <c r="F2910"/>
      <c r="G2910" s="12"/>
      <c r="H2910" s="12"/>
      <c r="I2910" s="12"/>
      <c r="J2910" s="12"/>
    </row>
    <row r="2911" spans="5:10" x14ac:dyDescent="0.25">
      <c r="E2911"/>
      <c r="F2911"/>
      <c r="G2911" s="12"/>
      <c r="H2911" s="12"/>
      <c r="I2911" s="12"/>
      <c r="J2911" s="12"/>
    </row>
    <row r="2912" spans="5:10" x14ac:dyDescent="0.25">
      <c r="E2912"/>
      <c r="F2912"/>
      <c r="G2912" s="12"/>
      <c r="H2912" s="12"/>
      <c r="I2912" s="12"/>
      <c r="J2912" s="12"/>
    </row>
    <row r="2913" spans="5:10" x14ac:dyDescent="0.25">
      <c r="E2913"/>
      <c r="F2913"/>
      <c r="G2913" s="12"/>
      <c r="H2913" s="12"/>
      <c r="I2913" s="12"/>
      <c r="J2913" s="12"/>
    </row>
    <row r="2914" spans="5:10" x14ac:dyDescent="0.25">
      <c r="E2914"/>
      <c r="F2914"/>
      <c r="G2914" s="12"/>
      <c r="H2914" s="12"/>
      <c r="I2914" s="12"/>
      <c r="J2914" s="12"/>
    </row>
    <row r="2915" spans="5:10" x14ac:dyDescent="0.25">
      <c r="E2915"/>
      <c r="F2915"/>
      <c r="G2915" s="12"/>
      <c r="H2915" s="12"/>
      <c r="I2915" s="12"/>
      <c r="J2915" s="12"/>
    </row>
    <row r="2916" spans="5:10" x14ac:dyDescent="0.25">
      <c r="E2916"/>
      <c r="F2916"/>
      <c r="G2916" s="12"/>
      <c r="H2916" s="12"/>
      <c r="I2916" s="12"/>
      <c r="J2916" s="12"/>
    </row>
    <row r="2917" spans="5:10" x14ac:dyDescent="0.25">
      <c r="E2917"/>
      <c r="F2917"/>
      <c r="G2917" s="12"/>
      <c r="H2917" s="12"/>
      <c r="I2917" s="12"/>
      <c r="J2917" s="12"/>
    </row>
    <row r="2918" spans="5:10" x14ac:dyDescent="0.25">
      <c r="E2918"/>
      <c r="F2918"/>
      <c r="G2918" s="12"/>
      <c r="H2918" s="12"/>
      <c r="I2918" s="12"/>
      <c r="J2918" s="12"/>
    </row>
    <row r="2919" spans="5:10" x14ac:dyDescent="0.25">
      <c r="E2919"/>
      <c r="F2919"/>
      <c r="G2919" s="12"/>
      <c r="H2919" s="12"/>
      <c r="I2919" s="12"/>
      <c r="J2919" s="12"/>
    </row>
    <row r="2920" spans="5:10" x14ac:dyDescent="0.25">
      <c r="E2920"/>
      <c r="F2920"/>
      <c r="G2920" s="12"/>
      <c r="H2920" s="12"/>
      <c r="I2920" s="12"/>
      <c r="J2920" s="12"/>
    </row>
    <row r="2921" spans="5:10" x14ac:dyDescent="0.25">
      <c r="E2921"/>
      <c r="F2921"/>
      <c r="G2921" s="12"/>
      <c r="H2921" s="12"/>
      <c r="I2921" s="12"/>
      <c r="J2921" s="12"/>
    </row>
    <row r="2922" spans="5:10" x14ac:dyDescent="0.25">
      <c r="E2922"/>
      <c r="F2922"/>
      <c r="G2922" s="12"/>
      <c r="H2922" s="12"/>
      <c r="I2922" s="12"/>
      <c r="J2922" s="12"/>
    </row>
    <row r="2923" spans="5:10" x14ac:dyDescent="0.25">
      <c r="E2923"/>
      <c r="F2923"/>
      <c r="G2923" s="12"/>
      <c r="H2923" s="12"/>
      <c r="I2923" s="12"/>
      <c r="J2923" s="12"/>
    </row>
    <row r="2924" spans="5:10" x14ac:dyDescent="0.25">
      <c r="E2924"/>
      <c r="F2924"/>
      <c r="G2924" s="12"/>
      <c r="H2924" s="12"/>
      <c r="I2924" s="12"/>
      <c r="J2924" s="12"/>
    </row>
    <row r="2925" spans="5:10" x14ac:dyDescent="0.25">
      <c r="E2925"/>
      <c r="F2925"/>
      <c r="G2925" s="12"/>
      <c r="H2925" s="12"/>
      <c r="I2925" s="12"/>
      <c r="J2925" s="12"/>
    </row>
    <row r="2926" spans="5:10" x14ac:dyDescent="0.25">
      <c r="E2926"/>
      <c r="F2926"/>
      <c r="G2926" s="12"/>
      <c r="H2926" s="12"/>
      <c r="I2926" s="12"/>
      <c r="J2926" s="12"/>
    </row>
    <row r="2927" spans="5:10" x14ac:dyDescent="0.25">
      <c r="E2927"/>
      <c r="F2927"/>
      <c r="G2927" s="12"/>
      <c r="H2927" s="12"/>
      <c r="I2927" s="12"/>
      <c r="J2927" s="12"/>
    </row>
    <row r="2928" spans="5:10" x14ac:dyDescent="0.25">
      <c r="E2928"/>
      <c r="F2928"/>
      <c r="G2928" s="12"/>
      <c r="H2928" s="12"/>
      <c r="I2928" s="12"/>
      <c r="J2928" s="12"/>
    </row>
    <row r="2929" spans="5:10" x14ac:dyDescent="0.25">
      <c r="E2929"/>
      <c r="F2929"/>
      <c r="G2929" s="12"/>
      <c r="H2929" s="12"/>
      <c r="I2929" s="12"/>
      <c r="J2929" s="12"/>
    </row>
    <row r="2930" spans="5:10" x14ac:dyDescent="0.25">
      <c r="E2930"/>
      <c r="F2930"/>
      <c r="G2930" s="12"/>
      <c r="H2930" s="12"/>
      <c r="I2930" s="12"/>
      <c r="J2930" s="12"/>
    </row>
    <row r="2931" spans="5:10" x14ac:dyDescent="0.25">
      <c r="E2931"/>
      <c r="F2931"/>
      <c r="G2931" s="12"/>
      <c r="H2931" s="12"/>
      <c r="I2931" s="12"/>
      <c r="J2931" s="12"/>
    </row>
    <row r="2932" spans="5:10" x14ac:dyDescent="0.25">
      <c r="E2932"/>
      <c r="F2932"/>
      <c r="G2932" s="12"/>
      <c r="H2932" s="12"/>
      <c r="I2932" s="12"/>
      <c r="J2932" s="12"/>
    </row>
    <row r="2933" spans="5:10" x14ac:dyDescent="0.25">
      <c r="E2933"/>
      <c r="F2933"/>
      <c r="G2933" s="12"/>
      <c r="H2933" s="12"/>
      <c r="I2933" s="12"/>
      <c r="J2933" s="12"/>
    </row>
    <row r="2934" spans="5:10" x14ac:dyDescent="0.25">
      <c r="E2934"/>
      <c r="F2934"/>
      <c r="G2934" s="12"/>
      <c r="H2934" s="12"/>
      <c r="I2934" s="12"/>
      <c r="J2934" s="12"/>
    </row>
    <row r="2935" spans="5:10" x14ac:dyDescent="0.25">
      <c r="E2935"/>
      <c r="F2935"/>
      <c r="G2935" s="12"/>
      <c r="H2935" s="12"/>
      <c r="I2935" s="12"/>
      <c r="J2935" s="12"/>
    </row>
    <row r="2936" spans="5:10" x14ac:dyDescent="0.25">
      <c r="E2936"/>
      <c r="F2936"/>
      <c r="G2936" s="12"/>
      <c r="H2936" s="12"/>
      <c r="I2936" s="12"/>
      <c r="J2936" s="12"/>
    </row>
    <row r="2937" spans="5:10" x14ac:dyDescent="0.25">
      <c r="E2937"/>
      <c r="F2937"/>
      <c r="G2937" s="12"/>
      <c r="H2937" s="12"/>
      <c r="I2937" s="12"/>
      <c r="J2937" s="12"/>
    </row>
    <row r="2938" spans="5:10" x14ac:dyDescent="0.25">
      <c r="E2938"/>
      <c r="F2938"/>
      <c r="G2938" s="12"/>
      <c r="H2938" s="12"/>
      <c r="I2938" s="12"/>
      <c r="J2938" s="12"/>
    </row>
    <row r="2939" spans="5:10" x14ac:dyDescent="0.25">
      <c r="E2939"/>
      <c r="F2939"/>
      <c r="G2939" s="12"/>
      <c r="H2939" s="12"/>
      <c r="I2939" s="12"/>
      <c r="J2939" s="12"/>
    </row>
    <row r="2940" spans="5:10" x14ac:dyDescent="0.25">
      <c r="E2940"/>
      <c r="F2940"/>
      <c r="G2940" s="12"/>
      <c r="H2940" s="12"/>
      <c r="I2940" s="12"/>
      <c r="J2940" s="12"/>
    </row>
    <row r="2941" spans="5:10" x14ac:dyDescent="0.25">
      <c r="E2941"/>
      <c r="F2941"/>
      <c r="G2941" s="12"/>
      <c r="H2941" s="12"/>
      <c r="I2941" s="12"/>
      <c r="J2941" s="12"/>
    </row>
    <row r="2942" spans="5:10" x14ac:dyDescent="0.25">
      <c r="E2942"/>
      <c r="F2942"/>
      <c r="G2942" s="12"/>
      <c r="H2942" s="12"/>
      <c r="I2942" s="12"/>
      <c r="J2942" s="12"/>
    </row>
    <row r="2943" spans="5:10" x14ac:dyDescent="0.25">
      <c r="E2943"/>
      <c r="F2943"/>
      <c r="G2943" s="12"/>
      <c r="H2943" s="12"/>
      <c r="I2943" s="12"/>
      <c r="J2943" s="12"/>
    </row>
    <row r="2944" spans="5:10" x14ac:dyDescent="0.25">
      <c r="E2944"/>
      <c r="F2944"/>
      <c r="G2944" s="12"/>
      <c r="H2944" s="12"/>
      <c r="I2944" s="12"/>
      <c r="J2944" s="12"/>
    </row>
    <row r="2945" spans="5:10" x14ac:dyDescent="0.25">
      <c r="E2945"/>
      <c r="F2945"/>
      <c r="G2945" s="12"/>
      <c r="H2945" s="12"/>
      <c r="I2945" s="12"/>
      <c r="J2945" s="12"/>
    </row>
    <row r="2946" spans="5:10" x14ac:dyDescent="0.25">
      <c r="E2946"/>
      <c r="F2946"/>
      <c r="G2946" s="12"/>
      <c r="H2946" s="12"/>
      <c r="I2946" s="12"/>
      <c r="J2946" s="12"/>
    </row>
    <row r="2947" spans="5:10" x14ac:dyDescent="0.25">
      <c r="E2947"/>
      <c r="F2947"/>
      <c r="G2947" s="12"/>
      <c r="H2947" s="12"/>
      <c r="I2947" s="12"/>
      <c r="J2947" s="12"/>
    </row>
    <row r="2948" spans="5:10" x14ac:dyDescent="0.25">
      <c r="E2948"/>
      <c r="F2948"/>
      <c r="G2948" s="12"/>
      <c r="H2948" s="12"/>
      <c r="I2948" s="12"/>
      <c r="J2948" s="12"/>
    </row>
    <row r="2949" spans="5:10" x14ac:dyDescent="0.25">
      <c r="E2949"/>
      <c r="F2949"/>
      <c r="G2949" s="12"/>
      <c r="H2949" s="12"/>
      <c r="I2949" s="12"/>
      <c r="J2949" s="12"/>
    </row>
    <row r="2950" spans="5:10" x14ac:dyDescent="0.25">
      <c r="E2950"/>
      <c r="F2950"/>
      <c r="G2950" s="12"/>
      <c r="H2950" s="12"/>
      <c r="I2950" s="12"/>
      <c r="J2950" s="12"/>
    </row>
    <row r="2951" spans="5:10" x14ac:dyDescent="0.25">
      <c r="E2951"/>
      <c r="F2951"/>
      <c r="G2951" s="12"/>
      <c r="H2951" s="12"/>
      <c r="I2951" s="12"/>
      <c r="J2951" s="12"/>
    </row>
    <row r="2952" spans="5:10" x14ac:dyDescent="0.25">
      <c r="E2952"/>
      <c r="F2952"/>
      <c r="G2952" s="12"/>
      <c r="H2952" s="12"/>
      <c r="I2952" s="12"/>
      <c r="J2952" s="12"/>
    </row>
    <row r="2953" spans="5:10" x14ac:dyDescent="0.25">
      <c r="E2953"/>
      <c r="F2953"/>
      <c r="G2953" s="12"/>
      <c r="H2953" s="12"/>
      <c r="I2953" s="12"/>
      <c r="J2953" s="12"/>
    </row>
    <row r="2954" spans="5:10" x14ac:dyDescent="0.25">
      <c r="E2954"/>
      <c r="F2954"/>
      <c r="G2954" s="12"/>
      <c r="H2954" s="12"/>
      <c r="I2954" s="12"/>
      <c r="J2954" s="12"/>
    </row>
    <row r="2955" spans="5:10" x14ac:dyDescent="0.25">
      <c r="E2955"/>
      <c r="F2955"/>
      <c r="G2955" s="12"/>
      <c r="H2955" s="12"/>
      <c r="I2955" s="12"/>
      <c r="J2955" s="12"/>
    </row>
    <row r="2956" spans="5:10" x14ac:dyDescent="0.25">
      <c r="E2956"/>
      <c r="F2956"/>
      <c r="G2956" s="12"/>
      <c r="H2956" s="12"/>
      <c r="I2956" s="12"/>
      <c r="J2956" s="12"/>
    </row>
    <row r="2957" spans="5:10" x14ac:dyDescent="0.25">
      <c r="E2957"/>
      <c r="F2957"/>
      <c r="G2957" s="12"/>
      <c r="H2957" s="12"/>
      <c r="I2957" s="12"/>
      <c r="J2957" s="12"/>
    </row>
    <row r="2958" spans="5:10" x14ac:dyDescent="0.25">
      <c r="E2958"/>
      <c r="F2958"/>
      <c r="G2958" s="12"/>
      <c r="H2958" s="12"/>
      <c r="I2958" s="12"/>
      <c r="J2958" s="12"/>
    </row>
    <row r="2959" spans="5:10" x14ac:dyDescent="0.25">
      <c r="E2959"/>
      <c r="F2959"/>
      <c r="G2959" s="12"/>
      <c r="H2959" s="12"/>
      <c r="I2959" s="12"/>
      <c r="J2959" s="12"/>
    </row>
    <row r="2960" spans="5:10" x14ac:dyDescent="0.25">
      <c r="E2960"/>
      <c r="F2960"/>
      <c r="G2960" s="12"/>
      <c r="H2960" s="12"/>
      <c r="I2960" s="12"/>
      <c r="J2960" s="12"/>
    </row>
    <row r="2961" spans="5:10" x14ac:dyDescent="0.25">
      <c r="E2961"/>
      <c r="F2961"/>
      <c r="G2961" s="12"/>
      <c r="H2961" s="12"/>
      <c r="I2961" s="12"/>
      <c r="J2961" s="12"/>
    </row>
    <row r="2962" spans="5:10" x14ac:dyDescent="0.25">
      <c r="E2962"/>
      <c r="F2962"/>
      <c r="G2962" s="12"/>
      <c r="H2962" s="12"/>
      <c r="I2962" s="12"/>
      <c r="J2962" s="12"/>
    </row>
    <row r="2963" spans="5:10" x14ac:dyDescent="0.25">
      <c r="E2963"/>
      <c r="F2963"/>
      <c r="G2963" s="12"/>
      <c r="H2963" s="12"/>
      <c r="I2963" s="12"/>
      <c r="J2963" s="12"/>
    </row>
    <row r="2964" spans="5:10" x14ac:dyDescent="0.25">
      <c r="E2964"/>
      <c r="F2964"/>
      <c r="G2964" s="12"/>
      <c r="H2964" s="12"/>
      <c r="I2964" s="12"/>
      <c r="J2964" s="12"/>
    </row>
    <row r="2965" spans="5:10" x14ac:dyDescent="0.25">
      <c r="E2965"/>
      <c r="F2965"/>
      <c r="G2965" s="12"/>
      <c r="H2965" s="12"/>
      <c r="I2965" s="12"/>
      <c r="J2965" s="12"/>
    </row>
    <row r="2966" spans="5:10" x14ac:dyDescent="0.25">
      <c r="E2966"/>
      <c r="F2966"/>
      <c r="G2966" s="12"/>
      <c r="H2966" s="12"/>
      <c r="I2966" s="12"/>
      <c r="J2966" s="12"/>
    </row>
    <row r="2967" spans="5:10" x14ac:dyDescent="0.25">
      <c r="E2967"/>
      <c r="F2967"/>
      <c r="G2967" s="12"/>
      <c r="H2967" s="12"/>
      <c r="I2967" s="12"/>
      <c r="J2967" s="12"/>
    </row>
    <row r="2968" spans="5:10" x14ac:dyDescent="0.25">
      <c r="E2968"/>
      <c r="F2968"/>
      <c r="G2968" s="12"/>
      <c r="H2968" s="12"/>
      <c r="I2968" s="12"/>
      <c r="J2968" s="12"/>
    </row>
    <row r="2969" spans="5:10" x14ac:dyDescent="0.25">
      <c r="E2969"/>
      <c r="F2969"/>
      <c r="G2969" s="12"/>
      <c r="H2969" s="12"/>
      <c r="I2969" s="12"/>
      <c r="J2969" s="12"/>
    </row>
    <row r="2970" spans="5:10" x14ac:dyDescent="0.25">
      <c r="E2970"/>
      <c r="F2970"/>
      <c r="G2970" s="12"/>
      <c r="H2970" s="12"/>
      <c r="I2970" s="12"/>
      <c r="J2970" s="12"/>
    </row>
    <row r="2971" spans="5:10" x14ac:dyDescent="0.25">
      <c r="E2971"/>
      <c r="F2971"/>
      <c r="G2971" s="12"/>
      <c r="H2971" s="12"/>
      <c r="I2971" s="12"/>
      <c r="J2971" s="12"/>
    </row>
    <row r="2972" spans="5:10" x14ac:dyDescent="0.25">
      <c r="E2972"/>
      <c r="F2972"/>
      <c r="G2972" s="12"/>
      <c r="H2972" s="12"/>
      <c r="I2972" s="12"/>
      <c r="J2972" s="12"/>
    </row>
    <row r="2973" spans="5:10" x14ac:dyDescent="0.25">
      <c r="E2973"/>
      <c r="F2973"/>
      <c r="G2973" s="12"/>
      <c r="H2973" s="12"/>
      <c r="I2973" s="12"/>
      <c r="J2973" s="12"/>
    </row>
    <row r="2974" spans="5:10" x14ac:dyDescent="0.25">
      <c r="E2974"/>
      <c r="F2974"/>
      <c r="G2974" s="12"/>
      <c r="H2974" s="12"/>
      <c r="I2974" s="12"/>
      <c r="J2974" s="12"/>
    </row>
    <row r="2975" spans="5:10" x14ac:dyDescent="0.25">
      <c r="E2975"/>
      <c r="F2975"/>
      <c r="G2975" s="12"/>
      <c r="H2975" s="12"/>
      <c r="I2975" s="12"/>
      <c r="J2975" s="12"/>
    </row>
    <row r="2976" spans="5:10" x14ac:dyDescent="0.25">
      <c r="E2976"/>
      <c r="F2976"/>
      <c r="G2976" s="12"/>
      <c r="H2976" s="12"/>
      <c r="I2976" s="12"/>
      <c r="J2976" s="12"/>
    </row>
    <row r="2977" spans="5:10" x14ac:dyDescent="0.25">
      <c r="E2977"/>
      <c r="F2977"/>
      <c r="G2977" s="12"/>
      <c r="H2977" s="12"/>
      <c r="I2977" s="12"/>
      <c r="J2977" s="12"/>
    </row>
    <row r="2978" spans="5:10" x14ac:dyDescent="0.25">
      <c r="E2978"/>
      <c r="F2978"/>
      <c r="G2978" s="12"/>
      <c r="H2978" s="12"/>
      <c r="I2978" s="12"/>
      <c r="J2978" s="12"/>
    </row>
    <row r="2979" spans="5:10" x14ac:dyDescent="0.25">
      <c r="E2979"/>
      <c r="F2979"/>
      <c r="G2979" s="12"/>
      <c r="H2979" s="12"/>
      <c r="I2979" s="12"/>
      <c r="J2979" s="12"/>
    </row>
    <row r="2980" spans="5:10" x14ac:dyDescent="0.25">
      <c r="E2980"/>
      <c r="F2980"/>
      <c r="G2980" s="12"/>
      <c r="H2980" s="12"/>
      <c r="I2980" s="12"/>
      <c r="J2980" s="12"/>
    </row>
    <row r="2981" spans="5:10" x14ac:dyDescent="0.25">
      <c r="E2981"/>
      <c r="F2981"/>
      <c r="G2981" s="12"/>
      <c r="H2981" s="12"/>
      <c r="I2981" s="12"/>
      <c r="J2981" s="12"/>
    </row>
    <row r="2982" spans="5:10" x14ac:dyDescent="0.25">
      <c r="E2982"/>
      <c r="F2982"/>
      <c r="G2982" s="12"/>
      <c r="H2982" s="12"/>
      <c r="I2982" s="12"/>
      <c r="J2982" s="12"/>
    </row>
    <row r="2983" spans="5:10" x14ac:dyDescent="0.25">
      <c r="E2983"/>
      <c r="F2983"/>
      <c r="G2983" s="12"/>
      <c r="H2983" s="12"/>
      <c r="I2983" s="12"/>
      <c r="J2983" s="12"/>
    </row>
    <row r="2984" spans="5:10" x14ac:dyDescent="0.25">
      <c r="E2984"/>
      <c r="F2984"/>
      <c r="G2984" s="12"/>
      <c r="H2984" s="12"/>
      <c r="I2984" s="12"/>
      <c r="J2984" s="12"/>
    </row>
    <row r="2985" spans="5:10" x14ac:dyDescent="0.25">
      <c r="E2985"/>
      <c r="F2985"/>
      <c r="G2985" s="12"/>
      <c r="H2985" s="12"/>
      <c r="I2985" s="12"/>
      <c r="J2985" s="12"/>
    </row>
    <row r="2986" spans="5:10" x14ac:dyDescent="0.25">
      <c r="E2986"/>
      <c r="F2986"/>
      <c r="G2986" s="12"/>
      <c r="H2986" s="12"/>
      <c r="I2986" s="12"/>
      <c r="J2986" s="12"/>
    </row>
    <row r="2987" spans="5:10" x14ac:dyDescent="0.25">
      <c r="E2987"/>
      <c r="F2987"/>
      <c r="G2987" s="12"/>
      <c r="H2987" s="12"/>
      <c r="I2987" s="12"/>
      <c r="J2987" s="12"/>
    </row>
    <row r="2988" spans="5:10" x14ac:dyDescent="0.25">
      <c r="E2988"/>
      <c r="F2988"/>
      <c r="G2988" s="12"/>
      <c r="H2988" s="12"/>
      <c r="I2988" s="12"/>
      <c r="J2988" s="12"/>
    </row>
    <row r="2989" spans="5:10" x14ac:dyDescent="0.25">
      <c r="E2989"/>
      <c r="F2989"/>
      <c r="G2989" s="12"/>
      <c r="H2989" s="12"/>
      <c r="I2989" s="12"/>
      <c r="J2989" s="12"/>
    </row>
    <row r="2990" spans="5:10" x14ac:dyDescent="0.25">
      <c r="E2990"/>
      <c r="F2990"/>
      <c r="G2990" s="12"/>
      <c r="H2990" s="12"/>
      <c r="I2990" s="12"/>
      <c r="J2990" s="12"/>
    </row>
    <row r="2991" spans="5:10" x14ac:dyDescent="0.25">
      <c r="E2991"/>
      <c r="F2991"/>
      <c r="G2991" s="12"/>
      <c r="H2991" s="12"/>
      <c r="I2991" s="12"/>
      <c r="J2991" s="12"/>
    </row>
    <row r="2992" spans="5:10" x14ac:dyDescent="0.25">
      <c r="E2992"/>
      <c r="F2992"/>
      <c r="G2992" s="12"/>
      <c r="H2992" s="12"/>
      <c r="I2992" s="12"/>
      <c r="J2992" s="12"/>
    </row>
    <row r="2993" spans="5:10" x14ac:dyDescent="0.25">
      <c r="E2993"/>
      <c r="F2993"/>
      <c r="G2993" s="12"/>
      <c r="H2993" s="12"/>
      <c r="I2993" s="12"/>
      <c r="J2993" s="12"/>
    </row>
    <row r="2994" spans="5:10" x14ac:dyDescent="0.25">
      <c r="E2994"/>
      <c r="F2994"/>
      <c r="G2994" s="12"/>
      <c r="H2994" s="12"/>
      <c r="I2994" s="12"/>
      <c r="J2994" s="12"/>
    </row>
    <row r="2995" spans="5:10" x14ac:dyDescent="0.25">
      <c r="E2995"/>
      <c r="F2995"/>
      <c r="G2995" s="12"/>
      <c r="H2995" s="12"/>
      <c r="I2995" s="12"/>
      <c r="J2995" s="12"/>
    </row>
    <row r="2996" spans="5:10" x14ac:dyDescent="0.25">
      <c r="E2996"/>
      <c r="F2996"/>
      <c r="G2996" s="12"/>
      <c r="H2996" s="12"/>
      <c r="I2996" s="12"/>
      <c r="J2996" s="12"/>
    </row>
    <row r="2997" spans="5:10" x14ac:dyDescent="0.25">
      <c r="E2997"/>
      <c r="F2997"/>
      <c r="G2997" s="12"/>
      <c r="H2997" s="12"/>
      <c r="I2997" s="12"/>
      <c r="J2997" s="12"/>
    </row>
    <row r="2998" spans="5:10" x14ac:dyDescent="0.25">
      <c r="E2998"/>
      <c r="F2998"/>
      <c r="G2998" s="12"/>
      <c r="H2998" s="12"/>
      <c r="I2998" s="12"/>
      <c r="J2998" s="12"/>
    </row>
    <row r="2999" spans="5:10" x14ac:dyDescent="0.25">
      <c r="E2999"/>
      <c r="F2999"/>
      <c r="G2999" s="12"/>
      <c r="H2999" s="12"/>
      <c r="I2999" s="12"/>
      <c r="J2999" s="12"/>
    </row>
    <row r="3000" spans="5:10" x14ac:dyDescent="0.25">
      <c r="E3000"/>
      <c r="F3000"/>
      <c r="G3000" s="12"/>
      <c r="H3000" s="12"/>
      <c r="I3000" s="12"/>
      <c r="J3000" s="12"/>
    </row>
    <row r="3001" spans="5:10" x14ac:dyDescent="0.25">
      <c r="E3001"/>
      <c r="F3001"/>
      <c r="G3001" s="12"/>
      <c r="H3001" s="12"/>
      <c r="I3001" s="12"/>
      <c r="J3001" s="12"/>
    </row>
    <row r="3002" spans="5:10" x14ac:dyDescent="0.25">
      <c r="E3002"/>
      <c r="F3002"/>
      <c r="G3002" s="12"/>
      <c r="H3002" s="12"/>
      <c r="I3002" s="12"/>
      <c r="J3002" s="12"/>
    </row>
    <row r="3003" spans="5:10" x14ac:dyDescent="0.25">
      <c r="E3003"/>
      <c r="F3003"/>
      <c r="G3003" s="12"/>
      <c r="H3003" s="12"/>
      <c r="I3003" s="12"/>
      <c r="J3003" s="12"/>
    </row>
    <row r="3004" spans="5:10" x14ac:dyDescent="0.25">
      <c r="E3004"/>
      <c r="F3004"/>
      <c r="G3004" s="12"/>
      <c r="H3004" s="12"/>
      <c r="I3004" s="12"/>
      <c r="J3004" s="12"/>
    </row>
    <row r="3005" spans="5:10" x14ac:dyDescent="0.25">
      <c r="E3005"/>
      <c r="F3005"/>
      <c r="G3005" s="12"/>
      <c r="H3005" s="12"/>
      <c r="I3005" s="12"/>
      <c r="J3005" s="12"/>
    </row>
    <row r="3006" spans="5:10" x14ac:dyDescent="0.25">
      <c r="E3006"/>
      <c r="F3006"/>
      <c r="G3006" s="12"/>
      <c r="H3006" s="12"/>
      <c r="I3006" s="12"/>
      <c r="J3006" s="12"/>
    </row>
    <row r="3007" spans="5:10" x14ac:dyDescent="0.25">
      <c r="E3007"/>
      <c r="F3007"/>
      <c r="G3007" s="12"/>
      <c r="H3007" s="12"/>
      <c r="I3007" s="12"/>
      <c r="J3007" s="12"/>
    </row>
    <row r="3008" spans="5:10" x14ac:dyDescent="0.25">
      <c r="E3008"/>
      <c r="F3008"/>
      <c r="G3008" s="12"/>
      <c r="H3008" s="12"/>
      <c r="I3008" s="12"/>
      <c r="J3008" s="12"/>
    </row>
    <row r="3009" spans="5:10" x14ac:dyDescent="0.25">
      <c r="E3009"/>
      <c r="F3009"/>
      <c r="G3009" s="12"/>
      <c r="H3009" s="12"/>
      <c r="I3009" s="12"/>
      <c r="J3009" s="12"/>
    </row>
    <row r="3010" spans="5:10" x14ac:dyDescent="0.25">
      <c r="E3010"/>
      <c r="F3010"/>
      <c r="G3010" s="12"/>
      <c r="H3010" s="12"/>
      <c r="I3010" s="12"/>
      <c r="J3010" s="12"/>
    </row>
    <row r="3011" spans="5:10" x14ac:dyDescent="0.25">
      <c r="E3011"/>
      <c r="F3011"/>
      <c r="G3011" s="12"/>
      <c r="H3011" s="12"/>
      <c r="I3011" s="12"/>
      <c r="J3011" s="12"/>
    </row>
    <row r="3012" spans="5:10" x14ac:dyDescent="0.25">
      <c r="E3012"/>
      <c r="F3012"/>
      <c r="G3012" s="12"/>
      <c r="H3012" s="12"/>
      <c r="I3012" s="12"/>
      <c r="J3012" s="12"/>
    </row>
    <row r="3013" spans="5:10" x14ac:dyDescent="0.25">
      <c r="E3013"/>
      <c r="F3013"/>
      <c r="G3013" s="12"/>
      <c r="H3013" s="12"/>
      <c r="I3013" s="12"/>
      <c r="J3013" s="12"/>
    </row>
    <row r="3014" spans="5:10" x14ac:dyDescent="0.25">
      <c r="E3014"/>
      <c r="F3014"/>
      <c r="G3014" s="12"/>
      <c r="H3014" s="12"/>
      <c r="I3014" s="12"/>
      <c r="J3014" s="12"/>
    </row>
    <row r="3015" spans="5:10" x14ac:dyDescent="0.25">
      <c r="E3015"/>
      <c r="F3015"/>
      <c r="G3015" s="12"/>
      <c r="H3015" s="12"/>
      <c r="I3015" s="12"/>
      <c r="J3015" s="12"/>
    </row>
    <row r="3016" spans="5:10" x14ac:dyDescent="0.25">
      <c r="E3016"/>
      <c r="F3016"/>
      <c r="G3016" s="12"/>
      <c r="H3016" s="12"/>
      <c r="I3016" s="12"/>
      <c r="J3016" s="12"/>
    </row>
    <row r="3017" spans="5:10" x14ac:dyDescent="0.25">
      <c r="E3017"/>
      <c r="F3017"/>
      <c r="G3017" s="12"/>
      <c r="H3017" s="12"/>
      <c r="I3017" s="12"/>
      <c r="J3017" s="12"/>
    </row>
    <row r="3018" spans="5:10" x14ac:dyDescent="0.25">
      <c r="E3018"/>
      <c r="F3018"/>
      <c r="G3018" s="12"/>
      <c r="H3018" s="12"/>
      <c r="I3018" s="12"/>
      <c r="J3018" s="12"/>
    </row>
    <row r="3019" spans="5:10" x14ac:dyDescent="0.25">
      <c r="E3019"/>
      <c r="F3019"/>
      <c r="G3019" s="12"/>
      <c r="H3019" s="12"/>
      <c r="I3019" s="12"/>
      <c r="J3019" s="12"/>
    </row>
    <row r="3020" spans="5:10" x14ac:dyDescent="0.25">
      <c r="E3020"/>
      <c r="F3020"/>
      <c r="G3020" s="12"/>
      <c r="H3020" s="12"/>
      <c r="I3020" s="12"/>
      <c r="J3020" s="12"/>
    </row>
    <row r="3021" spans="5:10" x14ac:dyDescent="0.25">
      <c r="E3021"/>
      <c r="F3021"/>
      <c r="G3021" s="12"/>
      <c r="H3021" s="12"/>
      <c r="I3021" s="12"/>
      <c r="J3021" s="12"/>
    </row>
    <row r="3022" spans="5:10" x14ac:dyDescent="0.25">
      <c r="E3022"/>
      <c r="F3022"/>
      <c r="G3022" s="12"/>
      <c r="H3022" s="12"/>
      <c r="I3022" s="12"/>
      <c r="J3022" s="12"/>
    </row>
    <row r="3023" spans="5:10" x14ac:dyDescent="0.25">
      <c r="E3023"/>
      <c r="F3023"/>
      <c r="G3023" s="12"/>
      <c r="H3023" s="12"/>
      <c r="I3023" s="12"/>
      <c r="J3023" s="12"/>
    </row>
    <row r="3024" spans="5:10" x14ac:dyDescent="0.25">
      <c r="E3024"/>
      <c r="F3024"/>
      <c r="G3024" s="12"/>
      <c r="H3024" s="12"/>
      <c r="I3024" s="12"/>
      <c r="J3024" s="12"/>
    </row>
    <row r="3025" spans="5:10" x14ac:dyDescent="0.25">
      <c r="E3025"/>
      <c r="F3025"/>
      <c r="G3025" s="12"/>
      <c r="H3025" s="12"/>
      <c r="I3025" s="12"/>
      <c r="J3025" s="12"/>
    </row>
    <row r="3026" spans="5:10" x14ac:dyDescent="0.25">
      <c r="E3026"/>
      <c r="F3026"/>
      <c r="G3026" s="12"/>
      <c r="H3026" s="12"/>
      <c r="I3026" s="12"/>
      <c r="J3026" s="12"/>
    </row>
    <row r="3027" spans="5:10" x14ac:dyDescent="0.25">
      <c r="E3027"/>
      <c r="F3027"/>
      <c r="G3027" s="12"/>
      <c r="H3027" s="12"/>
      <c r="I3027" s="12"/>
      <c r="J3027" s="12"/>
    </row>
    <row r="3028" spans="5:10" x14ac:dyDescent="0.25">
      <c r="E3028"/>
      <c r="F3028"/>
      <c r="G3028" s="12"/>
      <c r="H3028" s="12"/>
      <c r="I3028" s="12"/>
      <c r="J3028" s="12"/>
    </row>
    <row r="3029" spans="5:10" x14ac:dyDescent="0.25">
      <c r="E3029"/>
      <c r="F3029"/>
      <c r="G3029" s="12"/>
      <c r="H3029" s="12"/>
      <c r="I3029" s="12"/>
      <c r="J3029" s="12"/>
    </row>
    <row r="3030" spans="5:10" x14ac:dyDescent="0.25">
      <c r="E3030"/>
      <c r="F3030"/>
      <c r="G3030" s="12"/>
      <c r="H3030" s="12"/>
      <c r="I3030" s="12"/>
      <c r="J3030" s="12"/>
    </row>
    <row r="3031" spans="5:10" x14ac:dyDescent="0.25">
      <c r="E3031"/>
      <c r="F3031"/>
      <c r="G3031" s="12"/>
      <c r="H3031" s="12"/>
      <c r="I3031" s="12"/>
      <c r="J3031" s="12"/>
    </row>
    <row r="3032" spans="5:10" x14ac:dyDescent="0.25">
      <c r="E3032"/>
      <c r="F3032"/>
      <c r="G3032" s="12"/>
      <c r="H3032" s="12"/>
      <c r="I3032" s="12"/>
      <c r="J3032" s="12"/>
    </row>
    <row r="3033" spans="5:10" x14ac:dyDescent="0.25">
      <c r="E3033"/>
      <c r="F3033"/>
      <c r="G3033" s="12"/>
      <c r="H3033" s="12"/>
      <c r="I3033" s="12"/>
      <c r="J3033" s="12"/>
    </row>
    <row r="3034" spans="5:10" x14ac:dyDescent="0.25">
      <c r="E3034"/>
      <c r="F3034"/>
      <c r="G3034" s="12"/>
      <c r="H3034" s="12"/>
      <c r="I3034" s="12"/>
      <c r="J3034" s="12"/>
    </row>
    <row r="3035" spans="5:10" x14ac:dyDescent="0.25">
      <c r="E3035"/>
      <c r="F3035"/>
      <c r="G3035" s="12"/>
      <c r="H3035" s="12"/>
      <c r="I3035" s="12"/>
      <c r="J3035" s="12"/>
    </row>
    <row r="3036" spans="5:10" x14ac:dyDescent="0.25">
      <c r="E3036"/>
      <c r="F3036"/>
      <c r="G3036" s="12"/>
      <c r="H3036" s="12"/>
      <c r="I3036" s="12"/>
      <c r="J3036" s="12"/>
    </row>
    <row r="3037" spans="5:10" x14ac:dyDescent="0.25">
      <c r="E3037"/>
      <c r="F3037"/>
      <c r="G3037" s="12"/>
      <c r="H3037" s="12"/>
      <c r="I3037" s="12"/>
      <c r="J3037" s="12"/>
    </row>
    <row r="3038" spans="5:10" x14ac:dyDescent="0.25">
      <c r="E3038"/>
      <c r="F3038"/>
      <c r="G3038" s="12"/>
      <c r="H3038" s="12"/>
      <c r="I3038" s="12"/>
      <c r="J3038" s="12"/>
    </row>
    <row r="3039" spans="5:10" x14ac:dyDescent="0.25">
      <c r="E3039"/>
      <c r="F3039"/>
      <c r="G3039" s="12"/>
      <c r="H3039" s="12"/>
      <c r="I3039" s="12"/>
      <c r="J3039" s="12"/>
    </row>
    <row r="3040" spans="5:10" x14ac:dyDescent="0.25">
      <c r="E3040"/>
      <c r="F3040"/>
      <c r="G3040" s="12"/>
      <c r="H3040" s="12"/>
      <c r="I3040" s="12"/>
      <c r="J3040" s="12"/>
    </row>
    <row r="3041" spans="5:10" x14ac:dyDescent="0.25">
      <c r="E3041"/>
      <c r="F3041"/>
      <c r="G3041" s="12"/>
      <c r="H3041" s="12"/>
      <c r="I3041" s="12"/>
      <c r="J3041" s="12"/>
    </row>
    <row r="3042" spans="5:10" x14ac:dyDescent="0.25">
      <c r="E3042"/>
      <c r="F3042"/>
      <c r="G3042" s="12"/>
      <c r="H3042" s="12"/>
      <c r="I3042" s="12"/>
      <c r="J3042" s="12"/>
    </row>
    <row r="3043" spans="5:10" x14ac:dyDescent="0.25">
      <c r="E3043"/>
      <c r="F3043"/>
      <c r="G3043" s="12"/>
      <c r="H3043" s="12"/>
      <c r="I3043" s="12"/>
      <c r="J3043" s="12"/>
    </row>
    <row r="3044" spans="5:10" x14ac:dyDescent="0.25">
      <c r="E3044"/>
      <c r="F3044"/>
      <c r="G3044" s="12"/>
      <c r="H3044" s="12"/>
      <c r="I3044" s="12"/>
      <c r="J3044" s="12"/>
    </row>
    <row r="3045" spans="5:10" x14ac:dyDescent="0.25">
      <c r="E3045"/>
      <c r="F3045"/>
      <c r="G3045" s="12"/>
      <c r="H3045" s="12"/>
      <c r="I3045" s="12"/>
      <c r="J3045" s="12"/>
    </row>
    <row r="3046" spans="5:10" x14ac:dyDescent="0.25">
      <c r="E3046"/>
      <c r="F3046"/>
      <c r="G3046" s="12"/>
      <c r="H3046" s="12"/>
      <c r="I3046" s="12"/>
      <c r="J3046" s="12"/>
    </row>
    <row r="3047" spans="5:10" x14ac:dyDescent="0.25">
      <c r="E3047"/>
      <c r="F3047"/>
      <c r="G3047" s="12"/>
      <c r="H3047" s="12"/>
      <c r="I3047" s="12"/>
      <c r="J3047" s="12"/>
    </row>
    <row r="3048" spans="5:10" x14ac:dyDescent="0.25">
      <c r="E3048"/>
      <c r="F3048"/>
      <c r="G3048" s="12"/>
      <c r="H3048" s="12"/>
      <c r="I3048" s="12"/>
      <c r="J3048" s="12"/>
    </row>
    <row r="3049" spans="5:10" x14ac:dyDescent="0.25">
      <c r="E3049"/>
      <c r="F3049"/>
      <c r="G3049" s="12"/>
      <c r="H3049" s="12"/>
      <c r="I3049" s="12"/>
      <c r="J3049" s="12"/>
    </row>
    <row r="3050" spans="5:10" x14ac:dyDescent="0.25">
      <c r="E3050"/>
      <c r="F3050"/>
      <c r="G3050" s="12"/>
      <c r="H3050" s="12"/>
      <c r="I3050" s="12"/>
      <c r="J3050" s="12"/>
    </row>
    <row r="3051" spans="5:10" x14ac:dyDescent="0.25">
      <c r="E3051"/>
      <c r="F3051"/>
      <c r="G3051" s="12"/>
      <c r="H3051" s="12"/>
      <c r="I3051" s="12"/>
      <c r="J3051" s="12"/>
    </row>
    <row r="3052" spans="5:10" x14ac:dyDescent="0.25">
      <c r="E3052"/>
      <c r="F3052"/>
      <c r="G3052" s="12"/>
      <c r="H3052" s="12"/>
      <c r="I3052" s="12"/>
      <c r="J3052" s="12"/>
    </row>
    <row r="3053" spans="5:10" x14ac:dyDescent="0.25">
      <c r="E3053"/>
      <c r="F3053"/>
      <c r="G3053" s="12"/>
      <c r="H3053" s="12"/>
      <c r="I3053" s="12"/>
      <c r="J3053" s="12"/>
    </row>
    <row r="3054" spans="5:10" x14ac:dyDescent="0.25">
      <c r="E3054"/>
      <c r="F3054"/>
      <c r="G3054" s="12"/>
      <c r="H3054" s="12"/>
      <c r="I3054" s="12"/>
      <c r="J3054" s="12"/>
    </row>
    <row r="3055" spans="5:10" x14ac:dyDescent="0.25">
      <c r="E3055"/>
      <c r="F3055"/>
      <c r="G3055" s="12"/>
      <c r="H3055" s="12"/>
      <c r="I3055" s="12"/>
      <c r="J3055" s="12"/>
    </row>
    <row r="3056" spans="5:10" x14ac:dyDescent="0.25">
      <c r="E3056"/>
      <c r="F3056"/>
      <c r="G3056" s="12"/>
      <c r="H3056" s="12"/>
      <c r="I3056" s="12"/>
      <c r="J3056" s="12"/>
    </row>
    <row r="3057" spans="5:10" x14ac:dyDescent="0.25">
      <c r="E3057"/>
      <c r="F3057"/>
      <c r="G3057" s="12"/>
      <c r="H3057" s="12"/>
      <c r="I3057" s="12"/>
      <c r="J3057" s="12"/>
    </row>
    <row r="3058" spans="5:10" x14ac:dyDescent="0.25">
      <c r="E3058"/>
      <c r="F3058"/>
      <c r="G3058" s="12"/>
      <c r="H3058" s="12"/>
      <c r="I3058" s="12"/>
      <c r="J3058" s="12"/>
    </row>
    <row r="3059" spans="5:10" x14ac:dyDescent="0.25">
      <c r="E3059"/>
      <c r="F3059"/>
      <c r="G3059" s="12"/>
      <c r="H3059" s="12"/>
      <c r="I3059" s="12"/>
      <c r="J3059" s="12"/>
    </row>
    <row r="3060" spans="5:10" x14ac:dyDescent="0.25">
      <c r="E3060"/>
      <c r="F3060"/>
      <c r="G3060" s="12"/>
      <c r="H3060" s="12"/>
      <c r="I3060" s="12"/>
      <c r="J3060" s="12"/>
    </row>
    <row r="3061" spans="5:10" x14ac:dyDescent="0.25">
      <c r="E3061"/>
      <c r="F3061"/>
      <c r="G3061" s="12"/>
      <c r="H3061" s="12"/>
      <c r="I3061" s="12"/>
      <c r="J3061" s="12"/>
    </row>
    <row r="3062" spans="5:10" x14ac:dyDescent="0.25">
      <c r="E3062"/>
      <c r="F3062"/>
      <c r="G3062" s="12"/>
      <c r="H3062" s="12"/>
      <c r="I3062" s="12"/>
      <c r="J3062" s="12"/>
    </row>
    <row r="3063" spans="5:10" x14ac:dyDescent="0.25">
      <c r="E3063"/>
      <c r="F3063"/>
      <c r="G3063" s="12"/>
      <c r="H3063" s="12"/>
      <c r="I3063" s="12"/>
      <c r="J3063" s="12"/>
    </row>
    <row r="3064" spans="5:10" x14ac:dyDescent="0.25">
      <c r="E3064"/>
      <c r="F3064"/>
      <c r="G3064" s="12"/>
      <c r="H3064" s="12"/>
      <c r="I3064" s="12"/>
      <c r="J3064" s="12"/>
    </row>
    <row r="3065" spans="5:10" x14ac:dyDescent="0.25">
      <c r="E3065"/>
      <c r="F3065"/>
      <c r="G3065" s="12"/>
      <c r="H3065" s="12"/>
      <c r="I3065" s="12"/>
      <c r="J3065" s="12"/>
    </row>
    <row r="3066" spans="5:10" x14ac:dyDescent="0.25">
      <c r="E3066"/>
      <c r="F3066"/>
      <c r="G3066" s="12"/>
      <c r="H3066" s="12"/>
      <c r="I3066" s="12"/>
      <c r="J3066" s="12"/>
    </row>
    <row r="3067" spans="5:10" x14ac:dyDescent="0.25">
      <c r="E3067"/>
      <c r="F3067"/>
      <c r="G3067" s="12"/>
      <c r="H3067" s="12"/>
      <c r="I3067" s="12"/>
      <c r="J3067" s="12"/>
    </row>
    <row r="3068" spans="5:10" x14ac:dyDescent="0.25">
      <c r="E3068"/>
      <c r="F3068"/>
      <c r="G3068" s="12"/>
      <c r="H3068" s="12"/>
      <c r="I3068" s="12"/>
      <c r="J3068" s="12"/>
    </row>
    <row r="3069" spans="5:10" x14ac:dyDescent="0.25">
      <c r="E3069"/>
      <c r="F3069"/>
      <c r="G3069" s="12"/>
      <c r="H3069" s="12"/>
      <c r="I3069" s="12"/>
      <c r="J3069" s="12"/>
    </row>
    <row r="3070" spans="5:10" x14ac:dyDescent="0.25">
      <c r="E3070"/>
      <c r="F3070"/>
      <c r="G3070" s="12"/>
      <c r="H3070" s="12"/>
      <c r="I3070" s="12"/>
      <c r="J3070" s="12"/>
    </row>
    <row r="3071" spans="5:10" x14ac:dyDescent="0.25">
      <c r="E3071"/>
      <c r="F3071"/>
      <c r="G3071" s="12"/>
      <c r="H3071" s="12"/>
      <c r="I3071" s="12"/>
      <c r="J3071" s="12"/>
    </row>
    <row r="3072" spans="5:10" x14ac:dyDescent="0.25">
      <c r="E3072"/>
      <c r="F3072"/>
      <c r="G3072" s="12"/>
      <c r="H3072" s="12"/>
      <c r="I3072" s="12"/>
      <c r="J3072" s="12"/>
    </row>
    <row r="3073" spans="5:10" x14ac:dyDescent="0.25">
      <c r="E3073"/>
      <c r="F3073"/>
      <c r="G3073" s="12"/>
      <c r="H3073" s="12"/>
      <c r="I3073" s="12"/>
      <c r="J3073" s="12"/>
    </row>
    <row r="3074" spans="5:10" x14ac:dyDescent="0.25">
      <c r="E3074"/>
      <c r="F3074"/>
      <c r="G3074" s="12"/>
      <c r="H3074" s="12"/>
      <c r="I3074" s="12"/>
      <c r="J3074" s="12"/>
    </row>
    <row r="3075" spans="5:10" x14ac:dyDescent="0.25">
      <c r="E3075"/>
      <c r="F3075"/>
      <c r="G3075" s="12"/>
      <c r="H3075" s="12"/>
      <c r="I3075" s="12"/>
      <c r="J3075" s="12"/>
    </row>
    <row r="3076" spans="5:10" x14ac:dyDescent="0.25">
      <c r="E3076"/>
      <c r="F3076"/>
      <c r="G3076" s="12"/>
      <c r="H3076" s="12"/>
      <c r="I3076" s="12"/>
      <c r="J3076" s="12"/>
    </row>
    <row r="3077" spans="5:10" x14ac:dyDescent="0.25">
      <c r="E3077"/>
      <c r="F3077"/>
      <c r="G3077" s="12"/>
      <c r="H3077" s="12"/>
      <c r="I3077" s="12"/>
      <c r="J3077" s="12"/>
    </row>
    <row r="3078" spans="5:10" x14ac:dyDescent="0.25">
      <c r="E3078"/>
      <c r="F3078"/>
      <c r="G3078" s="12"/>
      <c r="H3078" s="12"/>
      <c r="I3078" s="12"/>
      <c r="J3078" s="12"/>
    </row>
    <row r="3079" spans="5:10" x14ac:dyDescent="0.25">
      <c r="E3079"/>
      <c r="F3079"/>
      <c r="G3079" s="12"/>
      <c r="H3079" s="12"/>
      <c r="I3079" s="12"/>
      <c r="J3079" s="12"/>
    </row>
    <row r="3080" spans="5:10" x14ac:dyDescent="0.25">
      <c r="E3080"/>
      <c r="F3080"/>
      <c r="G3080" s="12"/>
      <c r="H3080" s="12"/>
      <c r="I3080" s="12"/>
      <c r="J3080" s="12"/>
    </row>
    <row r="3081" spans="5:10" x14ac:dyDescent="0.25">
      <c r="E3081"/>
      <c r="F3081"/>
      <c r="G3081" s="12"/>
      <c r="H3081" s="12"/>
      <c r="I3081" s="12"/>
      <c r="J3081" s="12"/>
    </row>
    <row r="3082" spans="5:10" x14ac:dyDescent="0.25">
      <c r="E3082"/>
      <c r="F3082"/>
      <c r="G3082" s="12"/>
      <c r="H3082" s="12"/>
      <c r="I3082" s="12"/>
      <c r="J3082" s="12"/>
    </row>
    <row r="3083" spans="5:10" x14ac:dyDescent="0.25">
      <c r="E3083"/>
      <c r="F3083"/>
      <c r="G3083" s="12"/>
      <c r="H3083" s="12"/>
      <c r="I3083" s="12"/>
      <c r="J3083" s="12"/>
    </row>
    <row r="3084" spans="5:10" x14ac:dyDescent="0.25">
      <c r="E3084"/>
      <c r="F3084"/>
      <c r="G3084" s="12"/>
      <c r="H3084" s="12"/>
      <c r="I3084" s="12"/>
      <c r="J3084" s="12"/>
    </row>
    <row r="3085" spans="5:10" x14ac:dyDescent="0.25">
      <c r="E3085"/>
      <c r="F3085"/>
      <c r="G3085" s="12"/>
      <c r="H3085" s="12"/>
      <c r="I3085" s="12"/>
      <c r="J3085" s="12"/>
    </row>
    <row r="3086" spans="5:10" x14ac:dyDescent="0.25">
      <c r="E3086"/>
      <c r="F3086"/>
      <c r="G3086" s="12"/>
      <c r="H3086" s="12"/>
      <c r="I3086" s="12"/>
      <c r="J3086" s="12"/>
    </row>
    <row r="3087" spans="5:10" x14ac:dyDescent="0.25">
      <c r="E3087"/>
      <c r="F3087"/>
      <c r="G3087" s="12"/>
      <c r="H3087" s="12"/>
      <c r="I3087" s="12"/>
      <c r="J3087" s="12"/>
    </row>
    <row r="3088" spans="5:10" x14ac:dyDescent="0.25">
      <c r="E3088"/>
      <c r="F3088"/>
      <c r="G3088" s="12"/>
      <c r="H3088" s="12"/>
      <c r="I3088" s="12"/>
      <c r="J3088" s="12"/>
    </row>
    <row r="3089" spans="5:10" x14ac:dyDescent="0.25">
      <c r="E3089"/>
      <c r="F3089"/>
      <c r="G3089" s="12"/>
      <c r="H3089" s="12"/>
      <c r="I3089" s="12"/>
      <c r="J3089" s="12"/>
    </row>
    <row r="3090" spans="5:10" x14ac:dyDescent="0.25">
      <c r="E3090"/>
      <c r="F3090"/>
      <c r="G3090" s="12"/>
      <c r="H3090" s="12"/>
      <c r="I3090" s="12"/>
      <c r="J3090" s="12"/>
    </row>
    <row r="3091" spans="5:10" x14ac:dyDescent="0.25">
      <c r="E3091"/>
      <c r="F3091"/>
      <c r="G3091" s="12"/>
      <c r="H3091" s="12"/>
      <c r="I3091" s="12"/>
      <c r="J3091" s="12"/>
    </row>
    <row r="3092" spans="5:10" x14ac:dyDescent="0.25">
      <c r="E3092"/>
      <c r="F3092"/>
      <c r="G3092" s="12"/>
      <c r="H3092" s="12"/>
      <c r="I3092" s="12"/>
      <c r="J3092" s="12"/>
    </row>
    <row r="3093" spans="5:10" x14ac:dyDescent="0.25">
      <c r="E3093"/>
      <c r="F3093"/>
      <c r="G3093" s="12"/>
      <c r="H3093" s="12"/>
      <c r="I3093" s="12"/>
      <c r="J3093" s="12"/>
    </row>
    <row r="3094" spans="5:10" x14ac:dyDescent="0.25">
      <c r="E3094"/>
      <c r="F3094"/>
      <c r="G3094" s="12"/>
      <c r="H3094" s="12"/>
      <c r="I3094" s="12"/>
      <c r="J3094" s="12"/>
    </row>
    <row r="3095" spans="5:10" x14ac:dyDescent="0.25">
      <c r="E3095"/>
      <c r="F3095"/>
      <c r="G3095" s="12"/>
      <c r="H3095" s="12"/>
      <c r="I3095" s="12"/>
      <c r="J3095" s="12"/>
    </row>
    <row r="3096" spans="5:10" x14ac:dyDescent="0.25">
      <c r="E3096"/>
      <c r="F3096"/>
      <c r="G3096" s="12"/>
      <c r="H3096" s="12"/>
      <c r="I3096" s="12"/>
      <c r="J3096" s="12"/>
    </row>
    <row r="3097" spans="5:10" x14ac:dyDescent="0.25">
      <c r="E3097"/>
      <c r="F3097"/>
      <c r="G3097" s="12"/>
      <c r="H3097" s="12"/>
      <c r="I3097" s="12"/>
      <c r="J3097" s="12"/>
    </row>
    <row r="3098" spans="5:10" x14ac:dyDescent="0.25">
      <c r="E3098"/>
      <c r="F3098"/>
      <c r="G3098" s="12"/>
      <c r="H3098" s="12"/>
      <c r="I3098" s="12"/>
      <c r="J3098" s="12"/>
    </row>
    <row r="3099" spans="5:10" x14ac:dyDescent="0.25">
      <c r="E3099"/>
      <c r="F3099"/>
      <c r="G3099" s="12"/>
      <c r="H3099" s="12"/>
      <c r="I3099" s="12"/>
      <c r="J3099" s="12"/>
    </row>
    <row r="3100" spans="5:10" x14ac:dyDescent="0.25">
      <c r="E3100"/>
      <c r="F3100"/>
      <c r="G3100" s="12"/>
      <c r="H3100" s="12"/>
      <c r="I3100" s="12"/>
      <c r="J3100" s="12"/>
    </row>
    <row r="3101" spans="5:10" x14ac:dyDescent="0.25">
      <c r="E3101"/>
      <c r="F3101"/>
      <c r="G3101" s="12"/>
      <c r="H3101" s="12"/>
      <c r="I3101" s="12"/>
      <c r="J3101" s="12"/>
    </row>
    <row r="3102" spans="5:10" x14ac:dyDescent="0.25">
      <c r="E3102"/>
      <c r="F3102"/>
      <c r="G3102" s="12"/>
      <c r="H3102" s="12"/>
      <c r="I3102" s="12"/>
      <c r="J3102" s="12"/>
    </row>
    <row r="3103" spans="5:10" x14ac:dyDescent="0.25">
      <c r="E3103"/>
      <c r="F3103"/>
      <c r="G3103" s="12"/>
      <c r="H3103" s="12"/>
      <c r="I3103" s="12"/>
      <c r="J3103" s="12"/>
    </row>
    <row r="3104" spans="5:10" x14ac:dyDescent="0.25">
      <c r="E3104"/>
      <c r="F3104"/>
      <c r="G3104" s="12"/>
      <c r="H3104" s="12"/>
      <c r="I3104" s="12"/>
      <c r="J3104" s="12"/>
    </row>
    <row r="3105" spans="5:10" x14ac:dyDescent="0.25">
      <c r="E3105"/>
      <c r="F3105"/>
      <c r="G3105" s="12"/>
      <c r="H3105" s="12"/>
      <c r="I3105" s="12"/>
      <c r="J3105" s="12"/>
    </row>
    <row r="3106" spans="5:10" x14ac:dyDescent="0.25">
      <c r="E3106"/>
      <c r="F3106"/>
      <c r="G3106" s="12"/>
      <c r="H3106" s="12"/>
      <c r="I3106" s="12"/>
      <c r="J3106" s="12"/>
    </row>
    <row r="3107" spans="5:10" x14ac:dyDescent="0.25">
      <c r="E3107"/>
      <c r="F3107"/>
      <c r="G3107" s="12"/>
      <c r="H3107" s="12"/>
      <c r="I3107" s="12"/>
      <c r="J3107" s="12"/>
    </row>
    <row r="3108" spans="5:10" x14ac:dyDescent="0.25">
      <c r="E3108"/>
      <c r="F3108"/>
      <c r="G3108" s="12"/>
      <c r="H3108" s="12"/>
      <c r="I3108" s="12"/>
      <c r="J3108" s="12"/>
    </row>
    <row r="3109" spans="5:10" x14ac:dyDescent="0.25">
      <c r="E3109"/>
      <c r="F3109"/>
      <c r="G3109" s="12"/>
      <c r="H3109" s="12"/>
      <c r="I3109" s="12"/>
      <c r="J3109" s="12"/>
    </row>
    <row r="3110" spans="5:10" x14ac:dyDescent="0.25">
      <c r="E3110"/>
      <c r="F3110"/>
      <c r="G3110" s="12"/>
      <c r="H3110" s="12"/>
      <c r="I3110" s="12"/>
      <c r="J3110" s="12"/>
    </row>
    <row r="3111" spans="5:10" x14ac:dyDescent="0.25">
      <c r="E3111"/>
      <c r="F3111"/>
      <c r="G3111" s="12"/>
      <c r="H3111" s="12"/>
      <c r="I3111" s="12"/>
      <c r="J3111" s="12"/>
    </row>
    <row r="3112" spans="5:10" x14ac:dyDescent="0.25">
      <c r="E3112"/>
      <c r="F3112"/>
      <c r="G3112" s="12"/>
      <c r="H3112" s="12"/>
      <c r="I3112" s="12"/>
      <c r="J3112" s="12"/>
    </row>
    <row r="3113" spans="5:10" x14ac:dyDescent="0.25">
      <c r="E3113"/>
      <c r="F3113"/>
      <c r="G3113" s="12"/>
      <c r="H3113" s="12"/>
      <c r="I3113" s="12"/>
      <c r="J3113" s="12"/>
    </row>
    <row r="3114" spans="5:10" x14ac:dyDescent="0.25">
      <c r="E3114"/>
      <c r="F3114"/>
      <c r="G3114" s="12"/>
      <c r="H3114" s="12"/>
      <c r="I3114" s="12"/>
      <c r="J3114" s="12"/>
    </row>
    <row r="3115" spans="5:10" x14ac:dyDescent="0.25">
      <c r="E3115"/>
      <c r="F3115"/>
      <c r="G3115" s="12"/>
      <c r="H3115" s="12"/>
      <c r="I3115" s="12"/>
      <c r="J3115" s="12"/>
    </row>
    <row r="3116" spans="5:10" x14ac:dyDescent="0.25">
      <c r="E3116"/>
      <c r="F3116"/>
      <c r="G3116" s="12"/>
      <c r="H3116" s="12"/>
      <c r="I3116" s="12"/>
      <c r="J3116" s="12"/>
    </row>
    <row r="3117" spans="5:10" x14ac:dyDescent="0.25">
      <c r="E3117"/>
      <c r="F3117"/>
      <c r="G3117" s="12"/>
      <c r="H3117" s="12"/>
      <c r="I3117" s="12"/>
      <c r="J3117" s="12"/>
    </row>
    <row r="3118" spans="5:10" x14ac:dyDescent="0.25">
      <c r="E3118"/>
      <c r="F3118"/>
      <c r="G3118" s="12"/>
      <c r="H3118" s="12"/>
      <c r="I3118" s="12"/>
      <c r="J3118" s="12"/>
    </row>
    <row r="3119" spans="5:10" x14ac:dyDescent="0.25">
      <c r="E3119"/>
      <c r="F3119"/>
      <c r="G3119" s="12"/>
      <c r="H3119" s="12"/>
      <c r="I3119" s="12"/>
      <c r="J3119" s="12"/>
    </row>
    <row r="3120" spans="5:10" x14ac:dyDescent="0.25">
      <c r="E3120"/>
      <c r="F3120"/>
      <c r="G3120" s="12"/>
      <c r="H3120" s="12"/>
      <c r="I3120" s="12"/>
      <c r="J3120" s="12"/>
    </row>
    <row r="3121" spans="5:10" x14ac:dyDescent="0.25">
      <c r="E3121"/>
      <c r="F3121"/>
      <c r="G3121" s="12"/>
      <c r="H3121" s="12"/>
      <c r="I3121" s="12"/>
      <c r="J3121" s="12"/>
    </row>
    <row r="3122" spans="5:10" x14ac:dyDescent="0.25">
      <c r="E3122"/>
      <c r="F3122"/>
      <c r="G3122" s="12"/>
      <c r="H3122" s="12"/>
      <c r="I3122" s="12"/>
      <c r="J3122" s="12"/>
    </row>
    <row r="3123" spans="5:10" x14ac:dyDescent="0.25">
      <c r="E3123"/>
      <c r="F3123"/>
      <c r="G3123" s="12"/>
      <c r="H3123" s="12"/>
      <c r="I3123" s="12"/>
      <c r="J3123" s="12"/>
    </row>
    <row r="3124" spans="5:10" x14ac:dyDescent="0.25">
      <c r="E3124"/>
      <c r="F3124"/>
      <c r="G3124" s="12"/>
      <c r="H3124" s="12"/>
      <c r="I3124" s="12"/>
      <c r="J3124" s="12"/>
    </row>
    <row r="3125" spans="5:10" x14ac:dyDescent="0.25">
      <c r="E3125"/>
      <c r="F3125"/>
      <c r="G3125" s="12"/>
      <c r="H3125" s="12"/>
      <c r="I3125" s="12"/>
      <c r="J3125" s="12"/>
    </row>
    <row r="3126" spans="5:10" x14ac:dyDescent="0.25">
      <c r="E3126"/>
      <c r="F3126"/>
      <c r="G3126" s="12"/>
      <c r="H3126" s="12"/>
      <c r="I3126" s="12"/>
      <c r="J3126" s="12"/>
    </row>
    <row r="3127" spans="5:10" x14ac:dyDescent="0.25">
      <c r="E3127"/>
      <c r="F3127"/>
      <c r="G3127" s="12"/>
      <c r="H3127" s="12"/>
      <c r="I3127" s="12"/>
      <c r="J3127" s="12"/>
    </row>
    <row r="3128" spans="5:10" x14ac:dyDescent="0.25">
      <c r="E3128"/>
      <c r="F3128"/>
      <c r="G3128" s="12"/>
      <c r="H3128" s="12"/>
      <c r="I3128" s="12"/>
      <c r="J3128" s="12"/>
    </row>
    <row r="3129" spans="5:10" x14ac:dyDescent="0.25">
      <c r="E3129"/>
      <c r="F3129"/>
      <c r="G3129" s="12"/>
      <c r="H3129" s="12"/>
      <c r="I3129" s="12"/>
      <c r="J3129" s="12"/>
    </row>
    <row r="3130" spans="5:10" x14ac:dyDescent="0.25">
      <c r="E3130"/>
      <c r="F3130"/>
      <c r="G3130" s="12"/>
      <c r="H3130" s="12"/>
      <c r="I3130" s="12"/>
      <c r="J3130" s="12"/>
    </row>
    <row r="3131" spans="5:10" x14ac:dyDescent="0.25">
      <c r="E3131"/>
      <c r="F3131"/>
      <c r="G3131" s="12"/>
      <c r="H3131" s="12"/>
      <c r="I3131" s="12"/>
      <c r="J3131" s="12"/>
    </row>
    <row r="3132" spans="5:10" x14ac:dyDescent="0.25">
      <c r="E3132"/>
      <c r="F3132"/>
      <c r="G3132" s="12"/>
      <c r="H3132" s="12"/>
      <c r="I3132" s="12"/>
      <c r="J3132" s="12"/>
    </row>
    <row r="3133" spans="5:10" x14ac:dyDescent="0.25">
      <c r="E3133"/>
      <c r="F3133"/>
      <c r="G3133" s="12"/>
      <c r="H3133" s="12"/>
      <c r="I3133" s="12"/>
      <c r="J3133" s="12"/>
    </row>
    <row r="3134" spans="5:10" x14ac:dyDescent="0.25">
      <c r="E3134"/>
      <c r="F3134"/>
      <c r="G3134" s="12"/>
      <c r="H3134" s="12"/>
      <c r="I3134" s="12"/>
      <c r="J3134" s="12"/>
    </row>
    <row r="3135" spans="5:10" x14ac:dyDescent="0.25">
      <c r="E3135"/>
      <c r="F3135"/>
      <c r="G3135" s="12"/>
      <c r="H3135" s="12"/>
      <c r="I3135" s="12"/>
      <c r="J3135" s="12"/>
    </row>
    <row r="3136" spans="5:10" x14ac:dyDescent="0.25">
      <c r="E3136"/>
      <c r="F3136"/>
      <c r="G3136" s="12"/>
      <c r="H3136" s="12"/>
      <c r="I3136" s="12"/>
      <c r="J3136" s="12"/>
    </row>
    <row r="3137" spans="5:10" x14ac:dyDescent="0.25">
      <c r="E3137"/>
      <c r="F3137"/>
      <c r="G3137" s="12"/>
      <c r="H3137" s="12"/>
      <c r="I3137" s="12"/>
      <c r="J3137" s="12"/>
    </row>
    <row r="3138" spans="5:10" x14ac:dyDescent="0.25">
      <c r="E3138"/>
      <c r="F3138"/>
      <c r="G3138" s="12"/>
      <c r="H3138" s="12"/>
      <c r="I3138" s="12"/>
      <c r="J3138" s="12"/>
    </row>
    <row r="3139" spans="5:10" x14ac:dyDescent="0.25">
      <c r="E3139"/>
      <c r="F3139"/>
      <c r="G3139" s="12"/>
      <c r="H3139" s="12"/>
      <c r="I3139" s="12"/>
      <c r="J3139" s="12"/>
    </row>
    <row r="3140" spans="5:10" x14ac:dyDescent="0.25">
      <c r="E3140"/>
      <c r="F3140"/>
      <c r="G3140" s="12"/>
      <c r="H3140" s="12"/>
      <c r="I3140" s="12"/>
      <c r="J3140" s="12"/>
    </row>
    <row r="3141" spans="5:10" x14ac:dyDescent="0.25">
      <c r="E3141"/>
      <c r="F3141"/>
      <c r="G3141" s="12"/>
      <c r="H3141" s="12"/>
      <c r="I3141" s="12"/>
      <c r="J3141" s="12"/>
    </row>
    <row r="3142" spans="5:10" x14ac:dyDescent="0.25">
      <c r="E3142"/>
      <c r="F3142"/>
      <c r="G3142" s="12"/>
      <c r="H3142" s="12"/>
      <c r="I3142" s="12"/>
      <c r="J3142" s="12"/>
    </row>
    <row r="3143" spans="5:10" x14ac:dyDescent="0.25">
      <c r="E3143"/>
      <c r="F3143"/>
      <c r="G3143" s="12"/>
      <c r="H3143" s="12"/>
      <c r="I3143" s="12"/>
      <c r="J3143" s="12"/>
    </row>
    <row r="3144" spans="5:10" x14ac:dyDescent="0.25">
      <c r="E3144"/>
      <c r="F3144"/>
      <c r="G3144" s="12"/>
      <c r="H3144" s="12"/>
      <c r="I3144" s="12"/>
      <c r="J3144" s="12"/>
    </row>
    <row r="3145" spans="5:10" x14ac:dyDescent="0.25">
      <c r="E3145"/>
      <c r="F3145"/>
      <c r="G3145" s="12"/>
      <c r="H3145" s="12"/>
      <c r="I3145" s="12"/>
      <c r="J3145" s="12"/>
    </row>
    <row r="3146" spans="5:10" x14ac:dyDescent="0.25">
      <c r="E3146"/>
      <c r="F3146"/>
      <c r="G3146" s="12"/>
      <c r="H3146" s="12"/>
      <c r="I3146" s="12"/>
      <c r="J3146" s="12"/>
    </row>
    <row r="3147" spans="5:10" x14ac:dyDescent="0.25">
      <c r="E3147"/>
      <c r="F3147"/>
      <c r="G3147" s="12"/>
      <c r="H3147" s="12"/>
      <c r="I3147" s="12"/>
      <c r="J3147" s="12"/>
    </row>
    <row r="3148" spans="5:10" x14ac:dyDescent="0.25">
      <c r="E3148"/>
      <c r="F3148"/>
      <c r="G3148" s="12"/>
      <c r="H3148" s="12"/>
      <c r="I3148" s="12"/>
      <c r="J3148" s="12"/>
    </row>
    <row r="3149" spans="5:10" x14ac:dyDescent="0.25">
      <c r="E3149"/>
      <c r="F3149"/>
      <c r="G3149" s="12"/>
      <c r="H3149" s="12"/>
      <c r="I3149" s="12"/>
      <c r="J3149" s="12"/>
    </row>
    <row r="3150" spans="5:10" x14ac:dyDescent="0.25">
      <c r="E3150"/>
      <c r="F3150"/>
      <c r="G3150" s="12"/>
      <c r="H3150" s="12"/>
      <c r="I3150" s="12"/>
      <c r="J3150" s="12"/>
    </row>
    <row r="3151" spans="5:10" x14ac:dyDescent="0.25">
      <c r="E3151"/>
      <c r="F3151"/>
      <c r="G3151" s="12"/>
      <c r="H3151" s="12"/>
      <c r="I3151" s="12"/>
      <c r="J3151" s="12"/>
    </row>
    <row r="3152" spans="5:10" x14ac:dyDescent="0.25">
      <c r="E3152"/>
      <c r="F3152"/>
      <c r="G3152" s="12"/>
      <c r="H3152" s="12"/>
      <c r="I3152" s="12"/>
      <c r="J3152" s="12"/>
    </row>
    <row r="3153" spans="5:10" x14ac:dyDescent="0.25">
      <c r="E3153"/>
      <c r="F3153"/>
      <c r="G3153" s="12"/>
      <c r="H3153" s="12"/>
      <c r="I3153" s="12"/>
      <c r="J3153" s="12"/>
    </row>
    <row r="3154" spans="5:10" x14ac:dyDescent="0.25">
      <c r="E3154"/>
      <c r="F3154"/>
      <c r="G3154" s="12"/>
      <c r="H3154" s="12"/>
      <c r="I3154" s="12"/>
      <c r="J3154" s="12"/>
    </row>
    <row r="3155" spans="5:10" x14ac:dyDescent="0.25">
      <c r="E3155"/>
      <c r="F3155"/>
      <c r="G3155" s="12"/>
      <c r="H3155" s="12"/>
      <c r="I3155" s="12"/>
      <c r="J3155" s="12"/>
    </row>
    <row r="3156" spans="5:10" x14ac:dyDescent="0.25">
      <c r="E3156"/>
      <c r="F3156"/>
      <c r="G3156" s="12"/>
      <c r="H3156" s="12"/>
      <c r="I3156" s="12"/>
      <c r="J3156" s="12"/>
    </row>
    <row r="3157" spans="5:10" x14ac:dyDescent="0.25">
      <c r="E3157"/>
      <c r="F3157"/>
      <c r="G3157" s="12"/>
      <c r="H3157" s="12"/>
      <c r="I3157" s="12"/>
      <c r="J3157" s="12"/>
    </row>
    <row r="3158" spans="5:10" x14ac:dyDescent="0.25">
      <c r="E3158"/>
      <c r="F3158"/>
      <c r="G3158" s="12"/>
      <c r="H3158" s="12"/>
      <c r="I3158" s="12"/>
      <c r="J3158" s="12"/>
    </row>
    <row r="3159" spans="5:10" x14ac:dyDescent="0.25">
      <c r="E3159"/>
      <c r="F3159"/>
      <c r="G3159" s="12"/>
      <c r="H3159" s="12"/>
      <c r="I3159" s="12"/>
      <c r="J3159" s="12"/>
    </row>
    <row r="3160" spans="5:10" x14ac:dyDescent="0.25">
      <c r="E3160"/>
      <c r="F3160"/>
      <c r="G3160" s="12"/>
      <c r="H3160" s="12"/>
      <c r="I3160" s="12"/>
      <c r="J3160" s="12"/>
    </row>
    <row r="3161" spans="5:10" x14ac:dyDescent="0.25">
      <c r="E3161"/>
      <c r="F3161"/>
      <c r="G3161" s="12"/>
      <c r="H3161" s="12"/>
      <c r="I3161" s="12"/>
      <c r="J3161" s="12"/>
    </row>
    <row r="3162" spans="5:10" x14ac:dyDescent="0.25">
      <c r="E3162"/>
      <c r="F3162"/>
      <c r="G3162" s="12"/>
      <c r="H3162" s="12"/>
      <c r="I3162" s="12"/>
      <c r="J3162" s="12"/>
    </row>
    <row r="3163" spans="5:10" x14ac:dyDescent="0.25">
      <c r="E3163"/>
      <c r="F3163"/>
      <c r="G3163" s="12"/>
      <c r="H3163" s="12"/>
      <c r="I3163" s="12"/>
      <c r="J3163" s="12"/>
    </row>
    <row r="3164" spans="5:10" x14ac:dyDescent="0.25">
      <c r="E3164"/>
      <c r="F3164"/>
      <c r="G3164" s="12"/>
      <c r="H3164" s="12"/>
      <c r="I3164" s="12"/>
      <c r="J3164" s="12"/>
    </row>
    <row r="3165" spans="5:10" x14ac:dyDescent="0.25">
      <c r="E3165"/>
      <c r="F3165"/>
      <c r="G3165" s="12"/>
      <c r="H3165" s="12"/>
      <c r="I3165" s="12"/>
      <c r="J3165" s="12"/>
    </row>
    <row r="3166" spans="5:10" x14ac:dyDescent="0.25">
      <c r="E3166"/>
      <c r="F3166"/>
      <c r="G3166" s="12"/>
      <c r="H3166" s="12"/>
      <c r="I3166" s="12"/>
      <c r="J3166" s="12"/>
    </row>
    <row r="3167" spans="5:10" x14ac:dyDescent="0.25">
      <c r="E3167"/>
      <c r="F3167"/>
      <c r="G3167" s="12"/>
      <c r="H3167" s="12"/>
      <c r="I3167" s="12"/>
      <c r="J3167" s="12"/>
    </row>
    <row r="3168" spans="5:10" x14ac:dyDescent="0.25">
      <c r="E3168"/>
      <c r="F3168"/>
      <c r="G3168" s="12"/>
      <c r="H3168" s="12"/>
      <c r="I3168" s="12"/>
      <c r="J3168" s="12"/>
    </row>
    <row r="3169" spans="5:10" x14ac:dyDescent="0.25">
      <c r="E3169"/>
      <c r="F3169"/>
      <c r="G3169" s="12"/>
      <c r="H3169" s="12"/>
      <c r="I3169" s="12"/>
      <c r="J3169" s="12"/>
    </row>
    <row r="3170" spans="5:10" x14ac:dyDescent="0.25">
      <c r="E3170"/>
      <c r="F3170"/>
      <c r="G3170" s="12"/>
      <c r="H3170" s="12"/>
      <c r="I3170" s="12"/>
      <c r="J3170" s="12"/>
    </row>
    <row r="3171" spans="5:10" x14ac:dyDescent="0.25">
      <c r="E3171"/>
      <c r="F3171"/>
      <c r="G3171" s="12"/>
      <c r="H3171" s="12"/>
      <c r="I3171" s="12"/>
      <c r="J3171" s="12"/>
    </row>
    <row r="3172" spans="5:10" x14ac:dyDescent="0.25">
      <c r="E3172"/>
      <c r="F3172"/>
      <c r="G3172" s="12"/>
      <c r="H3172" s="12"/>
      <c r="I3172" s="12"/>
      <c r="J3172" s="12"/>
    </row>
    <row r="3173" spans="5:10" x14ac:dyDescent="0.25">
      <c r="E3173"/>
      <c r="F3173"/>
      <c r="G3173" s="12"/>
      <c r="H3173" s="12"/>
      <c r="I3173" s="12"/>
      <c r="J3173" s="12"/>
    </row>
    <row r="3174" spans="5:10" x14ac:dyDescent="0.25">
      <c r="E3174"/>
      <c r="F3174"/>
      <c r="G3174" s="12"/>
      <c r="H3174" s="12"/>
      <c r="I3174" s="12"/>
      <c r="J3174" s="12"/>
    </row>
    <row r="3175" spans="5:10" x14ac:dyDescent="0.25">
      <c r="E3175"/>
      <c r="F3175"/>
      <c r="G3175" s="12"/>
      <c r="H3175" s="12"/>
      <c r="I3175" s="12"/>
      <c r="J3175" s="12"/>
    </row>
    <row r="3176" spans="5:10" x14ac:dyDescent="0.25">
      <c r="E3176"/>
      <c r="F3176"/>
      <c r="G3176" s="12"/>
      <c r="H3176" s="12"/>
      <c r="I3176" s="12"/>
      <c r="J3176" s="12"/>
    </row>
    <row r="3177" spans="5:10" x14ac:dyDescent="0.25">
      <c r="E3177"/>
      <c r="F3177"/>
      <c r="G3177" s="12"/>
      <c r="H3177" s="12"/>
      <c r="I3177" s="12"/>
      <c r="J3177" s="12"/>
    </row>
    <row r="3178" spans="5:10" x14ac:dyDescent="0.25">
      <c r="E3178"/>
      <c r="F3178"/>
      <c r="G3178" s="12"/>
      <c r="H3178" s="12"/>
      <c r="I3178" s="12"/>
      <c r="J3178" s="12"/>
    </row>
    <row r="3179" spans="5:10" x14ac:dyDescent="0.25">
      <c r="E3179"/>
      <c r="F3179"/>
      <c r="G3179" s="12"/>
      <c r="H3179" s="12"/>
      <c r="I3179" s="12"/>
      <c r="J3179" s="12"/>
    </row>
    <row r="3180" spans="5:10" x14ac:dyDescent="0.25">
      <c r="E3180"/>
      <c r="F3180"/>
      <c r="G3180" s="12"/>
      <c r="H3180" s="12"/>
      <c r="I3180" s="12"/>
      <c r="J3180" s="12"/>
    </row>
    <row r="3181" spans="5:10" x14ac:dyDescent="0.25">
      <c r="E3181"/>
      <c r="F3181"/>
      <c r="G3181" s="12"/>
      <c r="H3181" s="12"/>
      <c r="I3181" s="12"/>
      <c r="J3181" s="12"/>
    </row>
    <row r="3182" spans="5:10" x14ac:dyDescent="0.25">
      <c r="E3182"/>
      <c r="F3182"/>
      <c r="G3182" s="12"/>
      <c r="H3182" s="12"/>
      <c r="I3182" s="12"/>
      <c r="J3182" s="12"/>
    </row>
    <row r="3183" spans="5:10" x14ac:dyDescent="0.25">
      <c r="E3183"/>
      <c r="F3183"/>
      <c r="G3183" s="12"/>
      <c r="H3183" s="12"/>
      <c r="I3183" s="12"/>
      <c r="J3183" s="12"/>
    </row>
    <row r="3184" spans="5:10" x14ac:dyDescent="0.25">
      <c r="E3184"/>
      <c r="F3184"/>
      <c r="G3184" s="12"/>
      <c r="H3184" s="12"/>
      <c r="I3184" s="12"/>
      <c r="J3184" s="12"/>
    </row>
    <row r="3185" spans="5:10" x14ac:dyDescent="0.25">
      <c r="E3185"/>
      <c r="F3185"/>
      <c r="G3185" s="12"/>
      <c r="H3185" s="12"/>
      <c r="I3185" s="12"/>
      <c r="J3185" s="12"/>
    </row>
    <row r="3186" spans="5:10" x14ac:dyDescent="0.25">
      <c r="E3186"/>
      <c r="F3186"/>
      <c r="G3186" s="12"/>
      <c r="H3186" s="12"/>
      <c r="I3186" s="12"/>
      <c r="J3186" s="12"/>
    </row>
    <row r="3187" spans="5:10" x14ac:dyDescent="0.25">
      <c r="E3187"/>
      <c r="F3187"/>
      <c r="G3187" s="12"/>
      <c r="H3187" s="12"/>
      <c r="I3187" s="12"/>
      <c r="J3187" s="12"/>
    </row>
    <row r="3188" spans="5:10" x14ac:dyDescent="0.25">
      <c r="E3188"/>
      <c r="F3188"/>
      <c r="G3188" s="12"/>
      <c r="H3188" s="12"/>
      <c r="I3188" s="12"/>
      <c r="J3188" s="12"/>
    </row>
    <row r="3189" spans="5:10" x14ac:dyDescent="0.25">
      <c r="E3189"/>
      <c r="F3189"/>
      <c r="G3189" s="12"/>
      <c r="H3189" s="12"/>
      <c r="I3189" s="12"/>
      <c r="J3189" s="12"/>
    </row>
    <row r="3190" spans="5:10" x14ac:dyDescent="0.25">
      <c r="E3190"/>
      <c r="F3190"/>
      <c r="G3190" s="12"/>
      <c r="H3190" s="12"/>
      <c r="I3190" s="12"/>
      <c r="J3190" s="12"/>
    </row>
    <row r="3191" spans="5:10" x14ac:dyDescent="0.25">
      <c r="E3191"/>
      <c r="F3191"/>
      <c r="G3191" s="12"/>
      <c r="H3191" s="12"/>
      <c r="I3191" s="12"/>
      <c r="J3191" s="12"/>
    </row>
    <row r="3192" spans="5:10" x14ac:dyDescent="0.25">
      <c r="E3192"/>
      <c r="F3192"/>
      <c r="G3192" s="12"/>
      <c r="H3192" s="12"/>
      <c r="I3192" s="12"/>
      <c r="J3192" s="12"/>
    </row>
    <row r="3193" spans="5:10" x14ac:dyDescent="0.25">
      <c r="E3193"/>
      <c r="F3193"/>
      <c r="G3193" s="12"/>
      <c r="H3193" s="12"/>
      <c r="I3193" s="12"/>
      <c r="J3193" s="12"/>
    </row>
    <row r="3194" spans="5:10" x14ac:dyDescent="0.25">
      <c r="E3194"/>
      <c r="F3194"/>
      <c r="G3194" s="12"/>
      <c r="H3194" s="12"/>
      <c r="I3194" s="12"/>
      <c r="J3194" s="12"/>
    </row>
    <row r="3195" spans="5:10" x14ac:dyDescent="0.25">
      <c r="E3195"/>
      <c r="F3195"/>
      <c r="G3195" s="12"/>
      <c r="H3195" s="12"/>
      <c r="I3195" s="12"/>
      <c r="J3195" s="12"/>
    </row>
    <row r="3196" spans="5:10" x14ac:dyDescent="0.25">
      <c r="E3196"/>
      <c r="F3196"/>
      <c r="G3196" s="12"/>
      <c r="H3196" s="12"/>
      <c r="I3196" s="12"/>
      <c r="J3196" s="12"/>
    </row>
    <row r="3197" spans="5:10" x14ac:dyDescent="0.25">
      <c r="E3197"/>
      <c r="F3197"/>
      <c r="G3197" s="12"/>
      <c r="H3197" s="12"/>
      <c r="I3197" s="12"/>
      <c r="J3197" s="12"/>
    </row>
    <row r="3198" spans="5:10" x14ac:dyDescent="0.25">
      <c r="E3198"/>
      <c r="F3198"/>
      <c r="G3198" s="12"/>
      <c r="H3198" s="12"/>
      <c r="I3198" s="12"/>
      <c r="J3198" s="12"/>
    </row>
    <row r="3199" spans="5:10" x14ac:dyDescent="0.25">
      <c r="E3199"/>
      <c r="F3199"/>
      <c r="G3199" s="12"/>
      <c r="H3199" s="12"/>
      <c r="I3199" s="12"/>
      <c r="J3199" s="12"/>
    </row>
    <row r="3200" spans="5:10" x14ac:dyDescent="0.25">
      <c r="E3200"/>
      <c r="F3200"/>
      <c r="G3200" s="12"/>
      <c r="H3200" s="12"/>
      <c r="I3200" s="12"/>
      <c r="J3200" s="12"/>
    </row>
    <row r="3201" spans="5:10" x14ac:dyDescent="0.25">
      <c r="E3201"/>
      <c r="F3201"/>
      <c r="G3201" s="12"/>
      <c r="H3201" s="12"/>
      <c r="I3201" s="12"/>
      <c r="J3201" s="12"/>
    </row>
    <row r="3202" spans="5:10" x14ac:dyDescent="0.25">
      <c r="E3202"/>
      <c r="F3202"/>
      <c r="G3202" s="12"/>
      <c r="H3202" s="12"/>
      <c r="I3202" s="12"/>
      <c r="J3202" s="12"/>
    </row>
    <row r="3203" spans="5:10" x14ac:dyDescent="0.25">
      <c r="E3203"/>
      <c r="F3203"/>
      <c r="G3203" s="12"/>
      <c r="H3203" s="12"/>
      <c r="I3203" s="12"/>
      <c r="J3203" s="12"/>
    </row>
    <row r="3204" spans="5:10" x14ac:dyDescent="0.25">
      <c r="E3204"/>
      <c r="F3204"/>
      <c r="G3204" s="12"/>
      <c r="H3204" s="12"/>
      <c r="I3204" s="12"/>
      <c r="J3204" s="12"/>
    </row>
    <row r="3205" spans="5:10" x14ac:dyDescent="0.25">
      <c r="E3205"/>
      <c r="F3205"/>
      <c r="G3205" s="12"/>
      <c r="H3205" s="12"/>
      <c r="I3205" s="12"/>
      <c r="J3205" s="12"/>
    </row>
    <row r="3206" spans="5:10" x14ac:dyDescent="0.25">
      <c r="E3206"/>
      <c r="F3206"/>
      <c r="G3206" s="12"/>
      <c r="H3206" s="12"/>
      <c r="I3206" s="12"/>
      <c r="J3206" s="12"/>
    </row>
    <row r="3207" spans="5:10" x14ac:dyDescent="0.25">
      <c r="E3207"/>
      <c r="F3207"/>
      <c r="G3207" s="12"/>
      <c r="H3207" s="12"/>
      <c r="I3207" s="12"/>
      <c r="J3207" s="12"/>
    </row>
    <row r="3208" spans="5:10" x14ac:dyDescent="0.25">
      <c r="E3208"/>
      <c r="F3208"/>
      <c r="G3208" s="12"/>
      <c r="H3208" s="12"/>
      <c r="I3208" s="12"/>
      <c r="J3208" s="12"/>
    </row>
    <row r="3209" spans="5:10" x14ac:dyDescent="0.25">
      <c r="E3209"/>
      <c r="F3209"/>
      <c r="G3209" s="12"/>
      <c r="H3209" s="12"/>
      <c r="I3209" s="12"/>
      <c r="J3209" s="12"/>
    </row>
    <row r="3210" spans="5:10" x14ac:dyDescent="0.25">
      <c r="E3210"/>
      <c r="F3210"/>
      <c r="G3210" s="12"/>
      <c r="H3210" s="12"/>
      <c r="I3210" s="12"/>
      <c r="J3210" s="12"/>
    </row>
    <row r="3211" spans="5:10" x14ac:dyDescent="0.25">
      <c r="E3211"/>
      <c r="F3211"/>
      <c r="G3211" s="12"/>
      <c r="H3211" s="12"/>
      <c r="I3211" s="12"/>
      <c r="J3211" s="12"/>
    </row>
    <row r="3212" spans="5:10" x14ac:dyDescent="0.25">
      <c r="E3212"/>
      <c r="F3212"/>
      <c r="G3212" s="12"/>
      <c r="H3212" s="12"/>
      <c r="I3212" s="12"/>
      <c r="J3212" s="12"/>
    </row>
    <row r="3213" spans="5:10" x14ac:dyDescent="0.25">
      <c r="E3213"/>
      <c r="F3213"/>
      <c r="G3213" s="12"/>
      <c r="H3213" s="12"/>
      <c r="I3213" s="12"/>
      <c r="J3213" s="12"/>
    </row>
    <row r="3214" spans="5:10" x14ac:dyDescent="0.25">
      <c r="E3214"/>
      <c r="F3214"/>
      <c r="G3214" s="12"/>
      <c r="H3214" s="12"/>
      <c r="I3214" s="12"/>
      <c r="J3214" s="12"/>
    </row>
    <row r="3215" spans="5:10" x14ac:dyDescent="0.25">
      <c r="E3215"/>
      <c r="F3215"/>
      <c r="G3215" s="12"/>
      <c r="H3215" s="12"/>
      <c r="I3215" s="12"/>
      <c r="J3215" s="12"/>
    </row>
    <row r="3216" spans="5:10" x14ac:dyDescent="0.25">
      <c r="E3216"/>
      <c r="F3216"/>
      <c r="G3216" s="12"/>
      <c r="H3216" s="12"/>
      <c r="I3216" s="12"/>
      <c r="J3216" s="12"/>
    </row>
    <row r="3217" spans="5:10" x14ac:dyDescent="0.25">
      <c r="E3217"/>
      <c r="F3217"/>
      <c r="G3217" s="12"/>
      <c r="H3217" s="12"/>
      <c r="I3217" s="12"/>
      <c r="J3217" s="12"/>
    </row>
    <row r="3218" spans="5:10" x14ac:dyDescent="0.25">
      <c r="E3218"/>
      <c r="F3218"/>
      <c r="G3218" s="12"/>
      <c r="H3218" s="12"/>
      <c r="I3218" s="12"/>
      <c r="J3218" s="12"/>
    </row>
    <row r="3219" spans="5:10" x14ac:dyDescent="0.25">
      <c r="E3219"/>
      <c r="F3219"/>
      <c r="G3219" s="12"/>
      <c r="H3219" s="12"/>
      <c r="I3219" s="12"/>
      <c r="J3219" s="12"/>
    </row>
    <row r="3220" spans="5:10" x14ac:dyDescent="0.25">
      <c r="E3220"/>
      <c r="F3220"/>
      <c r="G3220" s="12"/>
      <c r="H3220" s="12"/>
      <c r="I3220" s="12"/>
      <c r="J3220" s="12"/>
    </row>
    <row r="3221" spans="5:10" x14ac:dyDescent="0.25">
      <c r="E3221"/>
      <c r="F3221"/>
      <c r="G3221" s="12"/>
      <c r="H3221" s="12"/>
      <c r="I3221" s="12"/>
      <c r="J3221" s="12"/>
    </row>
    <row r="3222" spans="5:10" x14ac:dyDescent="0.25">
      <c r="E3222"/>
      <c r="F3222"/>
      <c r="G3222" s="12"/>
      <c r="H3222" s="12"/>
      <c r="I3222" s="12"/>
      <c r="J3222" s="12"/>
    </row>
    <row r="3223" spans="5:10" x14ac:dyDescent="0.25">
      <c r="E3223"/>
      <c r="F3223"/>
      <c r="G3223" s="12"/>
      <c r="H3223" s="12"/>
      <c r="I3223" s="12"/>
      <c r="J3223" s="12"/>
    </row>
    <row r="3224" spans="5:10" x14ac:dyDescent="0.25">
      <c r="E3224"/>
      <c r="F3224"/>
      <c r="G3224" s="12"/>
      <c r="H3224" s="12"/>
      <c r="I3224" s="12"/>
      <c r="J3224" s="12"/>
    </row>
    <row r="3225" spans="5:10" x14ac:dyDescent="0.25">
      <c r="E3225"/>
      <c r="F3225"/>
      <c r="G3225" s="12"/>
      <c r="H3225" s="12"/>
      <c r="I3225" s="12"/>
      <c r="J3225" s="12"/>
    </row>
    <row r="3226" spans="5:10" x14ac:dyDescent="0.25">
      <c r="E3226"/>
      <c r="F3226"/>
      <c r="G3226" s="12"/>
      <c r="H3226" s="12"/>
      <c r="I3226" s="12"/>
      <c r="J3226" s="12"/>
    </row>
    <row r="3227" spans="5:10" x14ac:dyDescent="0.25">
      <c r="E3227"/>
      <c r="F3227"/>
      <c r="G3227" s="12"/>
      <c r="H3227" s="12"/>
      <c r="I3227" s="12"/>
      <c r="J3227" s="12"/>
    </row>
    <row r="3228" spans="5:10" x14ac:dyDescent="0.25">
      <c r="E3228"/>
      <c r="F3228"/>
      <c r="G3228" s="12"/>
      <c r="H3228" s="12"/>
      <c r="I3228" s="12"/>
      <c r="J3228" s="12"/>
    </row>
    <row r="3229" spans="5:10" x14ac:dyDescent="0.25">
      <c r="E3229"/>
      <c r="F3229"/>
      <c r="G3229" s="12"/>
      <c r="H3229" s="12"/>
      <c r="I3229" s="12"/>
      <c r="J3229" s="12"/>
    </row>
    <row r="3230" spans="5:10" x14ac:dyDescent="0.25">
      <c r="E3230"/>
      <c r="F3230"/>
      <c r="G3230" s="12"/>
      <c r="H3230" s="12"/>
      <c r="I3230" s="12"/>
      <c r="J3230" s="12"/>
    </row>
    <row r="3231" spans="5:10" x14ac:dyDescent="0.25">
      <c r="E3231"/>
      <c r="F3231"/>
      <c r="G3231" s="12"/>
      <c r="H3231" s="12"/>
      <c r="I3231" s="12"/>
      <c r="J3231" s="12"/>
    </row>
    <row r="3232" spans="5:10" x14ac:dyDescent="0.25">
      <c r="E3232"/>
      <c r="F3232"/>
      <c r="G3232" s="12"/>
      <c r="H3232" s="12"/>
      <c r="I3232" s="12"/>
      <c r="J3232" s="12"/>
    </row>
    <row r="3233" spans="5:10" x14ac:dyDescent="0.25">
      <c r="E3233"/>
      <c r="F3233"/>
      <c r="G3233" s="12"/>
      <c r="H3233" s="12"/>
      <c r="I3233" s="12"/>
      <c r="J3233" s="12"/>
    </row>
    <row r="3234" spans="5:10" x14ac:dyDescent="0.25">
      <c r="E3234"/>
      <c r="F3234"/>
      <c r="G3234" s="12"/>
      <c r="H3234" s="12"/>
      <c r="I3234" s="12"/>
      <c r="J3234" s="12"/>
    </row>
    <row r="3235" spans="5:10" x14ac:dyDescent="0.25">
      <c r="E3235"/>
      <c r="F3235"/>
      <c r="G3235" s="12"/>
      <c r="H3235" s="12"/>
      <c r="I3235" s="12"/>
      <c r="J3235" s="12"/>
    </row>
    <row r="3236" spans="5:10" x14ac:dyDescent="0.25">
      <c r="E3236"/>
      <c r="F3236"/>
      <c r="G3236" s="12"/>
      <c r="H3236" s="12"/>
      <c r="I3236" s="12"/>
      <c r="J3236" s="12"/>
    </row>
    <row r="3237" spans="5:10" x14ac:dyDescent="0.25">
      <c r="E3237"/>
      <c r="F3237"/>
      <c r="G3237" s="12"/>
      <c r="H3237" s="12"/>
      <c r="I3237" s="12"/>
      <c r="J3237" s="12"/>
    </row>
    <row r="3238" spans="5:10" x14ac:dyDescent="0.25">
      <c r="E3238"/>
      <c r="F3238"/>
      <c r="G3238" s="12"/>
      <c r="H3238" s="12"/>
      <c r="I3238" s="12"/>
      <c r="J3238" s="12"/>
    </row>
    <row r="3239" spans="5:10" x14ac:dyDescent="0.25">
      <c r="E3239"/>
      <c r="F3239"/>
      <c r="G3239" s="12"/>
      <c r="H3239" s="12"/>
      <c r="I3239" s="12"/>
      <c r="J3239" s="12"/>
    </row>
    <row r="3240" spans="5:10" x14ac:dyDescent="0.25">
      <c r="E3240"/>
      <c r="F3240"/>
      <c r="G3240" s="12"/>
      <c r="H3240" s="12"/>
      <c r="I3240" s="12"/>
      <c r="J3240" s="12"/>
    </row>
    <row r="3241" spans="5:10" x14ac:dyDescent="0.25">
      <c r="E3241"/>
      <c r="F3241"/>
      <c r="G3241" s="12"/>
      <c r="H3241" s="12"/>
      <c r="I3241" s="12"/>
      <c r="J3241" s="12"/>
    </row>
    <row r="3242" spans="5:10" x14ac:dyDescent="0.25">
      <c r="E3242"/>
      <c r="F3242"/>
      <c r="G3242" s="12"/>
      <c r="H3242" s="12"/>
      <c r="I3242" s="12"/>
      <c r="J3242" s="12"/>
    </row>
    <row r="3243" spans="5:10" x14ac:dyDescent="0.25">
      <c r="E3243"/>
      <c r="F3243"/>
      <c r="G3243" s="12"/>
      <c r="H3243" s="12"/>
      <c r="I3243" s="12"/>
      <c r="J3243" s="12"/>
    </row>
    <row r="3244" spans="5:10" x14ac:dyDescent="0.25">
      <c r="E3244"/>
      <c r="F3244"/>
      <c r="G3244" s="12"/>
      <c r="H3244" s="12"/>
      <c r="I3244" s="12"/>
      <c r="J3244" s="12"/>
    </row>
    <row r="3245" spans="5:10" x14ac:dyDescent="0.25">
      <c r="E3245"/>
      <c r="F3245"/>
      <c r="G3245" s="12"/>
      <c r="H3245" s="12"/>
      <c r="I3245" s="12"/>
      <c r="J3245" s="12"/>
    </row>
    <row r="3246" spans="5:10" x14ac:dyDescent="0.25">
      <c r="E3246"/>
      <c r="F3246"/>
      <c r="G3246" s="12"/>
      <c r="H3246" s="12"/>
      <c r="I3246" s="12"/>
      <c r="J3246" s="12"/>
    </row>
    <row r="3247" spans="5:10" x14ac:dyDescent="0.25">
      <c r="E3247"/>
      <c r="F3247"/>
      <c r="G3247" s="12"/>
      <c r="H3247" s="12"/>
      <c r="I3247" s="12"/>
      <c r="J3247" s="12"/>
    </row>
    <row r="3248" spans="5:10" x14ac:dyDescent="0.25">
      <c r="E3248"/>
      <c r="F3248"/>
      <c r="G3248" s="12"/>
      <c r="H3248" s="12"/>
      <c r="I3248" s="12"/>
      <c r="J3248" s="12"/>
    </row>
    <row r="3249" spans="5:10" x14ac:dyDescent="0.25">
      <c r="E3249"/>
      <c r="F3249"/>
      <c r="G3249" s="12"/>
      <c r="H3249" s="12"/>
      <c r="I3249" s="12"/>
      <c r="J3249" s="12"/>
    </row>
    <row r="3250" spans="5:10" x14ac:dyDescent="0.25">
      <c r="E3250"/>
      <c r="F3250"/>
      <c r="G3250" s="12"/>
      <c r="H3250" s="12"/>
      <c r="I3250" s="12"/>
      <c r="J3250" s="12"/>
    </row>
    <row r="3251" spans="5:10" x14ac:dyDescent="0.25">
      <c r="E3251"/>
      <c r="F3251"/>
      <c r="G3251" s="12"/>
      <c r="H3251" s="12"/>
      <c r="I3251" s="12"/>
      <c r="J3251" s="12"/>
    </row>
    <row r="3252" spans="5:10" x14ac:dyDescent="0.25">
      <c r="E3252"/>
      <c r="F3252"/>
      <c r="G3252" s="12"/>
      <c r="H3252" s="12"/>
      <c r="I3252" s="12"/>
      <c r="J3252" s="12"/>
    </row>
    <row r="3253" spans="5:10" x14ac:dyDescent="0.25">
      <c r="E3253"/>
      <c r="F3253"/>
      <c r="G3253" s="12"/>
      <c r="H3253" s="12"/>
      <c r="I3253" s="12"/>
      <c r="J3253" s="12"/>
    </row>
    <row r="3254" spans="5:10" x14ac:dyDescent="0.25">
      <c r="E3254"/>
      <c r="F3254"/>
      <c r="G3254" s="12"/>
      <c r="H3254" s="12"/>
      <c r="I3254" s="12"/>
      <c r="J3254" s="12"/>
    </row>
    <row r="3255" spans="5:10" x14ac:dyDescent="0.25">
      <c r="E3255"/>
      <c r="F3255"/>
      <c r="G3255" s="12"/>
      <c r="H3255" s="12"/>
      <c r="I3255" s="12"/>
      <c r="J3255" s="12"/>
    </row>
    <row r="3256" spans="5:10" x14ac:dyDescent="0.25">
      <c r="E3256"/>
      <c r="F3256"/>
      <c r="G3256" s="12"/>
      <c r="H3256" s="12"/>
      <c r="I3256" s="12"/>
      <c r="J3256" s="12"/>
    </row>
    <row r="3257" spans="5:10" x14ac:dyDescent="0.25">
      <c r="E3257"/>
      <c r="F3257"/>
      <c r="G3257" s="12"/>
      <c r="H3257" s="12"/>
      <c r="I3257" s="12"/>
      <c r="J3257" s="12"/>
    </row>
    <row r="3258" spans="5:10" x14ac:dyDescent="0.25">
      <c r="E3258"/>
      <c r="F3258"/>
      <c r="G3258" s="12"/>
      <c r="H3258" s="12"/>
      <c r="I3258" s="12"/>
      <c r="J3258" s="12"/>
    </row>
    <row r="3259" spans="5:10" x14ac:dyDescent="0.25">
      <c r="E3259"/>
      <c r="F3259"/>
      <c r="G3259" s="12"/>
      <c r="H3259" s="12"/>
      <c r="I3259" s="12"/>
      <c r="J3259" s="12"/>
    </row>
    <row r="3260" spans="5:10" x14ac:dyDescent="0.25">
      <c r="E3260"/>
      <c r="F3260"/>
      <c r="G3260" s="12"/>
      <c r="H3260" s="12"/>
      <c r="I3260" s="12"/>
      <c r="J3260" s="12"/>
    </row>
    <row r="3261" spans="5:10" x14ac:dyDescent="0.25">
      <c r="E3261"/>
      <c r="F3261"/>
      <c r="G3261" s="12"/>
      <c r="H3261" s="12"/>
      <c r="I3261" s="12"/>
      <c r="J3261" s="12"/>
    </row>
    <row r="3262" spans="5:10" x14ac:dyDescent="0.25">
      <c r="E3262"/>
      <c r="F3262"/>
      <c r="G3262" s="12"/>
      <c r="H3262" s="12"/>
      <c r="I3262" s="12"/>
      <c r="J3262" s="12"/>
    </row>
    <row r="3263" spans="5:10" x14ac:dyDescent="0.25">
      <c r="E3263"/>
      <c r="F3263"/>
      <c r="G3263" s="12"/>
      <c r="H3263" s="12"/>
      <c r="I3263" s="12"/>
      <c r="J3263" s="12"/>
    </row>
    <row r="3264" spans="5:10" x14ac:dyDescent="0.25">
      <c r="E3264"/>
      <c r="F3264"/>
      <c r="G3264" s="12"/>
      <c r="H3264" s="12"/>
      <c r="I3264" s="12"/>
      <c r="J3264" s="12"/>
    </row>
    <row r="3265" spans="5:10" x14ac:dyDescent="0.25">
      <c r="E3265"/>
      <c r="F3265"/>
      <c r="G3265" s="12"/>
      <c r="H3265" s="12"/>
      <c r="I3265" s="12"/>
      <c r="J3265" s="12"/>
    </row>
    <row r="3266" spans="5:10" x14ac:dyDescent="0.25">
      <c r="E3266"/>
      <c r="F3266"/>
      <c r="G3266" s="12"/>
      <c r="H3266" s="12"/>
      <c r="I3266" s="12"/>
      <c r="J3266" s="12"/>
    </row>
    <row r="3267" spans="5:10" x14ac:dyDescent="0.25">
      <c r="E3267"/>
      <c r="F3267"/>
      <c r="G3267" s="12"/>
      <c r="H3267" s="12"/>
      <c r="I3267" s="12"/>
      <c r="J3267" s="12"/>
    </row>
    <row r="3268" spans="5:10" x14ac:dyDescent="0.25">
      <c r="E3268"/>
      <c r="F3268"/>
      <c r="G3268" s="12"/>
      <c r="H3268" s="12"/>
      <c r="I3268" s="12"/>
      <c r="J3268" s="12"/>
    </row>
    <row r="3269" spans="5:10" x14ac:dyDescent="0.25">
      <c r="E3269"/>
      <c r="F3269"/>
      <c r="G3269" s="12"/>
      <c r="H3269" s="12"/>
      <c r="I3269" s="12"/>
      <c r="J3269" s="12"/>
    </row>
    <row r="3270" spans="5:10" x14ac:dyDescent="0.25">
      <c r="E3270"/>
      <c r="F3270"/>
      <c r="G3270" s="12"/>
      <c r="H3270" s="12"/>
      <c r="I3270" s="12"/>
      <c r="J3270" s="12"/>
    </row>
    <row r="3271" spans="5:10" x14ac:dyDescent="0.25">
      <c r="E3271"/>
      <c r="F3271"/>
      <c r="G3271" s="12"/>
      <c r="H3271" s="12"/>
      <c r="I3271" s="12"/>
      <c r="J3271" s="12"/>
    </row>
    <row r="3272" spans="5:10" x14ac:dyDescent="0.25">
      <c r="E3272"/>
      <c r="F3272"/>
      <c r="G3272" s="12"/>
      <c r="H3272" s="12"/>
      <c r="I3272" s="12"/>
      <c r="J3272" s="12"/>
    </row>
    <row r="3273" spans="5:10" x14ac:dyDescent="0.25">
      <c r="E3273"/>
      <c r="F3273"/>
      <c r="G3273" s="12"/>
      <c r="H3273" s="12"/>
      <c r="I3273" s="12"/>
      <c r="J3273" s="12"/>
    </row>
    <row r="3274" spans="5:10" x14ac:dyDescent="0.25">
      <c r="E3274"/>
      <c r="F3274"/>
      <c r="G3274" s="12"/>
      <c r="H3274" s="12"/>
      <c r="I3274" s="12"/>
      <c r="J3274" s="12"/>
    </row>
    <row r="3275" spans="5:10" x14ac:dyDescent="0.25">
      <c r="E3275"/>
      <c r="F3275"/>
      <c r="G3275" s="12"/>
      <c r="H3275" s="12"/>
      <c r="I3275" s="12"/>
      <c r="J3275" s="12"/>
    </row>
    <row r="3276" spans="5:10" x14ac:dyDescent="0.25">
      <c r="E3276"/>
      <c r="F3276"/>
      <c r="G3276" s="12"/>
      <c r="H3276" s="12"/>
      <c r="I3276" s="12"/>
      <c r="J3276" s="12"/>
    </row>
    <row r="3277" spans="5:10" x14ac:dyDescent="0.25">
      <c r="E3277"/>
      <c r="F3277"/>
      <c r="G3277" s="12"/>
      <c r="H3277" s="12"/>
      <c r="I3277" s="12"/>
      <c r="J3277" s="12"/>
    </row>
    <row r="3278" spans="5:10" x14ac:dyDescent="0.25">
      <c r="E3278"/>
      <c r="F3278"/>
      <c r="G3278" s="12"/>
      <c r="H3278" s="12"/>
      <c r="I3278" s="12"/>
      <c r="J3278" s="12"/>
    </row>
    <row r="3279" spans="5:10" x14ac:dyDescent="0.25">
      <c r="E3279"/>
      <c r="F3279"/>
      <c r="G3279" s="12"/>
      <c r="H3279" s="12"/>
      <c r="I3279" s="12"/>
      <c r="J3279" s="12"/>
    </row>
    <row r="3280" spans="5:10" x14ac:dyDescent="0.25">
      <c r="E3280"/>
      <c r="F3280"/>
      <c r="G3280" s="12"/>
      <c r="H3280" s="12"/>
      <c r="I3280" s="12"/>
      <c r="J3280" s="12"/>
    </row>
    <row r="3281" spans="5:10" x14ac:dyDescent="0.25">
      <c r="E3281"/>
      <c r="F3281"/>
      <c r="G3281" s="12"/>
      <c r="H3281" s="12"/>
      <c r="I3281" s="12"/>
      <c r="J3281" s="12"/>
    </row>
    <row r="3282" spans="5:10" x14ac:dyDescent="0.25">
      <c r="E3282"/>
      <c r="F3282"/>
      <c r="G3282" s="12"/>
      <c r="H3282" s="12"/>
      <c r="I3282" s="12"/>
      <c r="J3282" s="12"/>
    </row>
    <row r="3283" spans="5:10" x14ac:dyDescent="0.25">
      <c r="E3283"/>
      <c r="F3283"/>
      <c r="G3283" s="12"/>
      <c r="H3283" s="12"/>
      <c r="I3283" s="12"/>
      <c r="J3283" s="12"/>
    </row>
    <row r="3284" spans="5:10" x14ac:dyDescent="0.25">
      <c r="E3284"/>
      <c r="F3284"/>
      <c r="G3284" s="12"/>
      <c r="H3284" s="12"/>
      <c r="I3284" s="12"/>
      <c r="J3284" s="12"/>
    </row>
    <row r="3285" spans="5:10" x14ac:dyDescent="0.25">
      <c r="E3285"/>
      <c r="F3285"/>
      <c r="G3285" s="12"/>
      <c r="H3285" s="12"/>
      <c r="I3285" s="12"/>
      <c r="J3285" s="12"/>
    </row>
    <row r="3286" spans="5:10" x14ac:dyDescent="0.25">
      <c r="E3286"/>
      <c r="F3286"/>
      <c r="G3286" s="12"/>
      <c r="H3286" s="12"/>
      <c r="I3286" s="12"/>
      <c r="J3286" s="12"/>
    </row>
    <row r="3287" spans="5:10" x14ac:dyDescent="0.25">
      <c r="E3287"/>
      <c r="F3287"/>
      <c r="G3287" s="12"/>
      <c r="H3287" s="12"/>
      <c r="I3287" s="12"/>
      <c r="J3287" s="12"/>
    </row>
    <row r="3288" spans="5:10" x14ac:dyDescent="0.25">
      <c r="E3288"/>
      <c r="F3288"/>
      <c r="G3288" s="12"/>
      <c r="H3288" s="12"/>
      <c r="I3288" s="12"/>
      <c r="J3288" s="12"/>
    </row>
    <row r="3289" spans="5:10" x14ac:dyDescent="0.25">
      <c r="E3289"/>
      <c r="F3289"/>
      <c r="G3289" s="12"/>
      <c r="H3289" s="12"/>
      <c r="I3289" s="12"/>
      <c r="J3289" s="12"/>
    </row>
    <row r="3290" spans="5:10" x14ac:dyDescent="0.25">
      <c r="E3290"/>
      <c r="F3290"/>
      <c r="G3290" s="12"/>
      <c r="H3290" s="12"/>
      <c r="I3290" s="12"/>
      <c r="J3290" s="12"/>
    </row>
    <row r="3291" spans="5:10" x14ac:dyDescent="0.25">
      <c r="E3291"/>
      <c r="F3291"/>
      <c r="G3291" s="12"/>
      <c r="H3291" s="12"/>
      <c r="I3291" s="12"/>
      <c r="J3291" s="12"/>
    </row>
    <row r="3292" spans="5:10" x14ac:dyDescent="0.25">
      <c r="E3292"/>
      <c r="F3292"/>
      <c r="G3292" s="12"/>
      <c r="H3292" s="12"/>
      <c r="I3292" s="12"/>
      <c r="J3292" s="12"/>
    </row>
    <row r="3293" spans="5:10" x14ac:dyDescent="0.25">
      <c r="E3293"/>
      <c r="F3293"/>
      <c r="G3293" s="12"/>
      <c r="H3293" s="12"/>
      <c r="I3293" s="12"/>
      <c r="J3293" s="12"/>
    </row>
    <row r="3294" spans="5:10" x14ac:dyDescent="0.25">
      <c r="E3294"/>
      <c r="F3294"/>
      <c r="G3294" s="12"/>
      <c r="H3294" s="12"/>
      <c r="I3294" s="12"/>
      <c r="J3294" s="12"/>
    </row>
    <row r="3295" spans="5:10" x14ac:dyDescent="0.25">
      <c r="E3295"/>
      <c r="F3295"/>
      <c r="G3295" s="12"/>
      <c r="H3295" s="12"/>
      <c r="I3295" s="12"/>
      <c r="J3295" s="12"/>
    </row>
    <row r="3296" spans="5:10" x14ac:dyDescent="0.25">
      <c r="E3296"/>
      <c r="F3296"/>
      <c r="G3296" s="12"/>
      <c r="H3296" s="12"/>
      <c r="I3296" s="12"/>
      <c r="J3296" s="12"/>
    </row>
    <row r="3297" spans="5:10" x14ac:dyDescent="0.25">
      <c r="E3297"/>
      <c r="F3297"/>
      <c r="G3297" s="12"/>
      <c r="H3297" s="12"/>
      <c r="I3297" s="12"/>
      <c r="J3297" s="12"/>
    </row>
    <row r="3298" spans="5:10" x14ac:dyDescent="0.25">
      <c r="E3298"/>
      <c r="F3298"/>
      <c r="G3298" s="12"/>
      <c r="H3298" s="12"/>
      <c r="I3298" s="12"/>
      <c r="J3298" s="12"/>
    </row>
    <row r="3299" spans="5:10" x14ac:dyDescent="0.25">
      <c r="E3299"/>
      <c r="F3299"/>
      <c r="G3299" s="12"/>
      <c r="H3299" s="12"/>
      <c r="I3299" s="12"/>
      <c r="J3299" s="12"/>
    </row>
    <row r="3300" spans="5:10" x14ac:dyDescent="0.25">
      <c r="E3300"/>
      <c r="F3300"/>
      <c r="G3300" s="12"/>
      <c r="H3300" s="12"/>
      <c r="I3300" s="12"/>
      <c r="J3300" s="12"/>
    </row>
    <row r="3301" spans="5:10" x14ac:dyDescent="0.25">
      <c r="E3301"/>
      <c r="F3301"/>
      <c r="G3301" s="12"/>
      <c r="H3301" s="12"/>
      <c r="I3301" s="12"/>
      <c r="J3301" s="12"/>
    </row>
    <row r="3302" spans="5:10" x14ac:dyDescent="0.25">
      <c r="E3302"/>
      <c r="F3302"/>
      <c r="G3302" s="12"/>
      <c r="H3302" s="12"/>
      <c r="I3302" s="12"/>
      <c r="J3302" s="12"/>
    </row>
    <row r="3303" spans="5:10" x14ac:dyDescent="0.25">
      <c r="E3303"/>
      <c r="F3303"/>
      <c r="G3303" s="12"/>
      <c r="H3303" s="12"/>
      <c r="I3303" s="12"/>
      <c r="J3303" s="12"/>
    </row>
    <row r="3304" spans="5:10" x14ac:dyDescent="0.25">
      <c r="E3304"/>
      <c r="F3304"/>
      <c r="G3304" s="12"/>
      <c r="H3304" s="12"/>
      <c r="I3304" s="12"/>
      <c r="J3304" s="12"/>
    </row>
    <row r="3305" spans="5:10" x14ac:dyDescent="0.25">
      <c r="E3305"/>
      <c r="F3305"/>
      <c r="G3305" s="12"/>
      <c r="H3305" s="12"/>
      <c r="I3305" s="12"/>
      <c r="J3305" s="12"/>
    </row>
    <row r="3306" spans="5:10" x14ac:dyDescent="0.25">
      <c r="E3306"/>
      <c r="F3306"/>
      <c r="G3306" s="12"/>
      <c r="H3306" s="12"/>
      <c r="I3306" s="12"/>
      <c r="J3306" s="12"/>
    </row>
    <row r="3307" spans="5:10" x14ac:dyDescent="0.25">
      <c r="E3307"/>
      <c r="F3307"/>
      <c r="G3307" s="12"/>
      <c r="H3307" s="12"/>
      <c r="I3307" s="12"/>
      <c r="J3307" s="12"/>
    </row>
    <row r="3308" spans="5:10" x14ac:dyDescent="0.25">
      <c r="E3308"/>
      <c r="F3308"/>
      <c r="G3308" s="12"/>
      <c r="H3308" s="12"/>
      <c r="I3308" s="12"/>
      <c r="J3308" s="12"/>
    </row>
    <row r="3309" spans="5:10" x14ac:dyDescent="0.25">
      <c r="E3309"/>
      <c r="F3309"/>
      <c r="G3309" s="12"/>
      <c r="H3309" s="12"/>
      <c r="I3309" s="12"/>
      <c r="J3309" s="12"/>
    </row>
    <row r="3310" spans="5:10" x14ac:dyDescent="0.25">
      <c r="E3310"/>
      <c r="F3310"/>
      <c r="G3310" s="12"/>
      <c r="H3310" s="12"/>
      <c r="I3310" s="12"/>
      <c r="J3310" s="12"/>
    </row>
    <row r="3311" spans="5:10" x14ac:dyDescent="0.25">
      <c r="E3311"/>
      <c r="F3311"/>
      <c r="G3311" s="12"/>
      <c r="H3311" s="12"/>
      <c r="I3311" s="12"/>
      <c r="J3311" s="12"/>
    </row>
    <row r="3312" spans="5:10" x14ac:dyDescent="0.25">
      <c r="E3312"/>
      <c r="F3312"/>
      <c r="G3312" s="12"/>
      <c r="H3312" s="12"/>
      <c r="I3312" s="12"/>
      <c r="J3312" s="12"/>
    </row>
    <row r="3313" spans="5:10" x14ac:dyDescent="0.25">
      <c r="E3313"/>
      <c r="F3313"/>
      <c r="G3313" s="12"/>
      <c r="H3313" s="12"/>
      <c r="I3313" s="12"/>
      <c r="J3313" s="12"/>
    </row>
    <row r="3314" spans="5:10" x14ac:dyDescent="0.25">
      <c r="E3314"/>
      <c r="F3314"/>
      <c r="G3314" s="12"/>
      <c r="H3314" s="12"/>
      <c r="I3314" s="12"/>
      <c r="J3314" s="12"/>
    </row>
    <row r="3315" spans="5:10" x14ac:dyDescent="0.25">
      <c r="E3315"/>
      <c r="F3315"/>
      <c r="G3315" s="12"/>
      <c r="H3315" s="12"/>
      <c r="I3315" s="12"/>
      <c r="J3315" s="12"/>
    </row>
    <row r="3316" spans="5:10" x14ac:dyDescent="0.25">
      <c r="E3316"/>
      <c r="F3316"/>
      <c r="G3316" s="12"/>
      <c r="H3316" s="12"/>
      <c r="I3316" s="12"/>
      <c r="J3316" s="12"/>
    </row>
    <row r="3317" spans="5:10" x14ac:dyDescent="0.25">
      <c r="E3317"/>
      <c r="F3317"/>
      <c r="G3317" s="12"/>
      <c r="H3317" s="12"/>
      <c r="I3317" s="12"/>
      <c r="J3317" s="12"/>
    </row>
    <row r="3318" spans="5:10" x14ac:dyDescent="0.25">
      <c r="E3318"/>
      <c r="F3318"/>
      <c r="G3318" s="12"/>
      <c r="H3318" s="12"/>
      <c r="I3318" s="12"/>
      <c r="J3318" s="12"/>
    </row>
    <row r="3319" spans="5:10" x14ac:dyDescent="0.25">
      <c r="E3319"/>
      <c r="F3319"/>
      <c r="G3319" s="12"/>
      <c r="H3319" s="12"/>
      <c r="I3319" s="12"/>
      <c r="J3319" s="12"/>
    </row>
    <row r="3320" spans="5:10" x14ac:dyDescent="0.25">
      <c r="E3320"/>
      <c r="F3320"/>
      <c r="G3320" s="12"/>
      <c r="H3320" s="12"/>
      <c r="I3320" s="12"/>
      <c r="J3320" s="12"/>
    </row>
    <row r="3321" spans="5:10" x14ac:dyDescent="0.25">
      <c r="E3321"/>
      <c r="F3321"/>
      <c r="G3321" s="12"/>
      <c r="H3321" s="12"/>
      <c r="I3321" s="12"/>
      <c r="J3321" s="12"/>
    </row>
    <row r="3322" spans="5:10" x14ac:dyDescent="0.25">
      <c r="E3322"/>
      <c r="F3322"/>
      <c r="G3322" s="12"/>
      <c r="H3322" s="12"/>
      <c r="I3322" s="12"/>
      <c r="J3322" s="12"/>
    </row>
    <row r="3323" spans="5:10" x14ac:dyDescent="0.25">
      <c r="E3323"/>
      <c r="F3323"/>
      <c r="G3323" s="12"/>
      <c r="H3323" s="12"/>
      <c r="I3323" s="12"/>
      <c r="J3323" s="12"/>
    </row>
    <row r="3324" spans="5:10" x14ac:dyDescent="0.25">
      <c r="E3324"/>
      <c r="F3324"/>
      <c r="G3324" s="12"/>
      <c r="H3324" s="12"/>
      <c r="I3324" s="12"/>
      <c r="J3324" s="12"/>
    </row>
    <row r="3325" spans="5:10" x14ac:dyDescent="0.25">
      <c r="E3325"/>
      <c r="F3325"/>
      <c r="G3325" s="12"/>
      <c r="H3325" s="12"/>
      <c r="I3325" s="12"/>
      <c r="J3325" s="12"/>
    </row>
    <row r="3326" spans="5:10" x14ac:dyDescent="0.25">
      <c r="E3326"/>
      <c r="F3326"/>
      <c r="G3326" s="12"/>
      <c r="H3326" s="12"/>
      <c r="I3326" s="12"/>
      <c r="J3326" s="12"/>
    </row>
    <row r="3327" spans="5:10" x14ac:dyDescent="0.25">
      <c r="E3327"/>
      <c r="F3327"/>
      <c r="G3327" s="12"/>
      <c r="H3327" s="12"/>
      <c r="I3327" s="12"/>
      <c r="J3327" s="12"/>
    </row>
    <row r="3328" spans="5:10" x14ac:dyDescent="0.25">
      <c r="E3328"/>
      <c r="F3328"/>
      <c r="G3328" s="12"/>
      <c r="H3328" s="12"/>
      <c r="I3328" s="12"/>
      <c r="J3328" s="12"/>
    </row>
    <row r="3329" spans="5:10" x14ac:dyDescent="0.25">
      <c r="E3329"/>
      <c r="F3329"/>
      <c r="G3329" s="12"/>
      <c r="H3329" s="12"/>
      <c r="I3329" s="12"/>
      <c r="J3329" s="12"/>
    </row>
    <row r="3330" spans="5:10" x14ac:dyDescent="0.25">
      <c r="E3330"/>
      <c r="F3330"/>
      <c r="G3330" s="12"/>
      <c r="H3330" s="12"/>
      <c r="I3330" s="12"/>
      <c r="J3330" s="12"/>
    </row>
    <row r="3331" spans="5:10" x14ac:dyDescent="0.25">
      <c r="E3331"/>
      <c r="F3331"/>
      <c r="G3331" s="12"/>
      <c r="H3331" s="12"/>
      <c r="I3331" s="12"/>
      <c r="J3331" s="12"/>
    </row>
    <row r="3332" spans="5:10" x14ac:dyDescent="0.25">
      <c r="E3332"/>
      <c r="F3332"/>
      <c r="G3332" s="12"/>
      <c r="H3332" s="12"/>
      <c r="I3332" s="12"/>
      <c r="J3332" s="12"/>
    </row>
    <row r="3333" spans="5:10" x14ac:dyDescent="0.25">
      <c r="E3333"/>
      <c r="F3333"/>
      <c r="G3333" s="12"/>
      <c r="H3333" s="12"/>
      <c r="I3333" s="12"/>
      <c r="J3333" s="12"/>
    </row>
    <row r="3334" spans="5:10" x14ac:dyDescent="0.25">
      <c r="E3334"/>
      <c r="F3334"/>
      <c r="G3334" s="12"/>
      <c r="H3334" s="12"/>
      <c r="I3334" s="12"/>
      <c r="J3334" s="12"/>
    </row>
    <row r="3335" spans="5:10" x14ac:dyDescent="0.25">
      <c r="E3335"/>
      <c r="F3335"/>
      <c r="G3335" s="12"/>
      <c r="H3335" s="12"/>
      <c r="I3335" s="12"/>
      <c r="J3335" s="12"/>
    </row>
    <row r="3336" spans="5:10" x14ac:dyDescent="0.25">
      <c r="E3336"/>
      <c r="F3336"/>
      <c r="G3336" s="12"/>
      <c r="H3336" s="12"/>
      <c r="I3336" s="12"/>
      <c r="J3336" s="12"/>
    </row>
    <row r="3337" spans="5:10" x14ac:dyDescent="0.25">
      <c r="E3337"/>
      <c r="F3337"/>
      <c r="G3337" s="12"/>
      <c r="H3337" s="12"/>
      <c r="I3337" s="12"/>
      <c r="J3337" s="12"/>
    </row>
    <row r="3338" spans="5:10" x14ac:dyDescent="0.25">
      <c r="E3338"/>
      <c r="F3338"/>
      <c r="G3338" s="12"/>
      <c r="H3338" s="12"/>
      <c r="I3338" s="12"/>
      <c r="J3338" s="12"/>
    </row>
    <row r="3339" spans="5:10" x14ac:dyDescent="0.25">
      <c r="E3339"/>
      <c r="F3339"/>
      <c r="G3339" s="12"/>
      <c r="H3339" s="12"/>
      <c r="I3339" s="12"/>
      <c r="J3339" s="12"/>
    </row>
    <row r="3340" spans="5:10" x14ac:dyDescent="0.25">
      <c r="E3340"/>
      <c r="F3340"/>
      <c r="G3340" s="12"/>
      <c r="H3340" s="12"/>
      <c r="I3340" s="12"/>
      <c r="J3340" s="12"/>
    </row>
    <row r="3341" spans="5:10" x14ac:dyDescent="0.25">
      <c r="E3341"/>
      <c r="F3341"/>
      <c r="G3341" s="12"/>
      <c r="H3341" s="12"/>
      <c r="I3341" s="12"/>
      <c r="J3341" s="12"/>
    </row>
    <row r="3342" spans="5:10" x14ac:dyDescent="0.25">
      <c r="E3342"/>
      <c r="F3342"/>
      <c r="G3342" s="12"/>
      <c r="H3342" s="12"/>
      <c r="I3342" s="12"/>
      <c r="J3342" s="12"/>
    </row>
    <row r="3343" spans="5:10" x14ac:dyDescent="0.25">
      <c r="E3343"/>
      <c r="F3343"/>
      <c r="G3343" s="12"/>
      <c r="H3343" s="12"/>
      <c r="I3343" s="12"/>
      <c r="J3343" s="12"/>
    </row>
    <row r="3344" spans="5:10" x14ac:dyDescent="0.25">
      <c r="E3344"/>
      <c r="F3344"/>
      <c r="G3344" s="12"/>
      <c r="H3344" s="12"/>
      <c r="I3344" s="12"/>
      <c r="J3344" s="12"/>
    </row>
    <row r="3345" spans="5:10" x14ac:dyDescent="0.25">
      <c r="E3345"/>
      <c r="F3345"/>
      <c r="G3345" s="12"/>
      <c r="H3345" s="12"/>
      <c r="I3345" s="12"/>
      <c r="J3345" s="12"/>
    </row>
    <row r="3346" spans="5:10" x14ac:dyDescent="0.25">
      <c r="E3346"/>
      <c r="F3346"/>
      <c r="G3346" s="12"/>
      <c r="H3346" s="12"/>
      <c r="I3346" s="12"/>
      <c r="J3346" s="12"/>
    </row>
    <row r="3347" spans="5:10" x14ac:dyDescent="0.25">
      <c r="E3347"/>
      <c r="F3347"/>
      <c r="G3347" s="12"/>
      <c r="H3347" s="12"/>
      <c r="I3347" s="12"/>
      <c r="J3347" s="12"/>
    </row>
    <row r="3348" spans="5:10" x14ac:dyDescent="0.25">
      <c r="E3348"/>
      <c r="F3348"/>
      <c r="G3348" s="12"/>
      <c r="H3348" s="12"/>
      <c r="I3348" s="12"/>
      <c r="J3348" s="12"/>
    </row>
    <row r="3349" spans="5:10" x14ac:dyDescent="0.25">
      <c r="E3349"/>
      <c r="F3349"/>
      <c r="G3349" s="12"/>
      <c r="H3349" s="12"/>
      <c r="I3349" s="12"/>
      <c r="J3349" s="12"/>
    </row>
    <row r="3350" spans="5:10" x14ac:dyDescent="0.25">
      <c r="E3350"/>
      <c r="F3350"/>
      <c r="G3350" s="12"/>
      <c r="H3350" s="12"/>
      <c r="I3350" s="12"/>
      <c r="J3350" s="12"/>
    </row>
    <row r="3351" spans="5:10" x14ac:dyDescent="0.25">
      <c r="E3351"/>
      <c r="F3351"/>
      <c r="G3351" s="12"/>
      <c r="H3351" s="12"/>
      <c r="I3351" s="12"/>
      <c r="J3351" s="12"/>
    </row>
    <row r="3352" spans="5:10" x14ac:dyDescent="0.25">
      <c r="E3352"/>
      <c r="F3352"/>
      <c r="G3352" s="12"/>
      <c r="H3352" s="12"/>
      <c r="I3352" s="12"/>
      <c r="J3352" s="12"/>
    </row>
    <row r="3353" spans="5:10" x14ac:dyDescent="0.25">
      <c r="E3353"/>
      <c r="F3353"/>
      <c r="G3353" s="12"/>
      <c r="H3353" s="12"/>
      <c r="I3353" s="12"/>
      <c r="J3353" s="12"/>
    </row>
    <row r="3354" spans="5:10" x14ac:dyDescent="0.25">
      <c r="E3354"/>
      <c r="F3354"/>
      <c r="G3354" s="12"/>
      <c r="H3354" s="12"/>
      <c r="I3354" s="12"/>
      <c r="J3354" s="12"/>
    </row>
    <row r="3355" spans="5:10" x14ac:dyDescent="0.25">
      <c r="E3355"/>
      <c r="F3355"/>
      <c r="G3355" s="12"/>
      <c r="H3355" s="12"/>
      <c r="I3355" s="12"/>
      <c r="J3355" s="12"/>
    </row>
    <row r="3356" spans="5:10" x14ac:dyDescent="0.25">
      <c r="E3356"/>
      <c r="F3356"/>
      <c r="G3356" s="12"/>
      <c r="H3356" s="12"/>
      <c r="I3356" s="12"/>
      <c r="J3356" s="12"/>
    </row>
    <row r="3357" spans="5:10" x14ac:dyDescent="0.25">
      <c r="E3357"/>
      <c r="F3357"/>
      <c r="G3357" s="12"/>
      <c r="H3357" s="12"/>
      <c r="I3357" s="12"/>
      <c r="J3357" s="12"/>
    </row>
    <row r="3358" spans="5:10" x14ac:dyDescent="0.25">
      <c r="E3358"/>
      <c r="F3358"/>
      <c r="G3358" s="12"/>
      <c r="H3358" s="12"/>
      <c r="I3358" s="12"/>
      <c r="J3358" s="12"/>
    </row>
    <row r="3359" spans="5:10" x14ac:dyDescent="0.25">
      <c r="E3359"/>
      <c r="F3359"/>
      <c r="G3359" s="12"/>
      <c r="H3359" s="12"/>
      <c r="I3359" s="12"/>
      <c r="J3359" s="12"/>
    </row>
    <row r="3360" spans="5:10" x14ac:dyDescent="0.25">
      <c r="E3360"/>
      <c r="F3360"/>
      <c r="G3360" s="12"/>
      <c r="H3360" s="12"/>
      <c r="I3360" s="12"/>
      <c r="J3360" s="12"/>
    </row>
    <row r="3361" spans="5:10" x14ac:dyDescent="0.25">
      <c r="E3361"/>
      <c r="F3361"/>
      <c r="G3361" s="12"/>
      <c r="H3361" s="12"/>
      <c r="I3361" s="12"/>
      <c r="J3361" s="12"/>
    </row>
    <row r="3362" spans="5:10" x14ac:dyDescent="0.25">
      <c r="E3362"/>
      <c r="F3362"/>
      <c r="G3362" s="12"/>
      <c r="H3362" s="12"/>
      <c r="I3362" s="12"/>
      <c r="J3362" s="12"/>
    </row>
    <row r="3363" spans="5:10" x14ac:dyDescent="0.25">
      <c r="E3363"/>
      <c r="F3363"/>
      <c r="G3363" s="12"/>
      <c r="H3363" s="12"/>
      <c r="I3363" s="12"/>
      <c r="J3363" s="12"/>
    </row>
    <row r="3364" spans="5:10" x14ac:dyDescent="0.25">
      <c r="E3364"/>
      <c r="F3364"/>
      <c r="G3364" s="12"/>
      <c r="H3364" s="12"/>
      <c r="I3364" s="12"/>
      <c r="J3364" s="12"/>
    </row>
    <row r="3365" spans="5:10" x14ac:dyDescent="0.25">
      <c r="E3365"/>
      <c r="F3365"/>
      <c r="G3365" s="12"/>
      <c r="H3365" s="12"/>
      <c r="I3365" s="12"/>
      <c r="J3365" s="12"/>
    </row>
    <row r="3366" spans="5:10" x14ac:dyDescent="0.25">
      <c r="E3366"/>
      <c r="F3366"/>
      <c r="G3366" s="12"/>
      <c r="H3366" s="12"/>
      <c r="I3366" s="12"/>
      <c r="J3366" s="12"/>
    </row>
    <row r="3367" spans="5:10" x14ac:dyDescent="0.25">
      <c r="E3367"/>
      <c r="F3367"/>
      <c r="G3367" s="12"/>
      <c r="H3367" s="12"/>
      <c r="I3367" s="12"/>
      <c r="J3367" s="12"/>
    </row>
    <row r="3368" spans="5:10" x14ac:dyDescent="0.25">
      <c r="E3368"/>
      <c r="F3368"/>
      <c r="G3368" s="12"/>
      <c r="H3368" s="12"/>
      <c r="I3368" s="12"/>
      <c r="J3368" s="12"/>
    </row>
    <row r="3369" spans="5:10" x14ac:dyDescent="0.25">
      <c r="E3369"/>
      <c r="F3369"/>
      <c r="G3369" s="12"/>
      <c r="H3369" s="12"/>
      <c r="I3369" s="12"/>
      <c r="J3369" s="12"/>
    </row>
    <row r="3370" spans="5:10" x14ac:dyDescent="0.25">
      <c r="E3370"/>
      <c r="F3370"/>
      <c r="G3370" s="12"/>
      <c r="H3370" s="12"/>
      <c r="I3370" s="12"/>
      <c r="J3370" s="12"/>
    </row>
    <row r="3371" spans="5:10" x14ac:dyDescent="0.25">
      <c r="E3371"/>
      <c r="F3371"/>
      <c r="G3371" s="12"/>
      <c r="H3371" s="12"/>
      <c r="I3371" s="12"/>
      <c r="J3371" s="12"/>
    </row>
    <row r="3372" spans="5:10" x14ac:dyDescent="0.25">
      <c r="E3372"/>
      <c r="F3372"/>
      <c r="G3372" s="12"/>
      <c r="H3372" s="12"/>
      <c r="I3372" s="12"/>
      <c r="J3372" s="12"/>
    </row>
    <row r="3373" spans="5:10" x14ac:dyDescent="0.25">
      <c r="E3373"/>
      <c r="F3373"/>
      <c r="G3373" s="12"/>
      <c r="H3373" s="12"/>
      <c r="I3373" s="12"/>
      <c r="J3373" s="12"/>
    </row>
    <row r="3374" spans="5:10" x14ac:dyDescent="0.25">
      <c r="E3374"/>
      <c r="F3374"/>
      <c r="G3374" s="12"/>
      <c r="H3374" s="12"/>
      <c r="I3374" s="12"/>
      <c r="J3374" s="12"/>
    </row>
    <row r="3375" spans="5:10" x14ac:dyDescent="0.25">
      <c r="E3375"/>
      <c r="F3375"/>
      <c r="G3375" s="12"/>
      <c r="H3375" s="12"/>
      <c r="I3375" s="12"/>
      <c r="J3375" s="12"/>
    </row>
    <row r="3376" spans="5:10" x14ac:dyDescent="0.25">
      <c r="E3376"/>
      <c r="F3376"/>
      <c r="G3376" s="12"/>
      <c r="H3376" s="12"/>
      <c r="I3376" s="12"/>
      <c r="J3376" s="12"/>
    </row>
    <row r="3377" spans="5:10" x14ac:dyDescent="0.25">
      <c r="E3377"/>
      <c r="F3377"/>
      <c r="G3377" s="12"/>
      <c r="H3377" s="12"/>
      <c r="I3377" s="12"/>
      <c r="J3377" s="12"/>
    </row>
    <row r="3378" spans="5:10" x14ac:dyDescent="0.25">
      <c r="E3378"/>
      <c r="F3378"/>
      <c r="G3378" s="12"/>
      <c r="H3378" s="12"/>
      <c r="I3378" s="12"/>
      <c r="J3378" s="12"/>
    </row>
    <row r="3379" spans="5:10" x14ac:dyDescent="0.25">
      <c r="E3379"/>
      <c r="F3379"/>
      <c r="G3379" s="12"/>
      <c r="H3379" s="12"/>
      <c r="I3379" s="12"/>
      <c r="J3379" s="12"/>
    </row>
    <row r="3380" spans="5:10" x14ac:dyDescent="0.25">
      <c r="E3380"/>
      <c r="F3380"/>
      <c r="G3380" s="12"/>
      <c r="H3380" s="12"/>
      <c r="I3380" s="12"/>
      <c r="J3380" s="12"/>
    </row>
    <row r="3381" spans="5:10" x14ac:dyDescent="0.25">
      <c r="E3381"/>
      <c r="F3381"/>
      <c r="G3381" s="12"/>
      <c r="H3381" s="12"/>
      <c r="I3381" s="12"/>
      <c r="J3381" s="12"/>
    </row>
    <row r="3382" spans="5:10" x14ac:dyDescent="0.25">
      <c r="E3382"/>
      <c r="F3382"/>
      <c r="G3382" s="12"/>
      <c r="H3382" s="12"/>
      <c r="I3382" s="12"/>
      <c r="J3382" s="12"/>
    </row>
    <row r="3383" spans="5:10" x14ac:dyDescent="0.25">
      <c r="E3383"/>
      <c r="F3383"/>
      <c r="G3383" s="12"/>
      <c r="H3383" s="12"/>
      <c r="I3383" s="12"/>
      <c r="J3383" s="12"/>
    </row>
    <row r="3384" spans="5:10" x14ac:dyDescent="0.25">
      <c r="E3384"/>
      <c r="F3384"/>
      <c r="G3384" s="12"/>
      <c r="H3384" s="12"/>
      <c r="I3384" s="12"/>
      <c r="J3384" s="12"/>
    </row>
    <row r="3385" spans="5:10" x14ac:dyDescent="0.25">
      <c r="E3385"/>
      <c r="F3385"/>
      <c r="G3385" s="12"/>
      <c r="H3385" s="12"/>
      <c r="I3385" s="12"/>
      <c r="J3385" s="12"/>
    </row>
    <row r="3386" spans="5:10" x14ac:dyDescent="0.25">
      <c r="E3386"/>
      <c r="F3386"/>
      <c r="G3386" s="12"/>
      <c r="H3386" s="12"/>
      <c r="I3386" s="12"/>
      <c r="J3386" s="12"/>
    </row>
    <row r="3387" spans="5:10" x14ac:dyDescent="0.25">
      <c r="E3387"/>
      <c r="F3387"/>
      <c r="G3387" s="12"/>
      <c r="H3387" s="12"/>
      <c r="I3387" s="12"/>
      <c r="J3387" s="12"/>
    </row>
    <row r="3388" spans="5:10" x14ac:dyDescent="0.25">
      <c r="E3388"/>
      <c r="F3388"/>
      <c r="G3388" s="12"/>
      <c r="H3388" s="12"/>
      <c r="I3388" s="12"/>
      <c r="J3388" s="12"/>
    </row>
    <row r="3389" spans="5:10" x14ac:dyDescent="0.25">
      <c r="E3389"/>
      <c r="F3389"/>
      <c r="G3389" s="12"/>
      <c r="H3389" s="12"/>
      <c r="I3389" s="12"/>
      <c r="J3389" s="12"/>
    </row>
    <row r="3390" spans="5:10" x14ac:dyDescent="0.25">
      <c r="E3390"/>
      <c r="F3390"/>
      <c r="G3390" s="12"/>
      <c r="H3390" s="12"/>
      <c r="I3390" s="12"/>
      <c r="J3390" s="12"/>
    </row>
    <row r="3391" spans="5:10" x14ac:dyDescent="0.25">
      <c r="E3391"/>
      <c r="F3391"/>
      <c r="G3391" s="12"/>
      <c r="H3391" s="12"/>
      <c r="I3391" s="12"/>
      <c r="J3391" s="12"/>
    </row>
    <row r="3392" spans="5:10" x14ac:dyDescent="0.25">
      <c r="E3392"/>
      <c r="F3392"/>
      <c r="G3392" s="12"/>
      <c r="H3392" s="12"/>
      <c r="I3392" s="12"/>
      <c r="J3392" s="12"/>
    </row>
    <row r="3393" spans="5:10" x14ac:dyDescent="0.25">
      <c r="E3393"/>
      <c r="F3393"/>
      <c r="G3393" s="12"/>
      <c r="H3393" s="12"/>
      <c r="I3393" s="12"/>
      <c r="J3393" s="12"/>
    </row>
    <row r="3394" spans="5:10" x14ac:dyDescent="0.25">
      <c r="E3394"/>
      <c r="F3394"/>
      <c r="G3394" s="12"/>
      <c r="H3394" s="12"/>
      <c r="I3394" s="12"/>
      <c r="J3394" s="12"/>
    </row>
    <row r="3395" spans="5:10" x14ac:dyDescent="0.25">
      <c r="E3395"/>
      <c r="F3395"/>
      <c r="G3395" s="12"/>
      <c r="H3395" s="12"/>
      <c r="I3395" s="12"/>
      <c r="J3395" s="12"/>
    </row>
    <row r="3396" spans="5:10" x14ac:dyDescent="0.25">
      <c r="E3396"/>
      <c r="F3396"/>
      <c r="G3396" s="12"/>
      <c r="H3396" s="12"/>
      <c r="I3396" s="12"/>
      <c r="J3396" s="12"/>
    </row>
    <row r="3397" spans="5:10" x14ac:dyDescent="0.25">
      <c r="E3397"/>
      <c r="F3397"/>
      <c r="G3397" s="12"/>
      <c r="H3397" s="12"/>
      <c r="I3397" s="12"/>
      <c r="J3397" s="12"/>
    </row>
    <row r="3398" spans="5:10" x14ac:dyDescent="0.25">
      <c r="E3398"/>
      <c r="F3398"/>
      <c r="G3398" s="12"/>
      <c r="H3398" s="12"/>
      <c r="I3398" s="12"/>
      <c r="J3398" s="12"/>
    </row>
    <row r="3399" spans="5:10" x14ac:dyDescent="0.25">
      <c r="E3399"/>
      <c r="F3399"/>
      <c r="G3399" s="12"/>
      <c r="H3399" s="12"/>
      <c r="I3399" s="12"/>
      <c r="J3399" s="12"/>
    </row>
    <row r="3400" spans="5:10" x14ac:dyDescent="0.25">
      <c r="E3400"/>
      <c r="F3400"/>
      <c r="G3400" s="12"/>
      <c r="H3400" s="12"/>
      <c r="I3400" s="12"/>
      <c r="J3400" s="12"/>
    </row>
    <row r="3401" spans="5:10" x14ac:dyDescent="0.25">
      <c r="E3401"/>
      <c r="F3401"/>
      <c r="G3401" s="12"/>
      <c r="H3401" s="12"/>
      <c r="I3401" s="12"/>
      <c r="J3401" s="12"/>
    </row>
    <row r="3402" spans="5:10" x14ac:dyDescent="0.25">
      <c r="E3402"/>
      <c r="F3402"/>
      <c r="G3402" s="12"/>
      <c r="H3402" s="12"/>
      <c r="I3402" s="12"/>
      <c r="J3402" s="12"/>
    </row>
    <row r="3403" spans="5:10" x14ac:dyDescent="0.25">
      <c r="E3403"/>
      <c r="F3403"/>
      <c r="G3403" s="12"/>
      <c r="H3403" s="12"/>
      <c r="I3403" s="12"/>
      <c r="J3403" s="12"/>
    </row>
    <row r="3404" spans="5:10" x14ac:dyDescent="0.25">
      <c r="E3404"/>
      <c r="F3404"/>
      <c r="G3404" s="12"/>
      <c r="H3404" s="12"/>
      <c r="I3404" s="12"/>
      <c r="J3404" s="12"/>
    </row>
    <row r="3405" spans="5:10" x14ac:dyDescent="0.25">
      <c r="E3405"/>
      <c r="F3405"/>
      <c r="G3405" s="12"/>
      <c r="H3405" s="12"/>
      <c r="I3405" s="12"/>
      <c r="J3405" s="12"/>
    </row>
    <row r="3406" spans="5:10" x14ac:dyDescent="0.25">
      <c r="E3406"/>
      <c r="F3406"/>
      <c r="G3406" s="12"/>
      <c r="H3406" s="12"/>
      <c r="I3406" s="12"/>
      <c r="J3406" s="12"/>
    </row>
    <row r="3407" spans="5:10" x14ac:dyDescent="0.25">
      <c r="E3407"/>
      <c r="F3407"/>
      <c r="G3407" s="12"/>
      <c r="H3407" s="12"/>
      <c r="I3407" s="12"/>
      <c r="J3407" s="12"/>
    </row>
    <row r="3408" spans="5:10" x14ac:dyDescent="0.25">
      <c r="E3408"/>
      <c r="F3408"/>
      <c r="G3408" s="12"/>
      <c r="H3408" s="12"/>
      <c r="I3408" s="12"/>
      <c r="J3408" s="12"/>
    </row>
    <row r="3409" spans="5:10" x14ac:dyDescent="0.25">
      <c r="E3409"/>
      <c r="F3409"/>
      <c r="G3409" s="12"/>
      <c r="H3409" s="12"/>
      <c r="I3409" s="12"/>
      <c r="J3409" s="12"/>
    </row>
    <row r="3410" spans="5:10" x14ac:dyDescent="0.25">
      <c r="E3410"/>
      <c r="F3410"/>
      <c r="G3410" s="12"/>
      <c r="H3410" s="12"/>
      <c r="I3410" s="12"/>
      <c r="J3410" s="12"/>
    </row>
    <row r="3411" spans="5:10" x14ac:dyDescent="0.25">
      <c r="E3411"/>
      <c r="F3411"/>
      <c r="G3411" s="12"/>
      <c r="H3411" s="12"/>
      <c r="I3411" s="12"/>
      <c r="J3411" s="12"/>
    </row>
    <row r="3412" spans="5:10" x14ac:dyDescent="0.25">
      <c r="E3412"/>
      <c r="F3412"/>
      <c r="G3412" s="12"/>
      <c r="H3412" s="12"/>
      <c r="I3412" s="12"/>
      <c r="J3412" s="12"/>
    </row>
    <row r="3413" spans="5:10" x14ac:dyDescent="0.25">
      <c r="E3413"/>
      <c r="F3413"/>
      <c r="G3413" s="12"/>
      <c r="H3413" s="12"/>
      <c r="I3413" s="12"/>
      <c r="J3413" s="12"/>
    </row>
    <row r="3414" spans="5:10" x14ac:dyDescent="0.25">
      <c r="E3414"/>
      <c r="F3414"/>
      <c r="G3414" s="12"/>
      <c r="H3414" s="12"/>
      <c r="I3414" s="12"/>
      <c r="J3414" s="12"/>
    </row>
    <row r="3415" spans="5:10" x14ac:dyDescent="0.25">
      <c r="E3415"/>
      <c r="F3415"/>
      <c r="G3415" s="12"/>
      <c r="H3415" s="12"/>
      <c r="I3415" s="12"/>
      <c r="J3415" s="12"/>
    </row>
    <row r="3416" spans="5:10" x14ac:dyDescent="0.25">
      <c r="E3416"/>
      <c r="F3416"/>
      <c r="G3416" s="12"/>
      <c r="H3416" s="12"/>
      <c r="I3416" s="12"/>
      <c r="J3416" s="12"/>
    </row>
    <row r="3417" spans="5:10" x14ac:dyDescent="0.25">
      <c r="E3417"/>
      <c r="F3417"/>
      <c r="G3417" s="12"/>
      <c r="H3417" s="12"/>
      <c r="I3417" s="12"/>
      <c r="J3417" s="12"/>
    </row>
    <row r="3418" spans="5:10" x14ac:dyDescent="0.25">
      <c r="E3418"/>
      <c r="F3418"/>
      <c r="G3418" s="12"/>
      <c r="H3418" s="12"/>
      <c r="I3418" s="12"/>
      <c r="J3418" s="12"/>
    </row>
    <row r="3419" spans="5:10" x14ac:dyDescent="0.25">
      <c r="E3419"/>
      <c r="F3419"/>
      <c r="G3419" s="12"/>
      <c r="H3419" s="12"/>
      <c r="I3419" s="12"/>
      <c r="J3419" s="12"/>
    </row>
    <row r="3420" spans="5:10" x14ac:dyDescent="0.25">
      <c r="E3420"/>
      <c r="F3420"/>
      <c r="G3420" s="12"/>
      <c r="H3420" s="12"/>
      <c r="I3420" s="12"/>
      <c r="J3420" s="12"/>
    </row>
    <row r="3421" spans="5:10" x14ac:dyDescent="0.25">
      <c r="E3421"/>
      <c r="F3421"/>
      <c r="G3421" s="12"/>
      <c r="H3421" s="12"/>
      <c r="I3421" s="12"/>
      <c r="J3421" s="12"/>
    </row>
    <row r="3422" spans="5:10" x14ac:dyDescent="0.25">
      <c r="E3422"/>
      <c r="F3422"/>
      <c r="G3422" s="12"/>
      <c r="H3422" s="12"/>
      <c r="I3422" s="12"/>
      <c r="J3422" s="12"/>
    </row>
    <row r="3423" spans="5:10" x14ac:dyDescent="0.25">
      <c r="E3423"/>
      <c r="F3423"/>
      <c r="G3423" s="12"/>
      <c r="H3423" s="12"/>
      <c r="I3423" s="12"/>
      <c r="J3423" s="12"/>
    </row>
    <row r="3424" spans="5:10" x14ac:dyDescent="0.25">
      <c r="E3424"/>
      <c r="F3424"/>
      <c r="G3424" s="12"/>
      <c r="H3424" s="12"/>
      <c r="I3424" s="12"/>
      <c r="J3424" s="12"/>
    </row>
    <row r="3425" spans="5:10" x14ac:dyDescent="0.25">
      <c r="E3425"/>
      <c r="F3425"/>
      <c r="G3425" s="12"/>
      <c r="H3425" s="12"/>
      <c r="I3425" s="12"/>
      <c r="J3425" s="12"/>
    </row>
    <row r="3426" spans="5:10" x14ac:dyDescent="0.25">
      <c r="E3426"/>
      <c r="F3426"/>
      <c r="G3426" s="12"/>
      <c r="H3426" s="12"/>
      <c r="I3426" s="12"/>
      <c r="J3426" s="12"/>
    </row>
    <row r="3427" spans="5:10" x14ac:dyDescent="0.25">
      <c r="E3427"/>
      <c r="F3427"/>
      <c r="G3427" s="12"/>
      <c r="H3427" s="12"/>
      <c r="I3427" s="12"/>
      <c r="J3427" s="12"/>
    </row>
    <row r="3428" spans="5:10" x14ac:dyDescent="0.25">
      <c r="E3428"/>
      <c r="F3428"/>
      <c r="G3428" s="12"/>
      <c r="H3428" s="12"/>
      <c r="I3428" s="12"/>
      <c r="J3428" s="12"/>
    </row>
    <row r="3429" spans="5:10" x14ac:dyDescent="0.25">
      <c r="E3429"/>
      <c r="F3429"/>
      <c r="G3429" s="12"/>
      <c r="H3429" s="12"/>
      <c r="I3429" s="12"/>
      <c r="J3429" s="12"/>
    </row>
    <row r="3430" spans="5:10" x14ac:dyDescent="0.25">
      <c r="E3430"/>
      <c r="F3430"/>
      <c r="G3430" s="12"/>
      <c r="H3430" s="12"/>
      <c r="I3430" s="12"/>
      <c r="J3430" s="12"/>
    </row>
    <row r="3431" spans="5:10" x14ac:dyDescent="0.25">
      <c r="E3431"/>
      <c r="F3431"/>
      <c r="G3431" s="12"/>
      <c r="H3431" s="12"/>
      <c r="I3431" s="12"/>
      <c r="J3431" s="12"/>
    </row>
    <row r="3432" spans="5:10" x14ac:dyDescent="0.25">
      <c r="E3432"/>
      <c r="F3432"/>
      <c r="G3432" s="12"/>
      <c r="H3432" s="12"/>
      <c r="I3432" s="12"/>
      <c r="J3432" s="12"/>
    </row>
    <row r="3433" spans="5:10" x14ac:dyDescent="0.25">
      <c r="E3433"/>
      <c r="F3433"/>
      <c r="G3433" s="12"/>
      <c r="H3433" s="12"/>
      <c r="I3433" s="12"/>
      <c r="J3433" s="12"/>
    </row>
    <row r="3434" spans="5:10" x14ac:dyDescent="0.25">
      <c r="E3434"/>
      <c r="F3434"/>
      <c r="G3434" s="12"/>
      <c r="H3434" s="12"/>
      <c r="I3434" s="12"/>
      <c r="J3434" s="12"/>
    </row>
    <row r="3435" spans="5:10" x14ac:dyDescent="0.25">
      <c r="E3435"/>
      <c r="F3435"/>
      <c r="G3435" s="12"/>
      <c r="H3435" s="12"/>
      <c r="I3435" s="12"/>
      <c r="J3435" s="12"/>
    </row>
    <row r="3436" spans="5:10" x14ac:dyDescent="0.25">
      <c r="E3436"/>
      <c r="F3436"/>
      <c r="G3436" s="12"/>
      <c r="H3436" s="12"/>
      <c r="I3436" s="12"/>
      <c r="J3436" s="12"/>
    </row>
    <row r="3437" spans="5:10" x14ac:dyDescent="0.25">
      <c r="E3437"/>
      <c r="F3437"/>
      <c r="G3437" s="12"/>
      <c r="H3437" s="12"/>
      <c r="I3437" s="12"/>
      <c r="J3437" s="12"/>
    </row>
    <row r="3438" spans="5:10" x14ac:dyDescent="0.25">
      <c r="E3438"/>
      <c r="F3438"/>
      <c r="G3438" s="12"/>
      <c r="H3438" s="12"/>
      <c r="I3438" s="12"/>
      <c r="J3438" s="12"/>
    </row>
    <row r="3439" spans="5:10" x14ac:dyDescent="0.25">
      <c r="E3439"/>
      <c r="F3439"/>
      <c r="G3439" s="12"/>
      <c r="H3439" s="12"/>
      <c r="I3439" s="12"/>
      <c r="J3439" s="12"/>
    </row>
    <row r="3440" spans="5:10" x14ac:dyDescent="0.25">
      <c r="E3440"/>
      <c r="F3440"/>
      <c r="G3440" s="12"/>
      <c r="H3440" s="12"/>
      <c r="I3440" s="12"/>
      <c r="J3440" s="12"/>
    </row>
    <row r="3441" spans="5:10" x14ac:dyDescent="0.25">
      <c r="E3441"/>
      <c r="F3441"/>
      <c r="G3441" s="12"/>
      <c r="H3441" s="12"/>
      <c r="I3441" s="12"/>
      <c r="J3441" s="12"/>
    </row>
    <row r="3442" spans="5:10" x14ac:dyDescent="0.25">
      <c r="E3442"/>
      <c r="F3442"/>
      <c r="G3442" s="12"/>
      <c r="H3442" s="12"/>
      <c r="I3442" s="12"/>
      <c r="J3442" s="12"/>
    </row>
    <row r="3443" spans="5:10" x14ac:dyDescent="0.25">
      <c r="E3443"/>
      <c r="F3443"/>
      <c r="G3443" s="12"/>
      <c r="H3443" s="12"/>
      <c r="I3443" s="12"/>
      <c r="J3443" s="12"/>
    </row>
    <row r="3444" spans="5:10" x14ac:dyDescent="0.25">
      <c r="E3444"/>
      <c r="F3444"/>
      <c r="G3444" s="12"/>
      <c r="H3444" s="12"/>
      <c r="I3444" s="12"/>
      <c r="J3444" s="12"/>
    </row>
    <row r="3445" spans="5:10" x14ac:dyDescent="0.25">
      <c r="E3445"/>
      <c r="F3445"/>
      <c r="G3445" s="12"/>
      <c r="H3445" s="12"/>
      <c r="I3445" s="12"/>
      <c r="J3445" s="12"/>
    </row>
    <row r="3446" spans="5:10" x14ac:dyDescent="0.25">
      <c r="E3446"/>
      <c r="F3446"/>
      <c r="G3446" s="12"/>
      <c r="H3446" s="12"/>
      <c r="I3446" s="12"/>
      <c r="J3446" s="12"/>
    </row>
    <row r="3447" spans="5:10" x14ac:dyDescent="0.25">
      <c r="E3447"/>
      <c r="F3447"/>
      <c r="G3447" s="12"/>
      <c r="H3447" s="12"/>
      <c r="I3447" s="12"/>
      <c r="J3447" s="12"/>
    </row>
    <row r="3448" spans="5:10" x14ac:dyDescent="0.25">
      <c r="E3448"/>
      <c r="F3448"/>
      <c r="G3448" s="12"/>
      <c r="H3448" s="12"/>
      <c r="I3448" s="12"/>
      <c r="J3448" s="12"/>
    </row>
    <row r="3449" spans="5:10" x14ac:dyDescent="0.25">
      <c r="E3449"/>
      <c r="F3449"/>
      <c r="G3449" s="12"/>
      <c r="H3449" s="12"/>
      <c r="I3449" s="12"/>
      <c r="J3449" s="12"/>
    </row>
    <row r="3450" spans="5:10" x14ac:dyDescent="0.25">
      <c r="E3450"/>
      <c r="F3450"/>
      <c r="G3450" s="12"/>
      <c r="H3450" s="12"/>
      <c r="I3450" s="12"/>
      <c r="J3450" s="12"/>
    </row>
    <row r="3451" spans="5:10" x14ac:dyDescent="0.25">
      <c r="E3451"/>
      <c r="F3451"/>
      <c r="G3451" s="12"/>
      <c r="H3451" s="12"/>
      <c r="I3451" s="12"/>
      <c r="J3451" s="12"/>
    </row>
    <row r="3452" spans="5:10" x14ac:dyDescent="0.25">
      <c r="E3452"/>
      <c r="F3452"/>
      <c r="G3452" s="12"/>
      <c r="H3452" s="12"/>
      <c r="I3452" s="12"/>
      <c r="J3452" s="12"/>
    </row>
    <row r="3453" spans="5:10" x14ac:dyDescent="0.25">
      <c r="E3453"/>
      <c r="F3453"/>
      <c r="G3453" s="12"/>
      <c r="H3453" s="12"/>
      <c r="I3453" s="12"/>
      <c r="J3453" s="12"/>
    </row>
    <row r="3454" spans="5:10" x14ac:dyDescent="0.25">
      <c r="E3454"/>
      <c r="F3454"/>
      <c r="G3454" s="12"/>
      <c r="H3454" s="12"/>
      <c r="I3454" s="12"/>
      <c r="J3454" s="12"/>
    </row>
    <row r="3455" spans="5:10" x14ac:dyDescent="0.25">
      <c r="E3455"/>
      <c r="F3455"/>
      <c r="G3455" s="12"/>
      <c r="H3455" s="12"/>
      <c r="I3455" s="12"/>
      <c r="J3455" s="12"/>
    </row>
    <row r="3456" spans="5:10" x14ac:dyDescent="0.25">
      <c r="E3456"/>
      <c r="F3456"/>
      <c r="G3456" s="12"/>
      <c r="H3456" s="12"/>
      <c r="I3456" s="12"/>
      <c r="J3456" s="12"/>
    </row>
    <row r="3457" spans="5:10" x14ac:dyDescent="0.25">
      <c r="E3457"/>
      <c r="F3457"/>
      <c r="G3457" s="12"/>
      <c r="H3457" s="12"/>
      <c r="I3457" s="12"/>
      <c r="J3457" s="12"/>
    </row>
    <row r="3458" spans="5:10" x14ac:dyDescent="0.25">
      <c r="E3458"/>
      <c r="F3458"/>
      <c r="G3458" s="12"/>
      <c r="H3458" s="12"/>
      <c r="I3458" s="12"/>
      <c r="J3458" s="12"/>
    </row>
    <row r="3459" spans="5:10" x14ac:dyDescent="0.25">
      <c r="E3459"/>
      <c r="F3459"/>
      <c r="G3459" s="12"/>
      <c r="H3459" s="12"/>
      <c r="I3459" s="12"/>
      <c r="J3459" s="12"/>
    </row>
    <row r="3460" spans="5:10" x14ac:dyDescent="0.25">
      <c r="E3460"/>
      <c r="F3460"/>
      <c r="G3460" s="12"/>
      <c r="H3460" s="12"/>
      <c r="I3460" s="12"/>
      <c r="J3460" s="12"/>
    </row>
    <row r="3461" spans="5:10" x14ac:dyDescent="0.25">
      <c r="E3461"/>
      <c r="F3461"/>
      <c r="G3461" s="12"/>
      <c r="H3461" s="12"/>
      <c r="I3461" s="12"/>
      <c r="J3461" s="12"/>
    </row>
    <row r="3462" spans="5:10" x14ac:dyDescent="0.25">
      <c r="E3462"/>
      <c r="F3462"/>
      <c r="G3462" s="12"/>
      <c r="H3462" s="12"/>
      <c r="I3462" s="12"/>
      <c r="J3462" s="12"/>
    </row>
    <row r="3463" spans="5:10" x14ac:dyDescent="0.25">
      <c r="E3463"/>
      <c r="F3463"/>
      <c r="G3463" s="12"/>
      <c r="H3463" s="12"/>
      <c r="I3463" s="12"/>
      <c r="J3463" s="12"/>
    </row>
    <row r="3464" spans="5:10" x14ac:dyDescent="0.25">
      <c r="E3464"/>
      <c r="F3464"/>
      <c r="G3464" s="12"/>
      <c r="H3464" s="12"/>
      <c r="I3464" s="12"/>
      <c r="J3464" s="12"/>
    </row>
    <row r="3465" spans="5:10" x14ac:dyDescent="0.25">
      <c r="E3465"/>
      <c r="F3465"/>
      <c r="G3465" s="12"/>
      <c r="H3465" s="12"/>
      <c r="I3465" s="12"/>
      <c r="J3465" s="12"/>
    </row>
    <row r="3466" spans="5:10" x14ac:dyDescent="0.25">
      <c r="E3466"/>
      <c r="F3466"/>
      <c r="G3466" s="12"/>
      <c r="H3466" s="12"/>
      <c r="I3466" s="12"/>
      <c r="J3466" s="12"/>
    </row>
    <row r="3467" spans="5:10" x14ac:dyDescent="0.25">
      <c r="E3467"/>
      <c r="F3467"/>
      <c r="G3467" s="12"/>
      <c r="H3467" s="12"/>
      <c r="I3467" s="12"/>
      <c r="J3467" s="12"/>
    </row>
    <row r="3468" spans="5:10" x14ac:dyDescent="0.25">
      <c r="E3468"/>
      <c r="F3468"/>
      <c r="G3468" s="12"/>
      <c r="H3468" s="12"/>
      <c r="I3468" s="12"/>
      <c r="J3468" s="12"/>
    </row>
    <row r="3469" spans="5:10" x14ac:dyDescent="0.25">
      <c r="E3469"/>
      <c r="F3469"/>
      <c r="G3469" s="12"/>
      <c r="H3469" s="12"/>
      <c r="I3469" s="12"/>
      <c r="J3469" s="12"/>
    </row>
    <row r="3470" spans="5:10" x14ac:dyDescent="0.25">
      <c r="E3470"/>
      <c r="F3470"/>
      <c r="G3470" s="12"/>
      <c r="H3470" s="12"/>
      <c r="I3470" s="12"/>
      <c r="J3470" s="12"/>
    </row>
    <row r="3471" spans="5:10" x14ac:dyDescent="0.25">
      <c r="E3471"/>
      <c r="F3471"/>
      <c r="G3471" s="12"/>
      <c r="H3471" s="12"/>
      <c r="I3471" s="12"/>
      <c r="J3471" s="12"/>
    </row>
    <row r="3472" spans="5:10" x14ac:dyDescent="0.25">
      <c r="E3472"/>
      <c r="F3472"/>
      <c r="G3472" s="12"/>
      <c r="H3472" s="12"/>
      <c r="I3472" s="12"/>
      <c r="J3472" s="12"/>
    </row>
    <row r="3473" spans="5:10" x14ac:dyDescent="0.25">
      <c r="E3473"/>
      <c r="F3473"/>
      <c r="G3473" s="12"/>
      <c r="H3473" s="12"/>
      <c r="I3473" s="12"/>
      <c r="J3473" s="12"/>
    </row>
    <row r="3474" spans="5:10" x14ac:dyDescent="0.25">
      <c r="E3474"/>
      <c r="F3474"/>
      <c r="G3474" s="12"/>
      <c r="H3474" s="12"/>
      <c r="I3474" s="12"/>
      <c r="J3474" s="12"/>
    </row>
    <row r="3475" spans="5:10" x14ac:dyDescent="0.25">
      <c r="E3475"/>
      <c r="F3475"/>
      <c r="G3475" s="12"/>
      <c r="H3475" s="12"/>
      <c r="I3475" s="12"/>
      <c r="J3475" s="12"/>
    </row>
    <row r="3476" spans="5:10" x14ac:dyDescent="0.25">
      <c r="E3476"/>
      <c r="F3476"/>
      <c r="G3476" s="12"/>
      <c r="H3476" s="12"/>
      <c r="I3476" s="12"/>
      <c r="J3476" s="12"/>
    </row>
    <row r="3477" spans="5:10" x14ac:dyDescent="0.25">
      <c r="E3477"/>
      <c r="F3477"/>
      <c r="G3477" s="12"/>
      <c r="H3477" s="12"/>
      <c r="I3477" s="12"/>
      <c r="J3477" s="12"/>
    </row>
    <row r="3478" spans="5:10" x14ac:dyDescent="0.25">
      <c r="E3478"/>
      <c r="F3478"/>
      <c r="G3478" s="12"/>
      <c r="H3478" s="12"/>
      <c r="I3478" s="12"/>
      <c r="J3478" s="12"/>
    </row>
    <row r="3479" spans="5:10" x14ac:dyDescent="0.25">
      <c r="E3479"/>
      <c r="F3479"/>
      <c r="G3479" s="12"/>
      <c r="H3479" s="12"/>
      <c r="I3479" s="12"/>
      <c r="J3479" s="12"/>
    </row>
    <row r="3480" spans="5:10" x14ac:dyDescent="0.25">
      <c r="E3480"/>
      <c r="F3480"/>
      <c r="G3480" s="12"/>
      <c r="H3480" s="12"/>
      <c r="I3480" s="12"/>
      <c r="J3480" s="12"/>
    </row>
    <row r="3481" spans="5:10" x14ac:dyDescent="0.25">
      <c r="E3481"/>
      <c r="F3481"/>
      <c r="G3481" s="12"/>
      <c r="H3481" s="12"/>
      <c r="I3481" s="12"/>
      <c r="J3481" s="12"/>
    </row>
    <row r="3482" spans="5:10" x14ac:dyDescent="0.25">
      <c r="E3482"/>
      <c r="F3482"/>
      <c r="G3482" s="12"/>
      <c r="H3482" s="12"/>
      <c r="I3482" s="12"/>
      <c r="J3482" s="12"/>
    </row>
    <row r="3483" spans="5:10" x14ac:dyDescent="0.25">
      <c r="E3483"/>
      <c r="F3483"/>
      <c r="G3483" s="12"/>
      <c r="H3483" s="12"/>
      <c r="I3483" s="12"/>
      <c r="J3483" s="12"/>
    </row>
    <row r="3484" spans="5:10" x14ac:dyDescent="0.25">
      <c r="E3484"/>
      <c r="F3484"/>
      <c r="G3484" s="12"/>
      <c r="H3484" s="12"/>
      <c r="I3484" s="12"/>
      <c r="J3484" s="12"/>
    </row>
    <row r="3485" spans="5:10" x14ac:dyDescent="0.25">
      <c r="E3485"/>
      <c r="F3485"/>
      <c r="G3485" s="12"/>
      <c r="H3485" s="12"/>
      <c r="I3485" s="12"/>
      <c r="J3485" s="12"/>
    </row>
    <row r="3486" spans="5:10" x14ac:dyDescent="0.25">
      <c r="E3486"/>
      <c r="F3486"/>
      <c r="G3486" s="12"/>
      <c r="H3486" s="12"/>
      <c r="I3486" s="12"/>
      <c r="J3486" s="12"/>
    </row>
    <row r="3487" spans="5:10" x14ac:dyDescent="0.25">
      <c r="E3487"/>
      <c r="F3487"/>
      <c r="G3487" s="12"/>
      <c r="H3487" s="12"/>
      <c r="I3487" s="12"/>
      <c r="J3487" s="12"/>
    </row>
    <row r="3488" spans="5:10" x14ac:dyDescent="0.25">
      <c r="E3488"/>
      <c r="F3488"/>
      <c r="G3488" s="12"/>
      <c r="H3488" s="12"/>
      <c r="I3488" s="12"/>
      <c r="J3488" s="12"/>
    </row>
    <row r="3489" spans="5:10" x14ac:dyDescent="0.25">
      <c r="E3489"/>
      <c r="F3489"/>
      <c r="G3489" s="12"/>
      <c r="H3489" s="12"/>
      <c r="I3489" s="12"/>
      <c r="J3489" s="12"/>
    </row>
    <row r="3490" spans="5:10" x14ac:dyDescent="0.25">
      <c r="E3490"/>
      <c r="F3490"/>
      <c r="G3490" s="12"/>
      <c r="H3490" s="12"/>
      <c r="I3490" s="12"/>
      <c r="J3490" s="12"/>
    </row>
    <row r="3491" spans="5:10" x14ac:dyDescent="0.25">
      <c r="E3491"/>
      <c r="F3491"/>
      <c r="G3491" s="12"/>
      <c r="H3491" s="12"/>
      <c r="I3491" s="12"/>
      <c r="J3491" s="12"/>
    </row>
    <row r="3492" spans="5:10" x14ac:dyDescent="0.25">
      <c r="E3492"/>
      <c r="F3492"/>
      <c r="G3492" s="12"/>
      <c r="H3492" s="12"/>
      <c r="I3492" s="12"/>
      <c r="J3492" s="12"/>
    </row>
    <row r="3493" spans="5:10" x14ac:dyDescent="0.25">
      <c r="E3493"/>
      <c r="F3493"/>
      <c r="G3493" s="12"/>
      <c r="H3493" s="12"/>
      <c r="I3493" s="12"/>
      <c r="J3493" s="12"/>
    </row>
    <row r="3494" spans="5:10" x14ac:dyDescent="0.25">
      <c r="E3494"/>
      <c r="F3494"/>
      <c r="G3494" s="12"/>
      <c r="H3494" s="12"/>
      <c r="I3494" s="12"/>
      <c r="J3494" s="12"/>
    </row>
    <row r="3495" spans="5:10" x14ac:dyDescent="0.25">
      <c r="E3495"/>
      <c r="F3495"/>
      <c r="G3495" s="12"/>
      <c r="H3495" s="12"/>
      <c r="I3495" s="12"/>
      <c r="J3495" s="12"/>
    </row>
    <row r="3496" spans="5:10" x14ac:dyDescent="0.25">
      <c r="E3496"/>
      <c r="F3496"/>
      <c r="G3496" s="12"/>
      <c r="H3496" s="12"/>
      <c r="I3496" s="12"/>
      <c r="J3496" s="12"/>
    </row>
    <row r="3497" spans="5:10" x14ac:dyDescent="0.25">
      <c r="E3497"/>
      <c r="F3497"/>
      <c r="G3497" s="12"/>
      <c r="H3497" s="12"/>
      <c r="I3497" s="12"/>
      <c r="J3497" s="12"/>
    </row>
    <row r="3498" spans="5:10" x14ac:dyDescent="0.25">
      <c r="E3498"/>
      <c r="F3498"/>
      <c r="G3498" s="12"/>
      <c r="H3498" s="12"/>
      <c r="I3498" s="12"/>
      <c r="J3498" s="12"/>
    </row>
    <row r="3499" spans="5:10" x14ac:dyDescent="0.25">
      <c r="E3499"/>
      <c r="F3499"/>
      <c r="G3499" s="12"/>
      <c r="H3499" s="12"/>
      <c r="I3499" s="12"/>
      <c r="J3499" s="12"/>
    </row>
    <row r="3500" spans="5:10" x14ac:dyDescent="0.25">
      <c r="E3500"/>
      <c r="F3500"/>
      <c r="G3500" s="12"/>
      <c r="H3500" s="12"/>
      <c r="I3500" s="12"/>
      <c r="J3500" s="12"/>
    </row>
    <row r="3501" spans="5:10" x14ac:dyDescent="0.25">
      <c r="E3501"/>
      <c r="F3501"/>
      <c r="G3501" s="12"/>
      <c r="H3501" s="12"/>
      <c r="I3501" s="12"/>
      <c r="J3501" s="12"/>
    </row>
    <row r="3502" spans="5:10" x14ac:dyDescent="0.25">
      <c r="E3502"/>
      <c r="F3502"/>
      <c r="G3502" s="12"/>
      <c r="H3502" s="12"/>
      <c r="I3502" s="12"/>
      <c r="J3502" s="12"/>
    </row>
    <row r="3503" spans="5:10" x14ac:dyDescent="0.25">
      <c r="E3503"/>
      <c r="F3503"/>
      <c r="G3503" s="12"/>
      <c r="H3503" s="12"/>
      <c r="I3503" s="12"/>
      <c r="J3503" s="12"/>
    </row>
    <row r="3504" spans="5:10" x14ac:dyDescent="0.25">
      <c r="E3504"/>
      <c r="F3504"/>
      <c r="G3504" s="12"/>
      <c r="H3504" s="12"/>
      <c r="I3504" s="12"/>
      <c r="J3504" s="12"/>
    </row>
    <row r="3505" spans="5:10" x14ac:dyDescent="0.25">
      <c r="E3505"/>
      <c r="F3505"/>
      <c r="G3505" s="12"/>
      <c r="H3505" s="12"/>
      <c r="I3505" s="12"/>
      <c r="J3505" s="12"/>
    </row>
    <row r="3506" spans="5:10" x14ac:dyDescent="0.25">
      <c r="E3506"/>
      <c r="F3506"/>
      <c r="G3506" s="12"/>
      <c r="H3506" s="12"/>
      <c r="I3506" s="12"/>
      <c r="J3506" s="12"/>
    </row>
    <row r="3507" spans="5:10" x14ac:dyDescent="0.25">
      <c r="E3507"/>
      <c r="F3507"/>
      <c r="G3507" s="12"/>
      <c r="H3507" s="12"/>
      <c r="I3507" s="12"/>
      <c r="J3507" s="12"/>
    </row>
    <row r="3508" spans="5:10" x14ac:dyDescent="0.25">
      <c r="E3508"/>
      <c r="F3508"/>
      <c r="G3508" s="12"/>
      <c r="H3508" s="12"/>
      <c r="I3508" s="12"/>
      <c r="J3508" s="12"/>
    </row>
    <row r="3509" spans="5:10" x14ac:dyDescent="0.25">
      <c r="E3509"/>
      <c r="F3509"/>
      <c r="G3509" s="12"/>
      <c r="H3509" s="12"/>
      <c r="I3509" s="12"/>
      <c r="J3509" s="12"/>
    </row>
    <row r="3510" spans="5:10" x14ac:dyDescent="0.25">
      <c r="E3510"/>
      <c r="F3510"/>
      <c r="G3510" s="12"/>
      <c r="H3510" s="12"/>
      <c r="I3510" s="12"/>
      <c r="J3510" s="12"/>
    </row>
    <row r="3511" spans="5:10" x14ac:dyDescent="0.25">
      <c r="E3511"/>
      <c r="F3511"/>
      <c r="G3511" s="12"/>
      <c r="H3511" s="12"/>
      <c r="I3511" s="12"/>
      <c r="J3511" s="12"/>
    </row>
    <row r="3512" spans="5:10" x14ac:dyDescent="0.25">
      <c r="E3512"/>
      <c r="F3512"/>
      <c r="G3512" s="12"/>
      <c r="H3512" s="12"/>
      <c r="I3512" s="12"/>
      <c r="J3512" s="12"/>
    </row>
    <row r="3513" spans="5:10" x14ac:dyDescent="0.25">
      <c r="E3513"/>
      <c r="F3513"/>
      <c r="G3513" s="12"/>
      <c r="H3513" s="12"/>
      <c r="I3513" s="12"/>
      <c r="J3513" s="12"/>
    </row>
    <row r="3514" spans="5:10" x14ac:dyDescent="0.25">
      <c r="E3514"/>
      <c r="F3514"/>
      <c r="G3514" s="12"/>
      <c r="H3514" s="12"/>
      <c r="I3514" s="12"/>
      <c r="J3514" s="12"/>
    </row>
    <row r="3515" spans="5:10" x14ac:dyDescent="0.25">
      <c r="E3515"/>
      <c r="F3515"/>
      <c r="G3515" s="12"/>
      <c r="H3515" s="12"/>
      <c r="I3515" s="12"/>
      <c r="J3515" s="12"/>
    </row>
    <row r="3516" spans="5:10" x14ac:dyDescent="0.25">
      <c r="E3516"/>
      <c r="F3516"/>
      <c r="G3516" s="12"/>
      <c r="H3516" s="12"/>
      <c r="I3516" s="12"/>
      <c r="J3516" s="12"/>
    </row>
    <row r="3517" spans="5:10" x14ac:dyDescent="0.25">
      <c r="E3517"/>
      <c r="F3517"/>
      <c r="G3517" s="12"/>
      <c r="H3517" s="12"/>
      <c r="I3517" s="12"/>
      <c r="J3517" s="12"/>
    </row>
    <row r="3518" spans="5:10" x14ac:dyDescent="0.25">
      <c r="E3518"/>
      <c r="F3518"/>
      <c r="G3518" s="12"/>
      <c r="H3518" s="12"/>
      <c r="I3518" s="12"/>
      <c r="J3518" s="12"/>
    </row>
    <row r="3519" spans="5:10" x14ac:dyDescent="0.25">
      <c r="E3519"/>
      <c r="F3519"/>
      <c r="G3519" s="12"/>
      <c r="H3519" s="12"/>
      <c r="I3519" s="12"/>
      <c r="J3519" s="12"/>
    </row>
    <row r="3520" spans="5:10" x14ac:dyDescent="0.25">
      <c r="E3520"/>
      <c r="F3520"/>
      <c r="G3520" s="12"/>
      <c r="H3520" s="12"/>
      <c r="I3520" s="12"/>
      <c r="J3520" s="12"/>
    </row>
    <row r="3521" spans="5:10" x14ac:dyDescent="0.25">
      <c r="E3521"/>
      <c r="F3521"/>
      <c r="G3521" s="12"/>
      <c r="H3521" s="12"/>
      <c r="I3521" s="12"/>
      <c r="J3521" s="12"/>
    </row>
    <row r="3522" spans="5:10" x14ac:dyDescent="0.25">
      <c r="E3522"/>
      <c r="F3522"/>
      <c r="G3522" s="12"/>
      <c r="H3522" s="12"/>
      <c r="I3522" s="12"/>
      <c r="J3522" s="12"/>
    </row>
    <row r="3523" spans="5:10" x14ac:dyDescent="0.25">
      <c r="E3523"/>
      <c r="F3523"/>
      <c r="G3523" s="12"/>
      <c r="H3523" s="12"/>
      <c r="I3523" s="12"/>
      <c r="J3523" s="12"/>
    </row>
    <row r="3524" spans="5:10" x14ac:dyDescent="0.25">
      <c r="E3524"/>
      <c r="F3524"/>
      <c r="G3524" s="12"/>
      <c r="H3524" s="12"/>
      <c r="I3524" s="12"/>
      <c r="J3524" s="12"/>
    </row>
    <row r="3525" spans="5:10" x14ac:dyDescent="0.25">
      <c r="E3525"/>
      <c r="F3525"/>
      <c r="G3525" s="12"/>
      <c r="H3525" s="12"/>
      <c r="I3525" s="12"/>
      <c r="J3525" s="12"/>
    </row>
    <row r="3526" spans="5:10" x14ac:dyDescent="0.25">
      <c r="E3526"/>
      <c r="F3526"/>
      <c r="G3526" s="12"/>
      <c r="H3526" s="12"/>
      <c r="I3526" s="12"/>
      <c r="J3526" s="12"/>
    </row>
    <row r="3527" spans="5:10" x14ac:dyDescent="0.25">
      <c r="E3527"/>
      <c r="F3527"/>
      <c r="G3527" s="12"/>
      <c r="H3527" s="12"/>
      <c r="I3527" s="12"/>
      <c r="J3527" s="12"/>
    </row>
    <row r="3528" spans="5:10" x14ac:dyDescent="0.25">
      <c r="E3528"/>
      <c r="F3528"/>
      <c r="G3528" s="12"/>
      <c r="H3528" s="12"/>
      <c r="I3528" s="12"/>
      <c r="J3528" s="12"/>
    </row>
    <row r="3529" spans="5:10" x14ac:dyDescent="0.25">
      <c r="E3529"/>
      <c r="F3529"/>
      <c r="G3529" s="12"/>
      <c r="H3529" s="12"/>
      <c r="I3529" s="12"/>
      <c r="J3529" s="12"/>
    </row>
    <row r="3530" spans="5:10" x14ac:dyDescent="0.25">
      <c r="E3530"/>
      <c r="F3530"/>
      <c r="G3530" s="12"/>
      <c r="H3530" s="12"/>
      <c r="I3530" s="12"/>
      <c r="J3530" s="12"/>
    </row>
    <row r="3531" spans="5:10" x14ac:dyDescent="0.25">
      <c r="E3531"/>
      <c r="F3531"/>
      <c r="G3531" s="12"/>
      <c r="H3531" s="12"/>
      <c r="I3531" s="12"/>
      <c r="J3531" s="12"/>
    </row>
    <row r="3532" spans="5:10" x14ac:dyDescent="0.25">
      <c r="E3532"/>
      <c r="F3532"/>
      <c r="G3532" s="12"/>
      <c r="H3532" s="12"/>
      <c r="I3532" s="12"/>
      <c r="J3532" s="12"/>
    </row>
    <row r="3533" spans="5:10" x14ac:dyDescent="0.25">
      <c r="E3533"/>
      <c r="F3533"/>
      <c r="G3533" s="12"/>
      <c r="H3533" s="12"/>
      <c r="I3533" s="12"/>
      <c r="J3533" s="12"/>
    </row>
    <row r="3534" spans="5:10" x14ac:dyDescent="0.25">
      <c r="E3534"/>
      <c r="F3534"/>
      <c r="G3534" s="12"/>
      <c r="H3534" s="12"/>
      <c r="I3534" s="12"/>
      <c r="J3534" s="12"/>
    </row>
    <row r="3535" spans="5:10" x14ac:dyDescent="0.25">
      <c r="E3535"/>
      <c r="F3535"/>
      <c r="G3535" s="12"/>
      <c r="H3535" s="12"/>
      <c r="I3535" s="12"/>
      <c r="J3535" s="12"/>
    </row>
    <row r="3536" spans="5:10" x14ac:dyDescent="0.25">
      <c r="E3536"/>
      <c r="F3536"/>
      <c r="G3536" s="12"/>
      <c r="H3536" s="12"/>
      <c r="I3536" s="12"/>
      <c r="J3536" s="12"/>
    </row>
    <row r="3537" spans="5:10" x14ac:dyDescent="0.25">
      <c r="E3537"/>
      <c r="F3537"/>
      <c r="G3537" s="12"/>
      <c r="H3537" s="12"/>
      <c r="I3537" s="12"/>
      <c r="J3537" s="12"/>
    </row>
    <row r="3538" spans="5:10" x14ac:dyDescent="0.25">
      <c r="E3538"/>
      <c r="F3538"/>
      <c r="G3538" s="12"/>
      <c r="H3538" s="12"/>
      <c r="I3538" s="12"/>
      <c r="J3538" s="12"/>
    </row>
    <row r="3539" spans="5:10" x14ac:dyDescent="0.25">
      <c r="E3539"/>
      <c r="F3539"/>
      <c r="G3539" s="12"/>
      <c r="H3539" s="12"/>
      <c r="I3539" s="12"/>
      <c r="J3539" s="12"/>
    </row>
    <row r="3540" spans="5:10" x14ac:dyDescent="0.25">
      <c r="E3540"/>
      <c r="F3540"/>
      <c r="G3540" s="12"/>
      <c r="H3540" s="12"/>
      <c r="I3540" s="12"/>
      <c r="J3540" s="12"/>
    </row>
    <row r="3541" spans="5:10" x14ac:dyDescent="0.25">
      <c r="E3541"/>
      <c r="F3541"/>
      <c r="G3541" s="12"/>
      <c r="H3541" s="12"/>
      <c r="I3541" s="12"/>
      <c r="J3541" s="12"/>
    </row>
    <row r="3542" spans="5:10" x14ac:dyDescent="0.25">
      <c r="E3542"/>
      <c r="F3542"/>
      <c r="G3542" s="12"/>
      <c r="H3542" s="12"/>
      <c r="I3542" s="12"/>
      <c r="J3542" s="12"/>
    </row>
    <row r="3543" spans="5:10" x14ac:dyDescent="0.25">
      <c r="E3543"/>
      <c r="F3543"/>
      <c r="G3543" s="12"/>
      <c r="H3543" s="12"/>
      <c r="I3543" s="12"/>
      <c r="J3543" s="12"/>
    </row>
    <row r="3544" spans="5:10" x14ac:dyDescent="0.25">
      <c r="E3544"/>
      <c r="F3544"/>
      <c r="G3544" s="12"/>
      <c r="H3544" s="12"/>
      <c r="I3544" s="12"/>
      <c r="J3544" s="12"/>
    </row>
    <row r="3545" spans="5:10" x14ac:dyDescent="0.25">
      <c r="E3545"/>
      <c r="F3545"/>
      <c r="G3545" s="12"/>
      <c r="H3545" s="12"/>
      <c r="I3545" s="12"/>
      <c r="J3545" s="12"/>
    </row>
    <row r="3546" spans="5:10" x14ac:dyDescent="0.25">
      <c r="E3546"/>
      <c r="F3546"/>
      <c r="G3546" s="12"/>
      <c r="H3546" s="12"/>
      <c r="I3546" s="12"/>
      <c r="J3546" s="12"/>
    </row>
    <row r="3547" spans="5:10" x14ac:dyDescent="0.25">
      <c r="E3547"/>
      <c r="F3547"/>
      <c r="G3547" s="12"/>
      <c r="H3547" s="12"/>
      <c r="I3547" s="12"/>
      <c r="J3547" s="12"/>
    </row>
    <row r="3548" spans="5:10" x14ac:dyDescent="0.25">
      <c r="E3548"/>
      <c r="F3548"/>
      <c r="G3548" s="12"/>
      <c r="H3548" s="12"/>
      <c r="I3548" s="12"/>
      <c r="J3548" s="12"/>
    </row>
    <row r="3549" spans="5:10" x14ac:dyDescent="0.25">
      <c r="E3549"/>
      <c r="F3549"/>
      <c r="G3549" s="12"/>
      <c r="H3549" s="12"/>
      <c r="I3549" s="12"/>
      <c r="J3549" s="12"/>
    </row>
    <row r="3550" spans="5:10" x14ac:dyDescent="0.25">
      <c r="E3550"/>
      <c r="F3550"/>
      <c r="G3550" s="12"/>
      <c r="H3550" s="12"/>
      <c r="I3550" s="12"/>
      <c r="J3550" s="12"/>
    </row>
    <row r="3551" spans="5:10" x14ac:dyDescent="0.25">
      <c r="E3551"/>
      <c r="F3551"/>
      <c r="G3551" s="12"/>
      <c r="H3551" s="12"/>
      <c r="I3551" s="12"/>
      <c r="J3551" s="12"/>
    </row>
    <row r="3552" spans="5:10" x14ac:dyDescent="0.25">
      <c r="E3552"/>
      <c r="F3552"/>
      <c r="G3552" s="12"/>
      <c r="H3552" s="12"/>
      <c r="I3552" s="12"/>
      <c r="J3552" s="12"/>
    </row>
    <row r="3553" spans="5:10" x14ac:dyDescent="0.25">
      <c r="E3553"/>
      <c r="F3553"/>
      <c r="G3553" s="12"/>
      <c r="H3553" s="12"/>
      <c r="I3553" s="12"/>
      <c r="J3553" s="12"/>
    </row>
    <row r="3554" spans="5:10" x14ac:dyDescent="0.25">
      <c r="E3554"/>
      <c r="F3554"/>
      <c r="G3554" s="12"/>
      <c r="H3554" s="12"/>
      <c r="I3554" s="12"/>
      <c r="J3554" s="12"/>
    </row>
    <row r="3555" spans="5:10" x14ac:dyDescent="0.25">
      <c r="E3555"/>
      <c r="F3555"/>
      <c r="G3555" s="12"/>
      <c r="H3555" s="12"/>
      <c r="I3555" s="12"/>
      <c r="J3555" s="12"/>
    </row>
    <row r="3556" spans="5:10" x14ac:dyDescent="0.25">
      <c r="E3556"/>
      <c r="F3556"/>
      <c r="G3556" s="12"/>
      <c r="H3556" s="12"/>
      <c r="I3556" s="12"/>
      <c r="J3556" s="12"/>
    </row>
    <row r="3557" spans="5:10" x14ac:dyDescent="0.25">
      <c r="E3557"/>
      <c r="F3557"/>
      <c r="G3557" s="12"/>
      <c r="H3557" s="12"/>
      <c r="I3557" s="12"/>
      <c r="J3557" s="12"/>
    </row>
    <row r="3558" spans="5:10" x14ac:dyDescent="0.25">
      <c r="E3558"/>
      <c r="F3558"/>
      <c r="G3558" s="12"/>
      <c r="H3558" s="12"/>
      <c r="I3558" s="12"/>
      <c r="J3558" s="12"/>
    </row>
    <row r="3559" spans="5:10" x14ac:dyDescent="0.25">
      <c r="E3559"/>
      <c r="F3559"/>
      <c r="G3559" s="12"/>
      <c r="H3559" s="12"/>
      <c r="I3559" s="12"/>
      <c r="J3559" s="12"/>
    </row>
    <row r="3560" spans="5:10" x14ac:dyDescent="0.25">
      <c r="E3560"/>
      <c r="F3560"/>
      <c r="G3560" s="12"/>
      <c r="H3560" s="12"/>
      <c r="I3560" s="12"/>
      <c r="J3560" s="12"/>
    </row>
    <row r="3561" spans="5:10" x14ac:dyDescent="0.25">
      <c r="E3561"/>
      <c r="F3561"/>
      <c r="G3561" s="12"/>
      <c r="H3561" s="12"/>
      <c r="I3561" s="12"/>
      <c r="J3561" s="12"/>
    </row>
    <row r="3562" spans="5:10" x14ac:dyDescent="0.25">
      <c r="E3562"/>
      <c r="F3562"/>
      <c r="G3562" s="12"/>
      <c r="H3562" s="12"/>
      <c r="I3562" s="12"/>
      <c r="J3562" s="12"/>
    </row>
    <row r="3563" spans="5:10" x14ac:dyDescent="0.25">
      <c r="E3563"/>
      <c r="F3563"/>
      <c r="G3563" s="12"/>
      <c r="H3563" s="12"/>
      <c r="I3563" s="12"/>
      <c r="J3563" s="12"/>
    </row>
    <row r="3564" spans="5:10" x14ac:dyDescent="0.25">
      <c r="E3564"/>
      <c r="F3564"/>
      <c r="G3564" s="12"/>
      <c r="H3564" s="12"/>
      <c r="I3564" s="12"/>
      <c r="J3564" s="12"/>
    </row>
    <row r="3565" spans="5:10" x14ac:dyDescent="0.25">
      <c r="E3565"/>
      <c r="F3565"/>
      <c r="G3565" s="12"/>
      <c r="H3565" s="12"/>
      <c r="I3565" s="12"/>
      <c r="J3565" s="12"/>
    </row>
    <row r="3566" spans="5:10" x14ac:dyDescent="0.25">
      <c r="E3566"/>
      <c r="F3566"/>
      <c r="G3566" s="12"/>
      <c r="H3566" s="12"/>
      <c r="I3566" s="12"/>
      <c r="J3566" s="12"/>
    </row>
    <row r="3567" spans="5:10" x14ac:dyDescent="0.25">
      <c r="E3567"/>
      <c r="F3567"/>
      <c r="G3567" s="12"/>
      <c r="H3567" s="12"/>
      <c r="I3567" s="12"/>
      <c r="J3567" s="12"/>
    </row>
    <row r="3568" spans="5:10" x14ac:dyDescent="0.25">
      <c r="E3568"/>
      <c r="F3568"/>
      <c r="G3568" s="12"/>
      <c r="H3568" s="12"/>
      <c r="I3568" s="12"/>
      <c r="J3568" s="12"/>
    </row>
    <row r="3569" spans="5:10" x14ac:dyDescent="0.25">
      <c r="E3569"/>
      <c r="F3569"/>
      <c r="G3569" s="12"/>
      <c r="H3569" s="12"/>
      <c r="I3569" s="12"/>
      <c r="J3569" s="12"/>
    </row>
    <row r="3570" spans="5:10" x14ac:dyDescent="0.25">
      <c r="E3570"/>
      <c r="F3570"/>
      <c r="G3570" s="12"/>
      <c r="H3570" s="12"/>
      <c r="I3570" s="12"/>
      <c r="J3570" s="12"/>
    </row>
    <row r="3571" spans="5:10" x14ac:dyDescent="0.25">
      <c r="E3571"/>
      <c r="F3571"/>
      <c r="G3571" s="12"/>
      <c r="H3571" s="12"/>
      <c r="I3571" s="12"/>
      <c r="J3571" s="12"/>
    </row>
    <row r="3572" spans="5:10" x14ac:dyDescent="0.25">
      <c r="E3572"/>
      <c r="F3572"/>
      <c r="G3572" s="12"/>
      <c r="H3572" s="12"/>
      <c r="I3572" s="12"/>
      <c r="J3572" s="12"/>
    </row>
    <row r="3573" spans="5:10" x14ac:dyDescent="0.25">
      <c r="E3573"/>
      <c r="F3573"/>
      <c r="G3573" s="12"/>
      <c r="H3573" s="12"/>
      <c r="I3573" s="12"/>
      <c r="J3573" s="12"/>
    </row>
    <row r="3574" spans="5:10" x14ac:dyDescent="0.25">
      <c r="E3574"/>
      <c r="F3574"/>
      <c r="G3574" s="12"/>
      <c r="H3574" s="12"/>
      <c r="I3574" s="12"/>
      <c r="J3574" s="12"/>
    </row>
    <row r="3575" spans="5:10" x14ac:dyDescent="0.25">
      <c r="E3575"/>
      <c r="F3575"/>
      <c r="G3575" s="12"/>
      <c r="H3575" s="12"/>
      <c r="I3575" s="12"/>
      <c r="J3575" s="12"/>
    </row>
    <row r="3576" spans="5:10" x14ac:dyDescent="0.25">
      <c r="E3576"/>
      <c r="F3576"/>
      <c r="G3576" s="12"/>
      <c r="H3576" s="12"/>
      <c r="I3576" s="12"/>
      <c r="J3576" s="12"/>
    </row>
    <row r="3577" spans="5:10" x14ac:dyDescent="0.25">
      <c r="E3577"/>
      <c r="F3577"/>
      <c r="G3577" s="12"/>
      <c r="H3577" s="12"/>
      <c r="I3577" s="12"/>
      <c r="J3577" s="12"/>
    </row>
    <row r="3578" spans="5:10" x14ac:dyDescent="0.25">
      <c r="E3578"/>
      <c r="F3578"/>
      <c r="G3578" s="12"/>
      <c r="H3578" s="12"/>
      <c r="I3578" s="12"/>
      <c r="J3578" s="12"/>
    </row>
    <row r="3579" spans="5:10" x14ac:dyDescent="0.25">
      <c r="E3579"/>
      <c r="F3579"/>
      <c r="G3579" s="12"/>
      <c r="H3579" s="12"/>
      <c r="I3579" s="12"/>
      <c r="J3579" s="12"/>
    </row>
    <row r="3580" spans="5:10" x14ac:dyDescent="0.25">
      <c r="E3580"/>
      <c r="F3580"/>
      <c r="G3580" s="12"/>
      <c r="H3580" s="12"/>
      <c r="I3580" s="12"/>
      <c r="J3580" s="12"/>
    </row>
    <row r="3581" spans="5:10" x14ac:dyDescent="0.25">
      <c r="E3581"/>
      <c r="F3581"/>
      <c r="G3581" s="12"/>
      <c r="H3581" s="12"/>
      <c r="I3581" s="12"/>
      <c r="J3581" s="12"/>
    </row>
    <row r="3582" spans="5:10" x14ac:dyDescent="0.25">
      <c r="E3582"/>
      <c r="F3582"/>
      <c r="G3582" s="12"/>
      <c r="H3582" s="12"/>
      <c r="I3582" s="12"/>
      <c r="J3582" s="12"/>
    </row>
    <row r="3583" spans="5:10" x14ac:dyDescent="0.25">
      <c r="E3583"/>
      <c r="F3583"/>
      <c r="G3583" s="12"/>
      <c r="H3583" s="12"/>
      <c r="I3583" s="12"/>
      <c r="J3583" s="12"/>
    </row>
    <row r="3584" spans="5:10" x14ac:dyDescent="0.25">
      <c r="E3584"/>
      <c r="F3584"/>
      <c r="G3584" s="12"/>
      <c r="H3584" s="12"/>
      <c r="I3584" s="12"/>
      <c r="J3584" s="12"/>
    </row>
    <row r="3585" spans="5:10" x14ac:dyDescent="0.25">
      <c r="E3585"/>
      <c r="F3585"/>
      <c r="G3585" s="12"/>
      <c r="H3585" s="12"/>
      <c r="I3585" s="12"/>
      <c r="J3585" s="12"/>
    </row>
    <row r="3586" spans="5:10" x14ac:dyDescent="0.25">
      <c r="E3586"/>
      <c r="F3586"/>
      <c r="G3586" s="12"/>
      <c r="H3586" s="12"/>
      <c r="I3586" s="12"/>
      <c r="J3586" s="12"/>
    </row>
    <row r="3587" spans="5:10" x14ac:dyDescent="0.25">
      <c r="E3587"/>
      <c r="F3587"/>
      <c r="G3587" s="12"/>
      <c r="H3587" s="12"/>
      <c r="I3587" s="12"/>
      <c r="J3587" s="12"/>
    </row>
    <row r="3588" spans="5:10" x14ac:dyDescent="0.25">
      <c r="E3588"/>
      <c r="F3588"/>
      <c r="G3588" s="12"/>
      <c r="H3588" s="12"/>
      <c r="I3588" s="12"/>
      <c r="J3588" s="12"/>
    </row>
    <row r="3589" spans="5:10" x14ac:dyDescent="0.25">
      <c r="E3589"/>
      <c r="F3589"/>
      <c r="G3589" s="12"/>
      <c r="H3589" s="12"/>
      <c r="I3589" s="12"/>
      <c r="J3589" s="12"/>
    </row>
    <row r="3590" spans="5:10" x14ac:dyDescent="0.25">
      <c r="E3590"/>
      <c r="F3590"/>
      <c r="G3590" s="12"/>
      <c r="H3590" s="12"/>
      <c r="I3590" s="12"/>
      <c r="J3590" s="12"/>
    </row>
    <row r="3591" spans="5:10" x14ac:dyDescent="0.25">
      <c r="E3591"/>
      <c r="F3591"/>
      <c r="G3591" s="12"/>
      <c r="H3591" s="12"/>
      <c r="I3591" s="12"/>
      <c r="J3591" s="12"/>
    </row>
    <row r="3592" spans="5:10" x14ac:dyDescent="0.25">
      <c r="E3592"/>
      <c r="F3592"/>
      <c r="G3592" s="12"/>
      <c r="H3592" s="12"/>
      <c r="I3592" s="12"/>
      <c r="J3592" s="12"/>
    </row>
    <row r="3593" spans="5:10" x14ac:dyDescent="0.25">
      <c r="E3593"/>
      <c r="F3593"/>
      <c r="G3593" s="12"/>
      <c r="H3593" s="12"/>
      <c r="I3593" s="12"/>
      <c r="J3593" s="12"/>
    </row>
    <row r="3594" spans="5:10" x14ac:dyDescent="0.25">
      <c r="E3594"/>
      <c r="F3594"/>
      <c r="G3594" s="12"/>
      <c r="H3594" s="12"/>
      <c r="I3594" s="12"/>
      <c r="J3594" s="12"/>
    </row>
    <row r="3595" spans="5:10" x14ac:dyDescent="0.25">
      <c r="E3595"/>
      <c r="F3595"/>
      <c r="G3595" s="12"/>
      <c r="H3595" s="12"/>
      <c r="I3595" s="12"/>
      <c r="J3595" s="12"/>
    </row>
    <row r="3596" spans="5:10" x14ac:dyDescent="0.25">
      <c r="E3596"/>
      <c r="F3596"/>
      <c r="G3596" s="12"/>
      <c r="H3596" s="12"/>
      <c r="I3596" s="12"/>
      <c r="J3596" s="12"/>
    </row>
    <row r="3597" spans="5:10" x14ac:dyDescent="0.25">
      <c r="E3597"/>
      <c r="F3597"/>
      <c r="G3597" s="12"/>
      <c r="H3597" s="12"/>
      <c r="I3597" s="12"/>
      <c r="J3597" s="12"/>
    </row>
    <row r="3598" spans="5:10" x14ac:dyDescent="0.25">
      <c r="E3598"/>
      <c r="F3598"/>
      <c r="G3598" s="12"/>
      <c r="H3598" s="12"/>
      <c r="I3598" s="12"/>
      <c r="J3598" s="12"/>
    </row>
    <row r="3599" spans="5:10" x14ac:dyDescent="0.25">
      <c r="E3599"/>
      <c r="F3599"/>
      <c r="G3599" s="12"/>
      <c r="H3599" s="12"/>
      <c r="I3599" s="12"/>
      <c r="J3599" s="12"/>
    </row>
    <row r="3600" spans="5:10" x14ac:dyDescent="0.25">
      <c r="E3600"/>
      <c r="F3600"/>
      <c r="G3600" s="12"/>
      <c r="H3600" s="12"/>
      <c r="I3600" s="12"/>
      <c r="J3600" s="12"/>
    </row>
    <row r="3601" spans="5:10" x14ac:dyDescent="0.25">
      <c r="E3601"/>
      <c r="F3601"/>
      <c r="G3601" s="12"/>
      <c r="H3601" s="12"/>
      <c r="I3601" s="12"/>
      <c r="J3601" s="12"/>
    </row>
    <row r="3602" spans="5:10" x14ac:dyDescent="0.25">
      <c r="E3602"/>
      <c r="F3602"/>
      <c r="G3602" s="12"/>
      <c r="H3602" s="12"/>
      <c r="I3602" s="12"/>
      <c r="J3602" s="12"/>
    </row>
    <row r="3603" spans="5:10" x14ac:dyDescent="0.25">
      <c r="E3603"/>
      <c r="F3603"/>
      <c r="G3603" s="12"/>
      <c r="H3603" s="12"/>
      <c r="I3603" s="12"/>
      <c r="J3603" s="12"/>
    </row>
    <row r="3604" spans="5:10" x14ac:dyDescent="0.25">
      <c r="E3604"/>
      <c r="F3604"/>
      <c r="G3604" s="12"/>
      <c r="H3604" s="12"/>
      <c r="I3604" s="12"/>
      <c r="J3604" s="12"/>
    </row>
    <row r="3605" spans="5:10" x14ac:dyDescent="0.25">
      <c r="E3605"/>
      <c r="F3605"/>
      <c r="G3605" s="12"/>
      <c r="H3605" s="12"/>
      <c r="I3605" s="12"/>
      <c r="J3605" s="12"/>
    </row>
    <row r="3606" spans="5:10" x14ac:dyDescent="0.25">
      <c r="E3606"/>
      <c r="F3606"/>
      <c r="G3606" s="12"/>
      <c r="H3606" s="12"/>
      <c r="I3606" s="12"/>
      <c r="J3606" s="12"/>
    </row>
    <row r="3607" spans="5:10" x14ac:dyDescent="0.25">
      <c r="E3607"/>
      <c r="F3607"/>
      <c r="G3607" s="12"/>
      <c r="H3607" s="12"/>
      <c r="I3607" s="12"/>
      <c r="J3607" s="12"/>
    </row>
    <row r="3608" spans="5:10" x14ac:dyDescent="0.25">
      <c r="E3608"/>
      <c r="F3608"/>
      <c r="G3608" s="12"/>
      <c r="H3608" s="12"/>
      <c r="I3608" s="12"/>
      <c r="J3608" s="12"/>
    </row>
    <row r="3609" spans="5:10" x14ac:dyDescent="0.25">
      <c r="E3609"/>
      <c r="F3609"/>
      <c r="G3609" s="12"/>
      <c r="H3609" s="12"/>
      <c r="I3609" s="12"/>
      <c r="J3609" s="12"/>
    </row>
    <row r="3610" spans="5:10" x14ac:dyDescent="0.25">
      <c r="E3610"/>
      <c r="F3610"/>
      <c r="G3610" s="12"/>
      <c r="H3610" s="12"/>
      <c r="I3610" s="12"/>
      <c r="J3610" s="12"/>
    </row>
    <row r="3611" spans="5:10" x14ac:dyDescent="0.25">
      <c r="E3611"/>
      <c r="F3611"/>
      <c r="G3611" s="12"/>
      <c r="H3611" s="12"/>
      <c r="I3611" s="12"/>
      <c r="J3611" s="12"/>
    </row>
    <row r="3612" spans="5:10" x14ac:dyDescent="0.25">
      <c r="E3612"/>
      <c r="F3612"/>
      <c r="G3612" s="12"/>
      <c r="H3612" s="12"/>
      <c r="I3612" s="12"/>
      <c r="J3612" s="12"/>
    </row>
    <row r="3613" spans="5:10" x14ac:dyDescent="0.25">
      <c r="E3613"/>
      <c r="F3613"/>
      <c r="G3613" s="12"/>
      <c r="H3613" s="12"/>
      <c r="I3613" s="12"/>
      <c r="J3613" s="12"/>
    </row>
    <row r="3614" spans="5:10" x14ac:dyDescent="0.25">
      <c r="E3614"/>
      <c r="F3614"/>
      <c r="G3614" s="12"/>
      <c r="H3614" s="12"/>
      <c r="I3614" s="12"/>
      <c r="J3614" s="12"/>
    </row>
    <row r="3615" spans="5:10" x14ac:dyDescent="0.25">
      <c r="E3615"/>
      <c r="F3615"/>
      <c r="G3615" s="12"/>
      <c r="H3615" s="12"/>
      <c r="I3615" s="12"/>
      <c r="J3615" s="12"/>
    </row>
    <row r="3616" spans="5:10" x14ac:dyDescent="0.25">
      <c r="E3616"/>
      <c r="F3616"/>
      <c r="G3616" s="12"/>
      <c r="H3616" s="12"/>
      <c r="I3616" s="12"/>
      <c r="J3616" s="12"/>
    </row>
    <row r="3617" spans="5:10" x14ac:dyDescent="0.25">
      <c r="E3617"/>
      <c r="F3617"/>
      <c r="G3617" s="12"/>
      <c r="H3617" s="12"/>
      <c r="I3617" s="12"/>
      <c r="J3617" s="12"/>
    </row>
    <row r="3618" spans="5:10" x14ac:dyDescent="0.25">
      <c r="E3618"/>
      <c r="F3618"/>
      <c r="G3618" s="12"/>
      <c r="H3618" s="12"/>
      <c r="I3618" s="12"/>
      <c r="J3618" s="12"/>
    </row>
    <row r="3619" spans="5:10" x14ac:dyDescent="0.25">
      <c r="E3619"/>
      <c r="F3619"/>
      <c r="G3619" s="12"/>
      <c r="H3619" s="12"/>
      <c r="I3619" s="12"/>
      <c r="J3619" s="12"/>
    </row>
    <row r="3620" spans="5:10" x14ac:dyDescent="0.25">
      <c r="E3620"/>
      <c r="F3620"/>
      <c r="G3620" s="12"/>
      <c r="H3620" s="12"/>
      <c r="I3620" s="12"/>
      <c r="J3620" s="12"/>
    </row>
    <row r="3621" spans="5:10" x14ac:dyDescent="0.25">
      <c r="E3621"/>
      <c r="F3621"/>
      <c r="G3621" s="12"/>
      <c r="H3621" s="12"/>
      <c r="I3621" s="12"/>
      <c r="J3621" s="12"/>
    </row>
    <row r="3622" spans="5:10" x14ac:dyDescent="0.25">
      <c r="E3622"/>
      <c r="F3622"/>
      <c r="G3622" s="12"/>
      <c r="H3622" s="12"/>
      <c r="I3622" s="12"/>
      <c r="J3622" s="12"/>
    </row>
    <row r="3623" spans="5:10" x14ac:dyDescent="0.25">
      <c r="E3623"/>
      <c r="F3623"/>
      <c r="G3623" s="12"/>
      <c r="H3623" s="12"/>
      <c r="I3623" s="12"/>
      <c r="J3623" s="12"/>
    </row>
    <row r="3624" spans="5:10" x14ac:dyDescent="0.25">
      <c r="E3624"/>
      <c r="F3624"/>
      <c r="G3624" s="12"/>
      <c r="H3624" s="12"/>
      <c r="I3624" s="12"/>
      <c r="J3624" s="12"/>
    </row>
    <row r="3625" spans="5:10" x14ac:dyDescent="0.25">
      <c r="E3625"/>
      <c r="F3625"/>
      <c r="G3625" s="12"/>
      <c r="H3625" s="12"/>
      <c r="I3625" s="12"/>
      <c r="J3625" s="12"/>
    </row>
    <row r="3626" spans="5:10" x14ac:dyDescent="0.25">
      <c r="E3626"/>
      <c r="F3626"/>
      <c r="G3626" s="12"/>
      <c r="H3626" s="12"/>
      <c r="I3626" s="12"/>
      <c r="J3626" s="12"/>
    </row>
    <row r="3627" spans="5:10" x14ac:dyDescent="0.25">
      <c r="E3627"/>
      <c r="F3627"/>
      <c r="G3627" s="12"/>
      <c r="H3627" s="12"/>
      <c r="I3627" s="12"/>
      <c r="J3627" s="12"/>
    </row>
    <row r="3628" spans="5:10" x14ac:dyDescent="0.25">
      <c r="E3628"/>
      <c r="F3628"/>
      <c r="G3628" s="12"/>
      <c r="H3628" s="12"/>
      <c r="I3628" s="12"/>
      <c r="J3628" s="12"/>
    </row>
    <row r="3629" spans="5:10" x14ac:dyDescent="0.25">
      <c r="E3629"/>
      <c r="F3629"/>
      <c r="G3629" s="12"/>
      <c r="H3629" s="12"/>
      <c r="I3629" s="12"/>
      <c r="J3629" s="12"/>
    </row>
    <row r="3630" spans="5:10" x14ac:dyDescent="0.25">
      <c r="E3630"/>
      <c r="F3630"/>
      <c r="G3630" s="12"/>
      <c r="H3630" s="12"/>
      <c r="I3630" s="12"/>
      <c r="J3630" s="12"/>
    </row>
    <row r="3631" spans="5:10" x14ac:dyDescent="0.25">
      <c r="E3631"/>
      <c r="F3631"/>
      <c r="G3631" s="12"/>
      <c r="H3631" s="12"/>
      <c r="I3631" s="12"/>
      <c r="J3631" s="12"/>
    </row>
    <row r="3632" spans="5:10" x14ac:dyDescent="0.25">
      <c r="E3632"/>
      <c r="F3632"/>
      <c r="G3632" s="12"/>
      <c r="H3632" s="12"/>
      <c r="I3632" s="12"/>
      <c r="J3632" s="12"/>
    </row>
    <row r="3633" spans="5:10" x14ac:dyDescent="0.25">
      <c r="E3633"/>
      <c r="F3633"/>
      <c r="G3633" s="12"/>
      <c r="H3633" s="12"/>
      <c r="I3633" s="12"/>
      <c r="J3633" s="12"/>
    </row>
    <row r="3634" spans="5:10" x14ac:dyDescent="0.25">
      <c r="E3634"/>
      <c r="F3634"/>
      <c r="G3634" s="12"/>
      <c r="H3634" s="12"/>
      <c r="I3634" s="12"/>
      <c r="J3634" s="12"/>
    </row>
    <row r="3635" spans="5:10" x14ac:dyDescent="0.25">
      <c r="E3635"/>
      <c r="F3635"/>
      <c r="G3635" s="12"/>
      <c r="H3635" s="12"/>
      <c r="I3635" s="12"/>
      <c r="J3635" s="12"/>
    </row>
    <row r="3636" spans="5:10" x14ac:dyDescent="0.25">
      <c r="E3636"/>
      <c r="F3636"/>
      <c r="G3636" s="12"/>
      <c r="H3636" s="12"/>
      <c r="I3636" s="12"/>
      <c r="J3636" s="12"/>
    </row>
    <row r="3637" spans="5:10" x14ac:dyDescent="0.25">
      <c r="E3637"/>
      <c r="F3637"/>
      <c r="G3637" s="12"/>
      <c r="H3637" s="12"/>
      <c r="I3637" s="12"/>
      <c r="J3637" s="12"/>
    </row>
    <row r="3638" spans="5:10" x14ac:dyDescent="0.25">
      <c r="E3638"/>
      <c r="F3638"/>
      <c r="G3638" s="12"/>
      <c r="H3638" s="12"/>
      <c r="I3638" s="12"/>
      <c r="J3638" s="12"/>
    </row>
    <row r="3639" spans="5:10" x14ac:dyDescent="0.25">
      <c r="E3639"/>
      <c r="F3639"/>
      <c r="G3639" s="12"/>
      <c r="H3639" s="12"/>
      <c r="I3639" s="12"/>
      <c r="J3639" s="12"/>
    </row>
    <row r="3640" spans="5:10" x14ac:dyDescent="0.25">
      <c r="E3640"/>
      <c r="F3640"/>
      <c r="G3640" s="12"/>
      <c r="H3640" s="12"/>
      <c r="I3640" s="12"/>
      <c r="J3640" s="12"/>
    </row>
    <row r="3641" spans="5:10" x14ac:dyDescent="0.25">
      <c r="E3641"/>
      <c r="F3641"/>
      <c r="G3641" s="12"/>
      <c r="H3641" s="12"/>
      <c r="I3641" s="12"/>
      <c r="J3641" s="12"/>
    </row>
    <row r="3642" spans="5:10" x14ac:dyDescent="0.25">
      <c r="E3642"/>
      <c r="F3642"/>
      <c r="G3642" s="12"/>
      <c r="H3642" s="12"/>
      <c r="I3642" s="12"/>
      <c r="J3642" s="12"/>
    </row>
    <row r="3643" spans="5:10" x14ac:dyDescent="0.25">
      <c r="E3643"/>
      <c r="F3643"/>
      <c r="G3643" s="12"/>
      <c r="H3643" s="12"/>
      <c r="I3643" s="12"/>
      <c r="J3643" s="12"/>
    </row>
    <row r="3644" spans="5:10" x14ac:dyDescent="0.25">
      <c r="E3644"/>
      <c r="F3644"/>
      <c r="G3644" s="12"/>
      <c r="H3644" s="12"/>
      <c r="I3644" s="12"/>
      <c r="J3644" s="12"/>
    </row>
    <row r="3645" spans="5:10" x14ac:dyDescent="0.25">
      <c r="E3645"/>
      <c r="F3645"/>
      <c r="G3645" s="12"/>
      <c r="H3645" s="12"/>
      <c r="I3645" s="12"/>
      <c r="J3645" s="12"/>
    </row>
    <row r="3646" spans="5:10" x14ac:dyDescent="0.25">
      <c r="E3646"/>
      <c r="F3646"/>
      <c r="G3646" s="12"/>
      <c r="H3646" s="12"/>
      <c r="I3646" s="12"/>
      <c r="J3646" s="12"/>
    </row>
    <row r="3647" spans="5:10" x14ac:dyDescent="0.25">
      <c r="E3647"/>
      <c r="F3647"/>
      <c r="G3647" s="12"/>
      <c r="H3647" s="12"/>
      <c r="I3647" s="12"/>
      <c r="J3647" s="12"/>
    </row>
    <row r="3648" spans="5:10" x14ac:dyDescent="0.25">
      <c r="E3648"/>
      <c r="F3648"/>
      <c r="G3648" s="12"/>
      <c r="H3648" s="12"/>
      <c r="I3648" s="12"/>
      <c r="J3648" s="12"/>
    </row>
    <row r="3649" spans="5:10" x14ac:dyDescent="0.25">
      <c r="E3649"/>
      <c r="F3649"/>
      <c r="G3649" s="12"/>
      <c r="H3649" s="12"/>
      <c r="I3649" s="12"/>
      <c r="J3649" s="12"/>
    </row>
    <row r="3650" spans="5:10" x14ac:dyDescent="0.25">
      <c r="E3650"/>
      <c r="F3650"/>
      <c r="G3650" s="12"/>
      <c r="H3650" s="12"/>
      <c r="I3650" s="12"/>
      <c r="J3650" s="12"/>
    </row>
    <row r="3651" spans="5:10" x14ac:dyDescent="0.25">
      <c r="E3651"/>
      <c r="F3651"/>
      <c r="G3651" s="12"/>
      <c r="H3651" s="12"/>
      <c r="I3651" s="12"/>
      <c r="J3651" s="12"/>
    </row>
    <row r="3652" spans="5:10" x14ac:dyDescent="0.25">
      <c r="E3652"/>
      <c r="F3652"/>
      <c r="G3652" s="12"/>
      <c r="H3652" s="12"/>
      <c r="I3652" s="12"/>
      <c r="J3652" s="12"/>
    </row>
    <row r="3653" spans="5:10" x14ac:dyDescent="0.25">
      <c r="E3653"/>
      <c r="F3653"/>
      <c r="G3653" s="12"/>
      <c r="H3653" s="12"/>
      <c r="I3653" s="12"/>
      <c r="J3653" s="12"/>
    </row>
    <row r="3654" spans="5:10" x14ac:dyDescent="0.25">
      <c r="E3654"/>
      <c r="F3654"/>
      <c r="G3654" s="12"/>
      <c r="H3654" s="12"/>
      <c r="I3654" s="12"/>
      <c r="J3654" s="12"/>
    </row>
    <row r="3655" spans="5:10" x14ac:dyDescent="0.25">
      <c r="E3655"/>
      <c r="F3655"/>
      <c r="G3655" s="12"/>
      <c r="H3655" s="12"/>
      <c r="I3655" s="12"/>
      <c r="J3655" s="12"/>
    </row>
    <row r="3656" spans="5:10" x14ac:dyDescent="0.25">
      <c r="E3656"/>
      <c r="F3656"/>
      <c r="G3656" s="12"/>
      <c r="H3656" s="12"/>
      <c r="I3656" s="12"/>
      <c r="J3656" s="12"/>
    </row>
    <row r="3657" spans="5:10" x14ac:dyDescent="0.25">
      <c r="E3657"/>
      <c r="F3657"/>
      <c r="G3657" s="12"/>
      <c r="H3657" s="12"/>
      <c r="I3657" s="12"/>
      <c r="J3657" s="12"/>
    </row>
    <row r="3658" spans="5:10" x14ac:dyDescent="0.25">
      <c r="E3658"/>
      <c r="F3658"/>
      <c r="G3658" s="12"/>
      <c r="H3658" s="12"/>
      <c r="I3658" s="12"/>
      <c r="J3658" s="12"/>
    </row>
    <row r="3659" spans="5:10" x14ac:dyDescent="0.25">
      <c r="E3659"/>
      <c r="F3659"/>
      <c r="G3659" s="12"/>
      <c r="H3659" s="12"/>
      <c r="I3659" s="12"/>
      <c r="J3659" s="12"/>
    </row>
    <row r="3660" spans="5:10" x14ac:dyDescent="0.25">
      <c r="E3660"/>
      <c r="F3660"/>
      <c r="G3660" s="12"/>
      <c r="H3660" s="12"/>
      <c r="I3660" s="12"/>
      <c r="J3660" s="12"/>
    </row>
    <row r="3661" spans="5:10" x14ac:dyDescent="0.25">
      <c r="E3661"/>
      <c r="F3661"/>
      <c r="G3661" s="12"/>
      <c r="H3661" s="12"/>
      <c r="I3661" s="12"/>
      <c r="J3661" s="12"/>
    </row>
    <row r="3662" spans="5:10" x14ac:dyDescent="0.25">
      <c r="E3662"/>
      <c r="F3662"/>
      <c r="G3662" s="12"/>
      <c r="H3662" s="12"/>
      <c r="I3662" s="12"/>
      <c r="J3662" s="12"/>
    </row>
    <row r="3663" spans="5:10" x14ac:dyDescent="0.25">
      <c r="E3663"/>
      <c r="F3663"/>
      <c r="G3663" s="12"/>
      <c r="H3663" s="12"/>
      <c r="I3663" s="12"/>
      <c r="J3663" s="12"/>
    </row>
    <row r="3664" spans="5:10" x14ac:dyDescent="0.25">
      <c r="E3664"/>
      <c r="F3664"/>
      <c r="G3664" s="12"/>
      <c r="H3664" s="12"/>
      <c r="I3664" s="12"/>
      <c r="J3664" s="12"/>
    </row>
    <row r="3665" spans="5:10" x14ac:dyDescent="0.25">
      <c r="E3665"/>
      <c r="F3665"/>
      <c r="G3665" s="12"/>
      <c r="H3665" s="12"/>
      <c r="I3665" s="12"/>
      <c r="J3665" s="12"/>
    </row>
    <row r="3666" spans="5:10" x14ac:dyDescent="0.25">
      <c r="E3666"/>
      <c r="F3666"/>
      <c r="G3666" s="12"/>
      <c r="H3666" s="12"/>
      <c r="I3666" s="12"/>
      <c r="J3666" s="12"/>
    </row>
    <row r="3667" spans="5:10" x14ac:dyDescent="0.25">
      <c r="E3667"/>
      <c r="F3667"/>
      <c r="G3667" s="12"/>
      <c r="H3667" s="12"/>
      <c r="I3667" s="12"/>
      <c r="J3667" s="12"/>
    </row>
    <row r="3668" spans="5:10" x14ac:dyDescent="0.25">
      <c r="E3668"/>
      <c r="F3668"/>
      <c r="G3668" s="12"/>
      <c r="H3668" s="12"/>
      <c r="I3668" s="12"/>
      <c r="J3668" s="12"/>
    </row>
    <row r="3669" spans="5:10" x14ac:dyDescent="0.25">
      <c r="E3669"/>
      <c r="F3669"/>
      <c r="G3669" s="12"/>
      <c r="H3669" s="12"/>
      <c r="I3669" s="12"/>
      <c r="J3669" s="12"/>
    </row>
    <row r="3670" spans="5:10" x14ac:dyDescent="0.25">
      <c r="E3670"/>
      <c r="F3670"/>
      <c r="G3670" s="12"/>
      <c r="H3670" s="12"/>
      <c r="I3670" s="12"/>
      <c r="J3670" s="12"/>
    </row>
    <row r="3671" spans="5:10" x14ac:dyDescent="0.25">
      <c r="E3671"/>
      <c r="F3671"/>
      <c r="G3671" s="12"/>
      <c r="H3671" s="12"/>
      <c r="I3671" s="12"/>
      <c r="J3671" s="12"/>
    </row>
    <row r="3672" spans="5:10" x14ac:dyDescent="0.25">
      <c r="E3672"/>
      <c r="F3672"/>
      <c r="G3672" s="12"/>
      <c r="H3672" s="12"/>
      <c r="I3672" s="12"/>
      <c r="J3672" s="12"/>
    </row>
    <row r="3673" spans="5:10" x14ac:dyDescent="0.25">
      <c r="E3673"/>
      <c r="F3673"/>
      <c r="G3673" s="12"/>
      <c r="H3673" s="12"/>
      <c r="I3673" s="12"/>
      <c r="J3673" s="12"/>
    </row>
    <row r="3674" spans="5:10" x14ac:dyDescent="0.25">
      <c r="E3674"/>
      <c r="F3674"/>
      <c r="G3674" s="12"/>
      <c r="H3674" s="12"/>
      <c r="I3674" s="12"/>
      <c r="J3674" s="12"/>
    </row>
    <row r="3675" spans="5:10" x14ac:dyDescent="0.25">
      <c r="E3675"/>
      <c r="F3675"/>
      <c r="G3675" s="12"/>
      <c r="H3675" s="12"/>
      <c r="I3675" s="12"/>
      <c r="J3675" s="12"/>
    </row>
    <row r="3676" spans="5:10" x14ac:dyDescent="0.25">
      <c r="E3676"/>
      <c r="F3676"/>
      <c r="G3676" s="12"/>
      <c r="H3676" s="12"/>
      <c r="I3676" s="12"/>
      <c r="J3676" s="12"/>
    </row>
    <row r="3677" spans="5:10" x14ac:dyDescent="0.25">
      <c r="E3677"/>
      <c r="F3677"/>
      <c r="G3677" s="12"/>
      <c r="H3677" s="12"/>
      <c r="I3677" s="12"/>
      <c r="J3677" s="12"/>
    </row>
    <row r="3678" spans="5:10" x14ac:dyDescent="0.25">
      <c r="E3678"/>
      <c r="F3678"/>
      <c r="G3678" s="12"/>
      <c r="H3678" s="12"/>
      <c r="I3678" s="12"/>
      <c r="J3678" s="12"/>
    </row>
    <row r="3679" spans="5:10" x14ac:dyDescent="0.25">
      <c r="E3679"/>
      <c r="F3679"/>
      <c r="G3679" s="12"/>
      <c r="H3679" s="12"/>
      <c r="I3679" s="12"/>
      <c r="J3679" s="12"/>
    </row>
    <row r="3680" spans="5:10" x14ac:dyDescent="0.25">
      <c r="E3680"/>
      <c r="F3680"/>
      <c r="G3680" s="12"/>
      <c r="H3680" s="12"/>
      <c r="I3680" s="12"/>
      <c r="J3680" s="12"/>
    </row>
    <row r="3681" spans="5:10" x14ac:dyDescent="0.25">
      <c r="E3681"/>
      <c r="F3681"/>
      <c r="G3681" s="12"/>
      <c r="H3681" s="12"/>
      <c r="I3681" s="12"/>
      <c r="J3681" s="12"/>
    </row>
    <row r="3682" spans="5:10" x14ac:dyDescent="0.25">
      <c r="E3682"/>
      <c r="F3682"/>
      <c r="G3682" s="12"/>
      <c r="H3682" s="12"/>
      <c r="I3682" s="12"/>
      <c r="J3682" s="12"/>
    </row>
    <row r="3683" spans="5:10" x14ac:dyDescent="0.25">
      <c r="E3683"/>
      <c r="F3683"/>
      <c r="G3683" s="12"/>
      <c r="H3683" s="12"/>
      <c r="I3683" s="12"/>
      <c r="J3683" s="12"/>
    </row>
    <row r="3684" spans="5:10" x14ac:dyDescent="0.25">
      <c r="E3684"/>
      <c r="F3684"/>
      <c r="G3684" s="12"/>
      <c r="H3684" s="12"/>
      <c r="I3684" s="12"/>
      <c r="J3684" s="12"/>
    </row>
    <row r="3685" spans="5:10" x14ac:dyDescent="0.25">
      <c r="E3685"/>
      <c r="F3685"/>
      <c r="G3685" s="12"/>
      <c r="H3685" s="12"/>
      <c r="I3685" s="12"/>
      <c r="J3685" s="12"/>
    </row>
    <row r="3686" spans="5:10" x14ac:dyDescent="0.25">
      <c r="E3686"/>
      <c r="F3686"/>
      <c r="G3686" s="12"/>
      <c r="H3686" s="12"/>
      <c r="I3686" s="12"/>
      <c r="J3686" s="12"/>
    </row>
    <row r="3687" spans="5:10" x14ac:dyDescent="0.25">
      <c r="E3687"/>
      <c r="F3687"/>
      <c r="G3687" s="12"/>
      <c r="H3687" s="12"/>
      <c r="I3687" s="12"/>
      <c r="J3687" s="12"/>
    </row>
    <row r="3688" spans="5:10" x14ac:dyDescent="0.25">
      <c r="E3688"/>
      <c r="F3688"/>
      <c r="G3688" s="12"/>
      <c r="H3688" s="12"/>
      <c r="I3688" s="12"/>
      <c r="J3688" s="12"/>
    </row>
    <row r="3689" spans="5:10" x14ac:dyDescent="0.25">
      <c r="E3689"/>
      <c r="F3689"/>
      <c r="G3689" s="12"/>
      <c r="H3689" s="12"/>
      <c r="I3689" s="12"/>
      <c r="J3689" s="12"/>
    </row>
    <row r="3690" spans="5:10" x14ac:dyDescent="0.25">
      <c r="E3690"/>
      <c r="F3690"/>
      <c r="G3690" s="12"/>
      <c r="H3690" s="12"/>
      <c r="I3690" s="12"/>
      <c r="J3690" s="12"/>
    </row>
    <row r="3691" spans="5:10" x14ac:dyDescent="0.25">
      <c r="E3691"/>
      <c r="F3691"/>
      <c r="G3691" s="12"/>
      <c r="H3691" s="12"/>
      <c r="I3691" s="12"/>
      <c r="J3691" s="12"/>
    </row>
    <row r="3692" spans="5:10" x14ac:dyDescent="0.25">
      <c r="E3692"/>
      <c r="F3692"/>
      <c r="G3692" s="12"/>
      <c r="H3692" s="12"/>
      <c r="I3692" s="12"/>
      <c r="J3692" s="12"/>
    </row>
    <row r="3693" spans="5:10" x14ac:dyDescent="0.25">
      <c r="E3693"/>
      <c r="F3693"/>
      <c r="G3693" s="12"/>
      <c r="H3693" s="12"/>
      <c r="I3693" s="12"/>
      <c r="J3693" s="12"/>
    </row>
    <row r="3694" spans="5:10" x14ac:dyDescent="0.25">
      <c r="E3694"/>
      <c r="F3694"/>
      <c r="G3694" s="12"/>
      <c r="H3694" s="12"/>
      <c r="I3694" s="12"/>
      <c r="J3694" s="12"/>
    </row>
    <row r="3695" spans="5:10" x14ac:dyDescent="0.25">
      <c r="E3695"/>
      <c r="F3695"/>
      <c r="G3695" s="12"/>
      <c r="H3695" s="12"/>
      <c r="I3695" s="12"/>
      <c r="J3695" s="12"/>
    </row>
    <row r="3696" spans="5:10" x14ac:dyDescent="0.25">
      <c r="E3696"/>
      <c r="F3696"/>
      <c r="G3696" s="12"/>
      <c r="H3696" s="12"/>
      <c r="I3696" s="12"/>
      <c r="J3696" s="12"/>
    </row>
    <row r="3697" spans="5:10" x14ac:dyDescent="0.25">
      <c r="E3697"/>
      <c r="F3697"/>
      <c r="G3697" s="12"/>
      <c r="H3697" s="12"/>
      <c r="I3697" s="12"/>
      <c r="J3697" s="12"/>
    </row>
    <row r="3698" spans="5:10" x14ac:dyDescent="0.25">
      <c r="E3698"/>
      <c r="F3698"/>
      <c r="G3698" s="12"/>
      <c r="H3698" s="12"/>
      <c r="I3698" s="12"/>
      <c r="J3698" s="12"/>
    </row>
    <row r="3699" spans="5:10" x14ac:dyDescent="0.25">
      <c r="E3699"/>
      <c r="F3699"/>
      <c r="G3699" s="12"/>
      <c r="H3699" s="12"/>
      <c r="I3699" s="12"/>
      <c r="J3699" s="12"/>
    </row>
    <row r="3700" spans="5:10" x14ac:dyDescent="0.25">
      <c r="E3700"/>
      <c r="F3700"/>
      <c r="G3700" s="12"/>
      <c r="H3700" s="12"/>
      <c r="I3700" s="12"/>
      <c r="J3700" s="12"/>
    </row>
    <row r="3701" spans="5:10" x14ac:dyDescent="0.25">
      <c r="E3701"/>
      <c r="F3701"/>
      <c r="G3701" s="12"/>
      <c r="H3701" s="12"/>
      <c r="I3701" s="12"/>
      <c r="J3701" s="12"/>
    </row>
    <row r="3702" spans="5:10" x14ac:dyDescent="0.25">
      <c r="E3702"/>
      <c r="F3702"/>
      <c r="G3702" s="12"/>
      <c r="H3702" s="12"/>
      <c r="I3702" s="12"/>
      <c r="J3702" s="12"/>
    </row>
    <row r="3703" spans="5:10" x14ac:dyDescent="0.25">
      <c r="E3703"/>
      <c r="F3703"/>
      <c r="G3703" s="12"/>
      <c r="H3703" s="12"/>
      <c r="I3703" s="12"/>
      <c r="J3703" s="12"/>
    </row>
    <row r="3704" spans="5:10" x14ac:dyDescent="0.25">
      <c r="E3704"/>
      <c r="F3704"/>
      <c r="G3704" s="12"/>
      <c r="H3704" s="12"/>
      <c r="I3704" s="12"/>
      <c r="J3704" s="12"/>
    </row>
    <row r="3705" spans="5:10" x14ac:dyDescent="0.25">
      <c r="E3705"/>
      <c r="F3705"/>
      <c r="G3705" s="12"/>
      <c r="H3705" s="12"/>
      <c r="I3705" s="12"/>
      <c r="J3705" s="12"/>
    </row>
    <row r="3706" spans="5:10" x14ac:dyDescent="0.25">
      <c r="E3706"/>
      <c r="F3706"/>
      <c r="G3706" s="12"/>
      <c r="H3706" s="12"/>
      <c r="I3706" s="12"/>
      <c r="J3706" s="12"/>
    </row>
    <row r="3707" spans="5:10" x14ac:dyDescent="0.25">
      <c r="E3707"/>
      <c r="F3707"/>
      <c r="G3707" s="12"/>
      <c r="H3707" s="12"/>
      <c r="I3707" s="12"/>
      <c r="J3707" s="12"/>
    </row>
    <row r="3708" spans="5:10" x14ac:dyDescent="0.25">
      <c r="E3708"/>
      <c r="F3708"/>
      <c r="G3708" s="12"/>
      <c r="H3708" s="12"/>
      <c r="I3708" s="12"/>
      <c r="J3708" s="12"/>
    </row>
    <row r="3709" spans="5:10" x14ac:dyDescent="0.25">
      <c r="E3709"/>
      <c r="F3709"/>
      <c r="G3709" s="12"/>
      <c r="H3709" s="12"/>
      <c r="I3709" s="12"/>
      <c r="J3709" s="12"/>
    </row>
    <row r="3710" spans="5:10" x14ac:dyDescent="0.25">
      <c r="E3710"/>
      <c r="F3710"/>
      <c r="G3710" s="12"/>
      <c r="H3710" s="12"/>
      <c r="I3710" s="12"/>
      <c r="J3710" s="12"/>
    </row>
    <row r="3711" spans="5:10" x14ac:dyDescent="0.25">
      <c r="E3711"/>
      <c r="F3711"/>
      <c r="G3711" s="12"/>
      <c r="H3711" s="12"/>
      <c r="I3711" s="12"/>
      <c r="J3711" s="12"/>
    </row>
    <row r="3712" spans="5:10" x14ac:dyDescent="0.25">
      <c r="E3712"/>
      <c r="F3712"/>
      <c r="G3712" s="12"/>
      <c r="H3712" s="12"/>
      <c r="I3712" s="12"/>
      <c r="J3712" s="12"/>
    </row>
    <row r="3713" spans="5:10" x14ac:dyDescent="0.25">
      <c r="E3713"/>
      <c r="F3713"/>
      <c r="G3713" s="12"/>
      <c r="H3713" s="12"/>
      <c r="I3713" s="12"/>
      <c r="J3713" s="12"/>
    </row>
    <row r="3714" spans="5:10" x14ac:dyDescent="0.25">
      <c r="E3714"/>
      <c r="F3714"/>
      <c r="G3714" s="12"/>
      <c r="H3714" s="12"/>
      <c r="I3714" s="12"/>
      <c r="J3714" s="12"/>
    </row>
    <row r="3715" spans="5:10" x14ac:dyDescent="0.25">
      <c r="E3715"/>
      <c r="F3715"/>
      <c r="G3715" s="12"/>
      <c r="H3715" s="12"/>
      <c r="I3715" s="12"/>
      <c r="J3715" s="12"/>
    </row>
    <row r="3716" spans="5:10" x14ac:dyDescent="0.25">
      <c r="E3716"/>
      <c r="F3716"/>
      <c r="G3716" s="12"/>
      <c r="H3716" s="12"/>
      <c r="I3716" s="12"/>
      <c r="J3716" s="12"/>
    </row>
    <row r="3717" spans="5:10" x14ac:dyDescent="0.25">
      <c r="E3717"/>
      <c r="F3717"/>
      <c r="G3717" s="12"/>
      <c r="H3717" s="12"/>
      <c r="I3717" s="12"/>
      <c r="J3717" s="12"/>
    </row>
    <row r="3718" spans="5:10" x14ac:dyDescent="0.25">
      <c r="E3718"/>
      <c r="F3718"/>
      <c r="G3718" s="12"/>
      <c r="H3718" s="12"/>
      <c r="I3718" s="12"/>
      <c r="J3718" s="12"/>
    </row>
    <row r="3719" spans="5:10" x14ac:dyDescent="0.25">
      <c r="E3719"/>
      <c r="F3719"/>
      <c r="G3719" s="12"/>
      <c r="H3719" s="12"/>
      <c r="I3719" s="12"/>
      <c r="J3719" s="12"/>
    </row>
    <row r="3720" spans="5:10" x14ac:dyDescent="0.25">
      <c r="E3720"/>
      <c r="F3720"/>
      <c r="G3720" s="12"/>
      <c r="H3720" s="12"/>
      <c r="I3720" s="12"/>
      <c r="J3720" s="12"/>
    </row>
    <row r="3721" spans="5:10" x14ac:dyDescent="0.25">
      <c r="E3721"/>
      <c r="F3721"/>
      <c r="G3721" s="12"/>
      <c r="H3721" s="12"/>
      <c r="I3721" s="12"/>
      <c r="J3721" s="12"/>
    </row>
    <row r="3722" spans="5:10" x14ac:dyDescent="0.25">
      <c r="E3722"/>
      <c r="F3722"/>
      <c r="G3722" s="12"/>
      <c r="H3722" s="12"/>
      <c r="I3722" s="12"/>
      <c r="J3722" s="12"/>
    </row>
    <row r="3723" spans="5:10" x14ac:dyDescent="0.25">
      <c r="E3723"/>
      <c r="F3723"/>
      <c r="G3723" s="12"/>
      <c r="H3723" s="12"/>
      <c r="I3723" s="12"/>
      <c r="J3723" s="12"/>
    </row>
    <row r="3724" spans="5:10" x14ac:dyDescent="0.25">
      <c r="E3724"/>
      <c r="F3724"/>
      <c r="G3724" s="12"/>
      <c r="H3724" s="12"/>
      <c r="I3724" s="12"/>
      <c r="J3724" s="12"/>
    </row>
    <row r="3725" spans="5:10" x14ac:dyDescent="0.25">
      <c r="E3725"/>
      <c r="F3725"/>
      <c r="G3725" s="12"/>
      <c r="H3725" s="12"/>
      <c r="I3725" s="12"/>
      <c r="J3725" s="12"/>
    </row>
    <row r="3726" spans="5:10" x14ac:dyDescent="0.25">
      <c r="E3726"/>
      <c r="F3726"/>
      <c r="G3726" s="12"/>
      <c r="H3726" s="12"/>
      <c r="I3726" s="12"/>
      <c r="J3726" s="12"/>
    </row>
    <row r="3727" spans="5:10" x14ac:dyDescent="0.25">
      <c r="E3727"/>
      <c r="F3727"/>
      <c r="G3727" s="12"/>
      <c r="H3727" s="12"/>
      <c r="I3727" s="12"/>
      <c r="J3727" s="12"/>
    </row>
    <row r="3728" spans="5:10" x14ac:dyDescent="0.25">
      <c r="E3728"/>
      <c r="F3728"/>
      <c r="G3728" s="12"/>
      <c r="H3728" s="12"/>
      <c r="I3728" s="12"/>
      <c r="J3728" s="12"/>
    </row>
    <row r="3729" spans="5:10" x14ac:dyDescent="0.25">
      <c r="E3729"/>
      <c r="F3729"/>
      <c r="G3729" s="12"/>
      <c r="H3729" s="12"/>
      <c r="I3729" s="12"/>
      <c r="J3729" s="12"/>
    </row>
    <row r="3730" spans="5:10" x14ac:dyDescent="0.25">
      <c r="E3730"/>
      <c r="F3730"/>
      <c r="G3730" s="12"/>
      <c r="H3730" s="12"/>
      <c r="I3730" s="12"/>
      <c r="J3730" s="12"/>
    </row>
    <row r="3731" spans="5:10" x14ac:dyDescent="0.25">
      <c r="E3731"/>
      <c r="F3731"/>
      <c r="G3731" s="12"/>
      <c r="H3731" s="12"/>
      <c r="I3731" s="12"/>
      <c r="J3731" s="12"/>
    </row>
    <row r="3732" spans="5:10" x14ac:dyDescent="0.25">
      <c r="E3732"/>
      <c r="F3732"/>
      <c r="G3732" s="12"/>
      <c r="H3732" s="12"/>
      <c r="I3732" s="12"/>
      <c r="J3732" s="12"/>
    </row>
    <row r="3733" spans="5:10" x14ac:dyDescent="0.25">
      <c r="E3733"/>
      <c r="F3733"/>
      <c r="G3733" s="12"/>
      <c r="H3733" s="12"/>
      <c r="I3733" s="12"/>
      <c r="J3733" s="12"/>
    </row>
    <row r="3734" spans="5:10" x14ac:dyDescent="0.25">
      <c r="E3734"/>
      <c r="F3734"/>
      <c r="G3734" s="12"/>
      <c r="H3734" s="12"/>
      <c r="I3734" s="12"/>
      <c r="J3734" s="12"/>
    </row>
    <row r="3735" spans="5:10" x14ac:dyDescent="0.25">
      <c r="E3735"/>
      <c r="F3735"/>
      <c r="G3735" s="12"/>
      <c r="H3735" s="12"/>
      <c r="I3735" s="12"/>
      <c r="J3735" s="12"/>
    </row>
    <row r="3736" spans="5:10" x14ac:dyDescent="0.25">
      <c r="E3736"/>
      <c r="F3736"/>
      <c r="G3736" s="12"/>
      <c r="H3736" s="12"/>
      <c r="I3736" s="12"/>
      <c r="J3736" s="12"/>
    </row>
    <row r="3737" spans="5:10" x14ac:dyDescent="0.25">
      <c r="E3737"/>
      <c r="F3737"/>
      <c r="G3737" s="12"/>
      <c r="H3737" s="12"/>
      <c r="I3737" s="12"/>
      <c r="J3737" s="12"/>
    </row>
    <row r="3738" spans="5:10" x14ac:dyDescent="0.25">
      <c r="E3738"/>
      <c r="F3738"/>
      <c r="G3738" s="12"/>
      <c r="H3738" s="12"/>
      <c r="I3738" s="12"/>
      <c r="J3738" s="12"/>
    </row>
    <row r="3739" spans="5:10" x14ac:dyDescent="0.25">
      <c r="E3739"/>
      <c r="F3739"/>
      <c r="G3739" s="12"/>
      <c r="H3739" s="12"/>
      <c r="I3739" s="12"/>
      <c r="J3739" s="12"/>
    </row>
    <row r="3740" spans="5:10" x14ac:dyDescent="0.25">
      <c r="E3740"/>
      <c r="F3740"/>
      <c r="G3740" s="12"/>
      <c r="H3740" s="12"/>
      <c r="I3740" s="12"/>
      <c r="J3740" s="12"/>
    </row>
    <row r="3741" spans="5:10" x14ac:dyDescent="0.25">
      <c r="E3741"/>
      <c r="F3741"/>
      <c r="G3741" s="12"/>
      <c r="H3741" s="12"/>
      <c r="I3741" s="12"/>
      <c r="J3741" s="12"/>
    </row>
    <row r="3742" spans="5:10" x14ac:dyDescent="0.25">
      <c r="E3742"/>
      <c r="F3742"/>
      <c r="G3742" s="12"/>
      <c r="H3742" s="12"/>
      <c r="I3742" s="12"/>
      <c r="J3742" s="12"/>
    </row>
    <row r="3743" spans="5:10" x14ac:dyDescent="0.25">
      <c r="E3743"/>
      <c r="F3743"/>
      <c r="G3743" s="12"/>
      <c r="H3743" s="12"/>
      <c r="I3743" s="12"/>
      <c r="J3743" s="12"/>
    </row>
    <row r="3744" spans="5:10" x14ac:dyDescent="0.25">
      <c r="E3744"/>
      <c r="F3744"/>
      <c r="G3744" s="12"/>
      <c r="H3744" s="12"/>
      <c r="I3744" s="12"/>
      <c r="J3744" s="12"/>
    </row>
    <row r="3745" spans="5:10" x14ac:dyDescent="0.25">
      <c r="E3745"/>
      <c r="F3745"/>
      <c r="G3745" s="12"/>
      <c r="H3745" s="12"/>
      <c r="I3745" s="12"/>
      <c r="J3745" s="12"/>
    </row>
    <row r="3746" spans="5:10" x14ac:dyDescent="0.25">
      <c r="E3746"/>
      <c r="F3746"/>
      <c r="G3746" s="12"/>
      <c r="H3746" s="12"/>
      <c r="I3746" s="12"/>
      <c r="J3746" s="12"/>
    </row>
    <row r="3747" spans="5:10" x14ac:dyDescent="0.25">
      <c r="E3747"/>
      <c r="F3747"/>
      <c r="G3747" s="12"/>
      <c r="H3747" s="12"/>
      <c r="I3747" s="12"/>
      <c r="J3747" s="12"/>
    </row>
    <row r="3748" spans="5:10" x14ac:dyDescent="0.25">
      <c r="E3748"/>
      <c r="F3748"/>
      <c r="G3748" s="12"/>
      <c r="H3748" s="12"/>
      <c r="I3748" s="12"/>
      <c r="J3748" s="12"/>
    </row>
    <row r="3749" spans="5:10" x14ac:dyDescent="0.25">
      <c r="E3749"/>
      <c r="F3749"/>
      <c r="G3749" s="12"/>
      <c r="H3749" s="12"/>
      <c r="I3749" s="12"/>
      <c r="J3749" s="12"/>
    </row>
    <row r="3750" spans="5:10" x14ac:dyDescent="0.25">
      <c r="E3750"/>
      <c r="F3750"/>
      <c r="G3750" s="12"/>
      <c r="H3750" s="12"/>
      <c r="I3750" s="12"/>
      <c r="J3750" s="12"/>
    </row>
    <row r="3751" spans="5:10" x14ac:dyDescent="0.25">
      <c r="E3751"/>
      <c r="F3751"/>
      <c r="G3751" s="12"/>
      <c r="H3751" s="12"/>
      <c r="I3751" s="12"/>
      <c r="J3751" s="12"/>
    </row>
    <row r="3752" spans="5:10" x14ac:dyDescent="0.25">
      <c r="E3752"/>
      <c r="F3752"/>
      <c r="G3752" s="12"/>
      <c r="H3752" s="12"/>
      <c r="I3752" s="12"/>
      <c r="J3752" s="12"/>
    </row>
    <row r="3753" spans="5:10" x14ac:dyDescent="0.25">
      <c r="E3753"/>
      <c r="F3753"/>
      <c r="G3753" s="12"/>
      <c r="H3753" s="12"/>
      <c r="I3753" s="12"/>
      <c r="J3753" s="12"/>
    </row>
    <row r="3754" spans="5:10" x14ac:dyDescent="0.25">
      <c r="E3754"/>
      <c r="F3754"/>
      <c r="G3754" s="12"/>
      <c r="H3754" s="12"/>
      <c r="I3754" s="12"/>
      <c r="J3754" s="12"/>
    </row>
    <row r="3755" spans="5:10" x14ac:dyDescent="0.25">
      <c r="E3755"/>
      <c r="F3755"/>
      <c r="G3755" s="12"/>
      <c r="H3755" s="12"/>
      <c r="I3755" s="12"/>
      <c r="J3755" s="12"/>
    </row>
    <row r="3756" spans="5:10" x14ac:dyDescent="0.25">
      <c r="E3756"/>
      <c r="F3756"/>
      <c r="G3756" s="12"/>
      <c r="H3756" s="12"/>
      <c r="I3756" s="12"/>
      <c r="J3756" s="12"/>
    </row>
    <row r="3757" spans="5:10" x14ac:dyDescent="0.25">
      <c r="E3757"/>
      <c r="F3757"/>
      <c r="G3757" s="12"/>
      <c r="H3757" s="12"/>
      <c r="I3757" s="12"/>
      <c r="J3757" s="12"/>
    </row>
    <row r="3758" spans="5:10" x14ac:dyDescent="0.25">
      <c r="E3758"/>
      <c r="F3758"/>
      <c r="G3758" s="12"/>
      <c r="H3758" s="12"/>
      <c r="I3758" s="12"/>
      <c r="J3758" s="12"/>
    </row>
    <row r="3759" spans="5:10" x14ac:dyDescent="0.25">
      <c r="E3759"/>
      <c r="F3759"/>
      <c r="G3759" s="12"/>
      <c r="H3759" s="12"/>
      <c r="I3759" s="12"/>
      <c r="J3759" s="12"/>
    </row>
    <row r="3760" spans="5:10" x14ac:dyDescent="0.25">
      <c r="E3760"/>
      <c r="F3760"/>
      <c r="G3760" s="12"/>
      <c r="H3760" s="12"/>
      <c r="I3760" s="12"/>
      <c r="J3760" s="12"/>
    </row>
    <row r="3761" spans="5:10" x14ac:dyDescent="0.25">
      <c r="E3761"/>
      <c r="F3761"/>
      <c r="G3761" s="12"/>
      <c r="H3761" s="12"/>
      <c r="I3761" s="12"/>
      <c r="J3761" s="12"/>
    </row>
    <row r="3762" spans="5:10" x14ac:dyDescent="0.25">
      <c r="E3762"/>
      <c r="F3762"/>
      <c r="G3762" s="12"/>
      <c r="H3762" s="12"/>
      <c r="I3762" s="12"/>
      <c r="J3762" s="12"/>
    </row>
    <row r="3763" spans="5:10" x14ac:dyDescent="0.25">
      <c r="E3763"/>
      <c r="F3763"/>
      <c r="G3763" s="12"/>
      <c r="H3763" s="12"/>
      <c r="I3763" s="12"/>
      <c r="J3763" s="12"/>
    </row>
    <row r="3764" spans="5:10" x14ac:dyDescent="0.25">
      <c r="E3764"/>
      <c r="F3764"/>
      <c r="G3764" s="12"/>
      <c r="H3764" s="12"/>
      <c r="I3764" s="12"/>
      <c r="J3764" s="12"/>
    </row>
    <row r="3765" spans="5:10" x14ac:dyDescent="0.25">
      <c r="E3765"/>
      <c r="F3765"/>
      <c r="G3765" s="12"/>
      <c r="H3765" s="12"/>
      <c r="I3765" s="12"/>
      <c r="J3765" s="12"/>
    </row>
    <row r="3766" spans="5:10" x14ac:dyDescent="0.25">
      <c r="E3766"/>
      <c r="F3766"/>
      <c r="G3766" s="12"/>
      <c r="H3766" s="12"/>
      <c r="I3766" s="12"/>
      <c r="J3766" s="12"/>
    </row>
    <row r="3767" spans="5:10" x14ac:dyDescent="0.25">
      <c r="E3767"/>
      <c r="F3767"/>
      <c r="G3767" s="12"/>
      <c r="H3767" s="12"/>
      <c r="I3767" s="12"/>
      <c r="J3767" s="12"/>
    </row>
    <row r="3768" spans="5:10" x14ac:dyDescent="0.25">
      <c r="E3768"/>
      <c r="F3768"/>
      <c r="G3768" s="12"/>
      <c r="H3768" s="12"/>
      <c r="I3768" s="12"/>
      <c r="J3768" s="12"/>
    </row>
    <row r="3769" spans="5:10" x14ac:dyDescent="0.25">
      <c r="E3769"/>
      <c r="F3769"/>
      <c r="G3769" s="12"/>
      <c r="H3769" s="12"/>
      <c r="I3769" s="12"/>
      <c r="J3769" s="12"/>
    </row>
    <row r="3770" spans="5:10" x14ac:dyDescent="0.25">
      <c r="E3770"/>
      <c r="F3770"/>
      <c r="G3770" s="12"/>
      <c r="H3770" s="12"/>
      <c r="I3770" s="12"/>
      <c r="J3770" s="12"/>
    </row>
    <row r="3771" spans="5:10" x14ac:dyDescent="0.25">
      <c r="E3771"/>
      <c r="F3771"/>
      <c r="G3771" s="12"/>
      <c r="H3771" s="12"/>
      <c r="I3771" s="12"/>
      <c r="J3771" s="12"/>
    </row>
    <row r="3772" spans="5:10" x14ac:dyDescent="0.25">
      <c r="E3772"/>
      <c r="F3772"/>
      <c r="G3772" s="12"/>
      <c r="H3772" s="12"/>
      <c r="I3772" s="12"/>
      <c r="J3772" s="12"/>
    </row>
    <row r="3773" spans="5:10" x14ac:dyDescent="0.25">
      <c r="E3773"/>
      <c r="F3773"/>
      <c r="G3773" s="12"/>
      <c r="H3773" s="12"/>
      <c r="I3773" s="12"/>
      <c r="J3773" s="12"/>
    </row>
    <row r="3774" spans="5:10" x14ac:dyDescent="0.25">
      <c r="E3774"/>
      <c r="F3774"/>
      <c r="G3774" s="12"/>
      <c r="H3774" s="12"/>
      <c r="I3774" s="12"/>
      <c r="J3774" s="12"/>
    </row>
    <row r="3775" spans="5:10" x14ac:dyDescent="0.25">
      <c r="E3775"/>
      <c r="F3775"/>
      <c r="G3775" s="12"/>
      <c r="H3775" s="12"/>
      <c r="I3775" s="12"/>
      <c r="J3775" s="12"/>
    </row>
    <row r="3776" spans="5:10" x14ac:dyDescent="0.25">
      <c r="E3776"/>
      <c r="F3776"/>
      <c r="G3776" s="12"/>
      <c r="H3776" s="12"/>
      <c r="I3776" s="12"/>
      <c r="J3776" s="12"/>
    </row>
    <row r="3777" spans="5:10" x14ac:dyDescent="0.25">
      <c r="E3777"/>
      <c r="F3777"/>
      <c r="G3777" s="12"/>
      <c r="H3777" s="12"/>
      <c r="I3777" s="12"/>
      <c r="J3777" s="12"/>
    </row>
    <row r="3778" spans="5:10" x14ac:dyDescent="0.25">
      <c r="E3778"/>
      <c r="F3778"/>
      <c r="G3778" s="12"/>
      <c r="H3778" s="12"/>
      <c r="I3778" s="12"/>
      <c r="J3778" s="12"/>
    </row>
    <row r="3779" spans="5:10" x14ac:dyDescent="0.25">
      <c r="E3779"/>
      <c r="F3779"/>
      <c r="G3779" s="12"/>
      <c r="H3779" s="12"/>
      <c r="I3779" s="12"/>
      <c r="J3779" s="12"/>
    </row>
    <row r="3780" spans="5:10" x14ac:dyDescent="0.25">
      <c r="E3780"/>
      <c r="F3780"/>
      <c r="G3780" s="12"/>
      <c r="H3780" s="12"/>
      <c r="I3780" s="12"/>
      <c r="J3780" s="12"/>
    </row>
    <row r="3781" spans="5:10" x14ac:dyDescent="0.25">
      <c r="E3781"/>
      <c r="F3781"/>
      <c r="G3781" s="12"/>
      <c r="H3781" s="12"/>
      <c r="I3781" s="12"/>
      <c r="J3781" s="12"/>
    </row>
    <row r="3782" spans="5:10" x14ac:dyDescent="0.25">
      <c r="E3782"/>
      <c r="F3782"/>
      <c r="G3782" s="12"/>
      <c r="H3782" s="12"/>
      <c r="I3782" s="12"/>
      <c r="J3782" s="12"/>
    </row>
    <row r="3783" spans="5:10" x14ac:dyDescent="0.25">
      <c r="E3783"/>
      <c r="F3783"/>
      <c r="G3783" s="12"/>
      <c r="H3783" s="12"/>
      <c r="I3783" s="12"/>
      <c r="J3783" s="12"/>
    </row>
    <row r="3784" spans="5:10" x14ac:dyDescent="0.25">
      <c r="E3784"/>
      <c r="F3784"/>
      <c r="G3784" s="12"/>
      <c r="H3784" s="12"/>
      <c r="I3784" s="12"/>
      <c r="J3784" s="12"/>
    </row>
    <row r="3785" spans="5:10" x14ac:dyDescent="0.25">
      <c r="E3785"/>
      <c r="F3785"/>
      <c r="G3785" s="12"/>
      <c r="H3785" s="12"/>
      <c r="I3785" s="12"/>
      <c r="J3785" s="12"/>
    </row>
    <row r="3786" spans="5:10" x14ac:dyDescent="0.25">
      <c r="E3786"/>
      <c r="F3786"/>
      <c r="G3786" s="12"/>
      <c r="H3786" s="12"/>
      <c r="I3786" s="12"/>
      <c r="J3786" s="12"/>
    </row>
    <row r="3787" spans="5:10" x14ac:dyDescent="0.25">
      <c r="E3787"/>
      <c r="F3787"/>
      <c r="G3787" s="12"/>
      <c r="H3787" s="12"/>
      <c r="I3787" s="12"/>
      <c r="J3787" s="12"/>
    </row>
    <row r="3788" spans="5:10" x14ac:dyDescent="0.25">
      <c r="E3788"/>
      <c r="F3788"/>
      <c r="G3788" s="12"/>
      <c r="H3788" s="12"/>
      <c r="I3788" s="12"/>
      <c r="J3788" s="12"/>
    </row>
    <row r="3789" spans="5:10" x14ac:dyDescent="0.25">
      <c r="E3789"/>
      <c r="F3789"/>
      <c r="G3789" s="12"/>
      <c r="H3789" s="12"/>
      <c r="I3789" s="12"/>
      <c r="J3789" s="12"/>
    </row>
    <row r="3790" spans="5:10" x14ac:dyDescent="0.25">
      <c r="E3790"/>
      <c r="F3790"/>
      <c r="G3790" s="12"/>
      <c r="H3790" s="12"/>
      <c r="I3790" s="12"/>
      <c r="J3790" s="12"/>
    </row>
    <row r="3791" spans="5:10" x14ac:dyDescent="0.25">
      <c r="E3791"/>
      <c r="F3791"/>
      <c r="G3791" s="12"/>
      <c r="H3791" s="12"/>
      <c r="I3791" s="12"/>
      <c r="J3791" s="12"/>
    </row>
    <row r="3792" spans="5:10" x14ac:dyDescent="0.25">
      <c r="E3792"/>
      <c r="F3792"/>
      <c r="G3792" s="12"/>
      <c r="H3792" s="12"/>
      <c r="I3792" s="12"/>
      <c r="J3792" s="12"/>
    </row>
    <row r="3793" spans="5:10" x14ac:dyDescent="0.25">
      <c r="E3793"/>
      <c r="F3793"/>
      <c r="G3793" s="12"/>
      <c r="H3793" s="12"/>
      <c r="I3793" s="12"/>
      <c r="J3793" s="12"/>
    </row>
    <row r="3794" spans="5:10" x14ac:dyDescent="0.25">
      <c r="E3794"/>
      <c r="F3794"/>
      <c r="G3794" s="12"/>
      <c r="H3794" s="12"/>
      <c r="I3794" s="12"/>
      <c r="J3794" s="12"/>
    </row>
    <row r="3795" spans="5:10" x14ac:dyDescent="0.25">
      <c r="E3795"/>
      <c r="F3795"/>
      <c r="G3795" s="12"/>
      <c r="H3795" s="12"/>
      <c r="I3795" s="12"/>
      <c r="J3795" s="12"/>
    </row>
    <row r="3796" spans="5:10" x14ac:dyDescent="0.25">
      <c r="E3796"/>
      <c r="F3796"/>
      <c r="G3796" s="12"/>
      <c r="H3796" s="12"/>
      <c r="I3796" s="12"/>
      <c r="J3796" s="12"/>
    </row>
    <row r="3797" spans="5:10" x14ac:dyDescent="0.25">
      <c r="E3797"/>
      <c r="F3797"/>
      <c r="G3797" s="12"/>
      <c r="H3797" s="12"/>
      <c r="I3797" s="12"/>
      <c r="J3797" s="12"/>
    </row>
    <row r="3798" spans="5:10" x14ac:dyDescent="0.25">
      <c r="E3798"/>
      <c r="F3798"/>
      <c r="G3798" s="12"/>
      <c r="H3798" s="12"/>
      <c r="I3798" s="12"/>
      <c r="J3798" s="12"/>
    </row>
    <row r="3799" spans="5:10" x14ac:dyDescent="0.25">
      <c r="E3799"/>
      <c r="F3799"/>
      <c r="G3799" s="12"/>
      <c r="H3799" s="12"/>
      <c r="I3799" s="12"/>
      <c r="J3799" s="12"/>
    </row>
    <row r="3800" spans="5:10" x14ac:dyDescent="0.25">
      <c r="E3800"/>
      <c r="F3800"/>
      <c r="G3800" s="12"/>
      <c r="H3800" s="12"/>
      <c r="I3800" s="12"/>
      <c r="J3800" s="12"/>
    </row>
    <row r="3801" spans="5:10" x14ac:dyDescent="0.25">
      <c r="E3801"/>
      <c r="F3801"/>
      <c r="G3801" s="12"/>
      <c r="H3801" s="12"/>
      <c r="I3801" s="12"/>
      <c r="J3801" s="12"/>
    </row>
    <row r="3802" spans="5:10" x14ac:dyDescent="0.25">
      <c r="E3802"/>
      <c r="F3802"/>
      <c r="G3802" s="12"/>
      <c r="H3802" s="12"/>
      <c r="I3802" s="12"/>
      <c r="J3802" s="12"/>
    </row>
    <row r="3803" spans="5:10" x14ac:dyDescent="0.25">
      <c r="E3803"/>
      <c r="F3803"/>
      <c r="G3803" s="12"/>
      <c r="H3803" s="12"/>
      <c r="I3803" s="12"/>
      <c r="J3803" s="12"/>
    </row>
    <row r="3804" spans="5:10" x14ac:dyDescent="0.25">
      <c r="E3804"/>
      <c r="F3804"/>
      <c r="G3804" s="12"/>
      <c r="H3804" s="12"/>
      <c r="I3804" s="12"/>
      <c r="J3804" s="12"/>
    </row>
    <row r="3805" spans="5:10" x14ac:dyDescent="0.25">
      <c r="E3805"/>
      <c r="F3805"/>
      <c r="G3805" s="12"/>
      <c r="H3805" s="12"/>
      <c r="I3805" s="12"/>
      <c r="J3805" s="12"/>
    </row>
    <row r="3806" spans="5:10" x14ac:dyDescent="0.25">
      <c r="E3806"/>
      <c r="F3806"/>
      <c r="G3806" s="12"/>
      <c r="H3806" s="12"/>
      <c r="I3806" s="12"/>
      <c r="J3806" s="12"/>
    </row>
    <row r="3807" spans="5:10" x14ac:dyDescent="0.25">
      <c r="E3807"/>
      <c r="F3807"/>
      <c r="G3807" s="12"/>
      <c r="H3807" s="12"/>
      <c r="I3807" s="12"/>
      <c r="J3807" s="12"/>
    </row>
    <row r="3808" spans="5:10" x14ac:dyDescent="0.25">
      <c r="E3808"/>
      <c r="F3808"/>
      <c r="G3808" s="12"/>
      <c r="H3808" s="12"/>
      <c r="I3808" s="12"/>
      <c r="J3808" s="12"/>
    </row>
    <row r="3809" spans="5:10" x14ac:dyDescent="0.25">
      <c r="E3809"/>
      <c r="F3809"/>
      <c r="G3809" s="12"/>
      <c r="H3809" s="12"/>
      <c r="I3809" s="12"/>
      <c r="J3809" s="12"/>
    </row>
    <row r="3810" spans="5:10" x14ac:dyDescent="0.25">
      <c r="E3810"/>
      <c r="F3810"/>
      <c r="G3810" s="12"/>
      <c r="H3810" s="12"/>
      <c r="I3810" s="12"/>
      <c r="J3810" s="12"/>
    </row>
    <row r="3811" spans="5:10" x14ac:dyDescent="0.25">
      <c r="E3811"/>
      <c r="F3811"/>
      <c r="G3811" s="12"/>
      <c r="H3811" s="12"/>
      <c r="I3811" s="12"/>
      <c r="J3811" s="12"/>
    </row>
    <row r="3812" spans="5:10" x14ac:dyDescent="0.25">
      <c r="E3812"/>
      <c r="F3812"/>
      <c r="G3812" s="12"/>
      <c r="H3812" s="12"/>
      <c r="I3812" s="12"/>
      <c r="J3812" s="12"/>
    </row>
    <row r="3813" spans="5:10" x14ac:dyDescent="0.25">
      <c r="E3813"/>
      <c r="F3813"/>
      <c r="G3813" s="12"/>
      <c r="H3813" s="12"/>
      <c r="I3813" s="12"/>
      <c r="J3813" s="12"/>
    </row>
    <row r="3814" spans="5:10" x14ac:dyDescent="0.25">
      <c r="E3814"/>
      <c r="F3814"/>
      <c r="G3814" s="12"/>
      <c r="H3814" s="12"/>
      <c r="I3814" s="12"/>
      <c r="J3814" s="12"/>
    </row>
    <row r="3815" spans="5:10" x14ac:dyDescent="0.25">
      <c r="E3815"/>
      <c r="F3815"/>
      <c r="G3815" s="12"/>
      <c r="H3815" s="12"/>
      <c r="I3815" s="12"/>
      <c r="J3815" s="12"/>
    </row>
    <row r="3816" spans="5:10" x14ac:dyDescent="0.25">
      <c r="E3816"/>
      <c r="F3816"/>
      <c r="G3816" s="12"/>
      <c r="H3816" s="12"/>
      <c r="I3816" s="12"/>
      <c r="J3816" s="12"/>
    </row>
    <row r="3817" spans="5:10" x14ac:dyDescent="0.25">
      <c r="E3817"/>
      <c r="F3817"/>
      <c r="G3817" s="12"/>
      <c r="H3817" s="12"/>
      <c r="I3817" s="12"/>
      <c r="J3817" s="12"/>
    </row>
    <row r="3818" spans="5:10" x14ac:dyDescent="0.25">
      <c r="E3818"/>
      <c r="F3818"/>
      <c r="G3818" s="12"/>
      <c r="H3818" s="12"/>
      <c r="I3818" s="12"/>
      <c r="J3818" s="12"/>
    </row>
    <row r="3819" spans="5:10" x14ac:dyDescent="0.25">
      <c r="E3819"/>
      <c r="F3819"/>
      <c r="G3819" s="12"/>
      <c r="H3819" s="12"/>
      <c r="I3819" s="12"/>
      <c r="J3819" s="12"/>
    </row>
    <row r="3820" spans="5:10" x14ac:dyDescent="0.25">
      <c r="E3820"/>
      <c r="F3820"/>
      <c r="G3820" s="12"/>
      <c r="H3820" s="12"/>
      <c r="I3820" s="12"/>
      <c r="J3820" s="12"/>
    </row>
    <row r="3821" spans="5:10" x14ac:dyDescent="0.25">
      <c r="E3821"/>
      <c r="F3821"/>
      <c r="G3821" s="12"/>
      <c r="H3821" s="12"/>
      <c r="I3821" s="12"/>
      <c r="J3821" s="12"/>
    </row>
    <row r="3822" spans="5:10" x14ac:dyDescent="0.25">
      <c r="E3822"/>
      <c r="F3822"/>
      <c r="G3822" s="12"/>
      <c r="H3822" s="12"/>
      <c r="I3822" s="12"/>
      <c r="J3822" s="12"/>
    </row>
    <row r="3823" spans="5:10" x14ac:dyDescent="0.25">
      <c r="E3823"/>
      <c r="F3823"/>
      <c r="G3823" s="12"/>
      <c r="H3823" s="12"/>
      <c r="I3823" s="12"/>
      <c r="J3823" s="12"/>
    </row>
    <row r="3824" spans="5:10" x14ac:dyDescent="0.25">
      <c r="E3824"/>
      <c r="F3824"/>
      <c r="G3824" s="12"/>
      <c r="H3824" s="12"/>
      <c r="I3824" s="12"/>
      <c r="J3824" s="12"/>
    </row>
    <row r="3825" spans="5:10" x14ac:dyDescent="0.25">
      <c r="E3825"/>
      <c r="F3825"/>
      <c r="G3825" s="12"/>
      <c r="H3825" s="12"/>
      <c r="I3825" s="12"/>
      <c r="J3825" s="12"/>
    </row>
    <row r="3826" spans="5:10" x14ac:dyDescent="0.25">
      <c r="E3826"/>
      <c r="F3826"/>
      <c r="G3826" s="12"/>
      <c r="H3826" s="12"/>
      <c r="I3826" s="12"/>
      <c r="J3826" s="12"/>
    </row>
    <row r="3827" spans="5:10" x14ac:dyDescent="0.25">
      <c r="E3827"/>
      <c r="F3827"/>
      <c r="G3827" s="12"/>
      <c r="H3827" s="12"/>
      <c r="I3827" s="12"/>
      <c r="J3827" s="12"/>
    </row>
    <row r="3828" spans="5:10" x14ac:dyDescent="0.25">
      <c r="E3828"/>
      <c r="F3828"/>
      <c r="G3828" s="12"/>
      <c r="H3828" s="12"/>
      <c r="I3828" s="12"/>
      <c r="J3828" s="12"/>
    </row>
    <row r="3829" spans="5:10" x14ac:dyDescent="0.25">
      <c r="E3829"/>
      <c r="F3829"/>
      <c r="G3829" s="12"/>
      <c r="H3829" s="12"/>
      <c r="I3829" s="12"/>
      <c r="J3829" s="12"/>
    </row>
    <row r="3830" spans="5:10" x14ac:dyDescent="0.25">
      <c r="E3830"/>
      <c r="F3830"/>
      <c r="G3830" s="12"/>
      <c r="H3830" s="12"/>
      <c r="I3830" s="12"/>
      <c r="J3830" s="12"/>
    </row>
    <row r="3831" spans="5:10" x14ac:dyDescent="0.25">
      <c r="E3831"/>
      <c r="F3831"/>
      <c r="G3831" s="12"/>
      <c r="H3831" s="12"/>
      <c r="I3831" s="12"/>
      <c r="J3831" s="12"/>
    </row>
    <row r="3832" spans="5:10" x14ac:dyDescent="0.25">
      <c r="E3832"/>
      <c r="F3832"/>
      <c r="G3832" s="12"/>
      <c r="H3832" s="12"/>
      <c r="I3832" s="12"/>
      <c r="J3832" s="12"/>
    </row>
    <row r="3833" spans="5:10" x14ac:dyDescent="0.25">
      <c r="E3833"/>
      <c r="F3833"/>
      <c r="G3833" s="12"/>
      <c r="H3833" s="12"/>
      <c r="I3833" s="12"/>
      <c r="J3833" s="12"/>
    </row>
    <row r="3834" spans="5:10" x14ac:dyDescent="0.25">
      <c r="E3834"/>
      <c r="F3834"/>
      <c r="G3834" s="12"/>
      <c r="H3834" s="12"/>
      <c r="I3834" s="12"/>
      <c r="J3834" s="12"/>
    </row>
    <row r="3835" spans="5:10" x14ac:dyDescent="0.25">
      <c r="E3835"/>
      <c r="F3835"/>
      <c r="G3835" s="12"/>
      <c r="H3835" s="12"/>
      <c r="I3835" s="12"/>
      <c r="J3835" s="12"/>
    </row>
    <row r="3836" spans="5:10" x14ac:dyDescent="0.25">
      <c r="E3836"/>
      <c r="F3836"/>
      <c r="G3836" s="12"/>
      <c r="H3836" s="12"/>
      <c r="I3836" s="12"/>
      <c r="J3836" s="12"/>
    </row>
    <row r="3837" spans="5:10" x14ac:dyDescent="0.25">
      <c r="E3837"/>
      <c r="F3837"/>
      <c r="G3837" s="12"/>
      <c r="H3837" s="12"/>
      <c r="I3837" s="12"/>
      <c r="J3837" s="12"/>
    </row>
    <row r="3838" spans="5:10" x14ac:dyDescent="0.25">
      <c r="E3838"/>
      <c r="F3838"/>
      <c r="G3838" s="12"/>
      <c r="H3838" s="12"/>
      <c r="I3838" s="12"/>
      <c r="J3838" s="12"/>
    </row>
    <row r="3839" spans="5:10" x14ac:dyDescent="0.25">
      <c r="E3839"/>
      <c r="F3839"/>
      <c r="G3839" s="12"/>
      <c r="H3839" s="12"/>
      <c r="I3839" s="12"/>
      <c r="J3839" s="12"/>
    </row>
    <row r="3840" spans="5:10" x14ac:dyDescent="0.25">
      <c r="E3840"/>
      <c r="F3840"/>
      <c r="G3840" s="12"/>
      <c r="H3840" s="12"/>
      <c r="I3840" s="12"/>
      <c r="J3840" s="12"/>
    </row>
    <row r="3841" spans="5:10" x14ac:dyDescent="0.25">
      <c r="E3841"/>
      <c r="F3841"/>
      <c r="G3841" s="12"/>
      <c r="H3841" s="12"/>
      <c r="I3841" s="12"/>
      <c r="J3841" s="12"/>
    </row>
    <row r="3842" spans="5:10" x14ac:dyDescent="0.25">
      <c r="E3842"/>
      <c r="F3842"/>
      <c r="G3842" s="12"/>
      <c r="H3842" s="12"/>
      <c r="I3842" s="12"/>
      <c r="J3842" s="12"/>
    </row>
    <row r="3843" spans="5:10" x14ac:dyDescent="0.25">
      <c r="E3843"/>
      <c r="F3843"/>
      <c r="G3843" s="12"/>
      <c r="H3843" s="12"/>
      <c r="I3843" s="12"/>
      <c r="J3843" s="12"/>
    </row>
    <row r="3844" spans="5:10" x14ac:dyDescent="0.25">
      <c r="E3844"/>
      <c r="F3844"/>
      <c r="G3844" s="12"/>
      <c r="H3844" s="12"/>
      <c r="I3844" s="12"/>
      <c r="J3844" s="12"/>
    </row>
    <row r="3845" spans="5:10" x14ac:dyDescent="0.25">
      <c r="E3845"/>
      <c r="F3845"/>
      <c r="G3845" s="12"/>
      <c r="H3845" s="12"/>
      <c r="I3845" s="12"/>
      <c r="J3845" s="12"/>
    </row>
    <row r="3846" spans="5:10" x14ac:dyDescent="0.25">
      <c r="E3846"/>
      <c r="F3846"/>
      <c r="G3846" s="12"/>
      <c r="H3846" s="12"/>
      <c r="I3846" s="12"/>
      <c r="J3846" s="12"/>
    </row>
    <row r="3847" spans="5:10" x14ac:dyDescent="0.25">
      <c r="E3847"/>
      <c r="F3847"/>
      <c r="G3847" s="12"/>
      <c r="H3847" s="12"/>
      <c r="I3847" s="12"/>
      <c r="J3847" s="12"/>
    </row>
    <row r="3848" spans="5:10" x14ac:dyDescent="0.25">
      <c r="E3848"/>
      <c r="F3848"/>
      <c r="G3848" s="12"/>
      <c r="H3848" s="12"/>
      <c r="I3848" s="12"/>
      <c r="J3848" s="12"/>
    </row>
    <row r="3849" spans="5:10" x14ac:dyDescent="0.25">
      <c r="E3849"/>
      <c r="F3849"/>
      <c r="G3849" s="12"/>
      <c r="H3849" s="12"/>
      <c r="I3849" s="12"/>
      <c r="J3849" s="12"/>
    </row>
    <row r="3850" spans="5:10" x14ac:dyDescent="0.25">
      <c r="E3850"/>
      <c r="F3850"/>
      <c r="G3850" s="12"/>
      <c r="H3850" s="12"/>
      <c r="I3850" s="12"/>
      <c r="J3850" s="12"/>
    </row>
    <row r="3851" spans="5:10" x14ac:dyDescent="0.25">
      <c r="E3851"/>
      <c r="F3851"/>
      <c r="G3851" s="12"/>
      <c r="H3851" s="12"/>
      <c r="I3851" s="12"/>
      <c r="J3851" s="12"/>
    </row>
    <row r="3852" spans="5:10" x14ac:dyDescent="0.25">
      <c r="E3852"/>
      <c r="F3852"/>
      <c r="G3852" s="12"/>
      <c r="H3852" s="12"/>
      <c r="I3852" s="12"/>
      <c r="J3852" s="12"/>
    </row>
    <row r="3853" spans="5:10" x14ac:dyDescent="0.25">
      <c r="E3853"/>
      <c r="F3853"/>
      <c r="G3853" s="12"/>
      <c r="H3853" s="12"/>
      <c r="I3853" s="12"/>
      <c r="J3853" s="12"/>
    </row>
    <row r="3854" spans="5:10" x14ac:dyDescent="0.25">
      <c r="E3854"/>
      <c r="F3854"/>
      <c r="G3854" s="12"/>
      <c r="H3854" s="12"/>
      <c r="I3854" s="12"/>
      <c r="J3854" s="12"/>
    </row>
    <row r="3855" spans="5:10" x14ac:dyDescent="0.25">
      <c r="E3855"/>
      <c r="F3855"/>
      <c r="G3855" s="12"/>
      <c r="H3855" s="12"/>
      <c r="I3855" s="12"/>
      <c r="J3855" s="12"/>
    </row>
    <row r="3856" spans="5:10" x14ac:dyDescent="0.25">
      <c r="E3856"/>
      <c r="F3856"/>
      <c r="G3856" s="12"/>
      <c r="H3856" s="12"/>
      <c r="I3856" s="12"/>
      <c r="J3856" s="12"/>
    </row>
    <row r="3857" spans="5:10" x14ac:dyDescent="0.25">
      <c r="E3857"/>
      <c r="F3857"/>
      <c r="G3857" s="12"/>
      <c r="H3857" s="12"/>
      <c r="I3857" s="12"/>
      <c r="J3857" s="12"/>
    </row>
    <row r="3858" spans="5:10" x14ac:dyDescent="0.25">
      <c r="E3858"/>
      <c r="F3858"/>
      <c r="G3858" s="12"/>
      <c r="H3858" s="12"/>
      <c r="I3858" s="12"/>
      <c r="J3858" s="12"/>
    </row>
    <row r="3859" spans="5:10" x14ac:dyDescent="0.25">
      <c r="E3859"/>
      <c r="F3859"/>
      <c r="G3859" s="12"/>
      <c r="H3859" s="12"/>
      <c r="I3859" s="12"/>
      <c r="J3859" s="12"/>
    </row>
    <row r="3860" spans="5:10" x14ac:dyDescent="0.25">
      <c r="E3860"/>
      <c r="F3860"/>
      <c r="G3860" s="12"/>
      <c r="H3860" s="12"/>
      <c r="I3860" s="12"/>
      <c r="J3860" s="12"/>
    </row>
    <row r="3861" spans="5:10" x14ac:dyDescent="0.25">
      <c r="E3861"/>
      <c r="F3861"/>
      <c r="G3861" s="12"/>
      <c r="H3861" s="12"/>
      <c r="I3861" s="12"/>
      <c r="J3861" s="12"/>
    </row>
    <row r="3862" spans="5:10" x14ac:dyDescent="0.25">
      <c r="E3862"/>
      <c r="F3862"/>
      <c r="G3862" s="12"/>
      <c r="H3862" s="12"/>
      <c r="I3862" s="12"/>
      <c r="J3862" s="12"/>
    </row>
    <row r="3863" spans="5:10" x14ac:dyDescent="0.25">
      <c r="E3863"/>
      <c r="F3863"/>
      <c r="G3863" s="12"/>
      <c r="H3863" s="12"/>
      <c r="I3863" s="12"/>
      <c r="J3863" s="12"/>
    </row>
    <row r="3864" spans="5:10" x14ac:dyDescent="0.25">
      <c r="E3864"/>
      <c r="F3864"/>
      <c r="G3864" s="12"/>
      <c r="H3864" s="12"/>
      <c r="I3864" s="12"/>
      <c r="J3864" s="12"/>
    </row>
    <row r="3865" spans="5:10" x14ac:dyDescent="0.25">
      <c r="E3865"/>
      <c r="F3865"/>
      <c r="G3865" s="12"/>
      <c r="H3865" s="12"/>
      <c r="I3865" s="12"/>
      <c r="J3865" s="12"/>
    </row>
    <row r="3866" spans="5:10" x14ac:dyDescent="0.25">
      <c r="E3866"/>
      <c r="F3866"/>
      <c r="G3866" s="12"/>
      <c r="H3866" s="12"/>
      <c r="I3866" s="12"/>
      <c r="J3866" s="12"/>
    </row>
    <row r="3867" spans="5:10" x14ac:dyDescent="0.25">
      <c r="E3867"/>
      <c r="F3867"/>
      <c r="G3867" s="12"/>
      <c r="H3867" s="12"/>
      <c r="I3867" s="12"/>
      <c r="J3867" s="12"/>
    </row>
    <row r="3868" spans="5:10" x14ac:dyDescent="0.25">
      <c r="E3868"/>
      <c r="F3868"/>
      <c r="G3868" s="12"/>
      <c r="H3868" s="12"/>
      <c r="I3868" s="12"/>
      <c r="J3868" s="12"/>
    </row>
    <row r="3869" spans="5:10" x14ac:dyDescent="0.25">
      <c r="E3869"/>
      <c r="F3869"/>
      <c r="G3869" s="12"/>
      <c r="H3869" s="12"/>
      <c r="I3869" s="12"/>
      <c r="J3869" s="12"/>
    </row>
    <row r="3870" spans="5:10" x14ac:dyDescent="0.25">
      <c r="E3870"/>
      <c r="F3870"/>
      <c r="G3870" s="12"/>
      <c r="H3870" s="12"/>
      <c r="I3870" s="12"/>
      <c r="J3870" s="12"/>
    </row>
    <row r="3871" spans="5:10" x14ac:dyDescent="0.25">
      <c r="E3871"/>
      <c r="F3871"/>
      <c r="G3871" s="12"/>
      <c r="H3871" s="12"/>
      <c r="I3871" s="12"/>
      <c r="J3871" s="12"/>
    </row>
    <row r="3872" spans="5:10" x14ac:dyDescent="0.25">
      <c r="E3872"/>
      <c r="F3872"/>
      <c r="G3872" s="12"/>
      <c r="H3872" s="12"/>
      <c r="I3872" s="12"/>
      <c r="J3872" s="12"/>
    </row>
    <row r="3873" spans="5:10" x14ac:dyDescent="0.25">
      <c r="E3873"/>
      <c r="F3873"/>
      <c r="G3873" s="12"/>
      <c r="H3873" s="12"/>
      <c r="I3873" s="12"/>
      <c r="J3873" s="12"/>
    </row>
    <row r="3874" spans="5:10" x14ac:dyDescent="0.25">
      <c r="E3874"/>
      <c r="F3874"/>
      <c r="G3874" s="12"/>
      <c r="H3874" s="12"/>
      <c r="I3874" s="12"/>
      <c r="J3874" s="12"/>
    </row>
    <row r="3875" spans="5:10" x14ac:dyDescent="0.25">
      <c r="E3875"/>
      <c r="F3875"/>
      <c r="G3875" s="12"/>
      <c r="H3875" s="12"/>
      <c r="I3875" s="12"/>
      <c r="J3875" s="12"/>
    </row>
    <row r="3876" spans="5:10" x14ac:dyDescent="0.25">
      <c r="E3876"/>
      <c r="F3876"/>
      <c r="G3876" s="12"/>
      <c r="H3876" s="12"/>
      <c r="I3876" s="12"/>
      <c r="J3876" s="12"/>
    </row>
    <row r="3877" spans="5:10" x14ac:dyDescent="0.25">
      <c r="E3877"/>
      <c r="F3877"/>
      <c r="G3877" s="12"/>
      <c r="H3877" s="12"/>
      <c r="I3877" s="12"/>
      <c r="J3877" s="12"/>
    </row>
    <row r="3878" spans="5:10" x14ac:dyDescent="0.25">
      <c r="E3878"/>
      <c r="F3878"/>
      <c r="G3878" s="12"/>
      <c r="H3878" s="12"/>
      <c r="I3878" s="12"/>
      <c r="J3878" s="12"/>
    </row>
    <row r="3879" spans="5:10" x14ac:dyDescent="0.25">
      <c r="E3879"/>
      <c r="F3879"/>
      <c r="G3879" s="12"/>
      <c r="H3879" s="12"/>
      <c r="I3879" s="12"/>
      <c r="J3879" s="12"/>
    </row>
    <row r="3880" spans="5:10" x14ac:dyDescent="0.25">
      <c r="E3880"/>
      <c r="F3880"/>
      <c r="G3880" s="12"/>
      <c r="H3880" s="12"/>
      <c r="I3880" s="12"/>
      <c r="J3880" s="12"/>
    </row>
    <row r="3881" spans="5:10" x14ac:dyDescent="0.25">
      <c r="E3881"/>
      <c r="F3881"/>
      <c r="G3881" s="12"/>
      <c r="H3881" s="12"/>
      <c r="I3881" s="12"/>
      <c r="J3881" s="12"/>
    </row>
    <row r="3882" spans="5:10" x14ac:dyDescent="0.25">
      <c r="E3882"/>
      <c r="F3882"/>
      <c r="G3882" s="12"/>
      <c r="H3882" s="12"/>
      <c r="I3882" s="12"/>
      <c r="J3882" s="12"/>
    </row>
    <row r="3883" spans="5:10" x14ac:dyDescent="0.25">
      <c r="E3883"/>
      <c r="F3883"/>
      <c r="G3883" s="12"/>
      <c r="H3883" s="12"/>
      <c r="I3883" s="12"/>
      <c r="J3883" s="12"/>
    </row>
    <row r="3884" spans="5:10" x14ac:dyDescent="0.25">
      <c r="E3884"/>
      <c r="F3884"/>
      <c r="G3884" s="12"/>
      <c r="H3884" s="12"/>
      <c r="I3884" s="12"/>
      <c r="J3884" s="12"/>
    </row>
    <row r="3885" spans="5:10" x14ac:dyDescent="0.25">
      <c r="E3885"/>
      <c r="F3885"/>
      <c r="G3885" s="12"/>
      <c r="H3885" s="12"/>
      <c r="I3885" s="12"/>
      <c r="J3885" s="12"/>
    </row>
    <row r="3886" spans="5:10" x14ac:dyDescent="0.25">
      <c r="E3886"/>
      <c r="F3886"/>
      <c r="G3886" s="12"/>
      <c r="H3886" s="12"/>
      <c r="I3886" s="12"/>
      <c r="J3886" s="12"/>
    </row>
    <row r="3887" spans="5:10" x14ac:dyDescent="0.25">
      <c r="E3887"/>
      <c r="F3887"/>
      <c r="G3887" s="12"/>
      <c r="H3887" s="12"/>
      <c r="I3887" s="12"/>
      <c r="J3887" s="12"/>
    </row>
    <row r="3888" spans="5:10" x14ac:dyDescent="0.25">
      <c r="E3888"/>
      <c r="F3888"/>
      <c r="G3888" s="12"/>
      <c r="H3888" s="12"/>
      <c r="I3888" s="12"/>
      <c r="J3888" s="12"/>
    </row>
    <row r="3889" spans="5:10" x14ac:dyDescent="0.25">
      <c r="E3889"/>
      <c r="F3889"/>
      <c r="G3889" s="12"/>
      <c r="H3889" s="12"/>
      <c r="I3889" s="12"/>
      <c r="J3889" s="12"/>
    </row>
    <row r="3890" spans="5:10" x14ac:dyDescent="0.25">
      <c r="E3890"/>
      <c r="F3890"/>
      <c r="G3890" s="12"/>
      <c r="H3890" s="12"/>
      <c r="I3890" s="12"/>
      <c r="J3890" s="12"/>
    </row>
    <row r="3891" spans="5:10" x14ac:dyDescent="0.25">
      <c r="E3891"/>
      <c r="F3891"/>
      <c r="G3891" s="12"/>
      <c r="H3891" s="12"/>
      <c r="I3891" s="12"/>
      <c r="J3891" s="12"/>
    </row>
    <row r="3892" spans="5:10" x14ac:dyDescent="0.25">
      <c r="E3892"/>
      <c r="F3892"/>
      <c r="G3892" s="12"/>
      <c r="H3892" s="12"/>
      <c r="I3892" s="12"/>
      <c r="J3892" s="12"/>
    </row>
    <row r="3893" spans="5:10" x14ac:dyDescent="0.25">
      <c r="E3893"/>
      <c r="F3893"/>
      <c r="G3893" s="12"/>
      <c r="H3893" s="12"/>
      <c r="I3893" s="12"/>
      <c r="J3893" s="12"/>
    </row>
    <row r="3894" spans="5:10" x14ac:dyDescent="0.25">
      <c r="E3894"/>
      <c r="F3894"/>
      <c r="G3894" s="12"/>
      <c r="H3894" s="12"/>
      <c r="I3894" s="12"/>
      <c r="J3894" s="12"/>
    </row>
    <row r="3895" spans="5:10" x14ac:dyDescent="0.25">
      <c r="E3895"/>
      <c r="F3895"/>
      <c r="G3895" s="12"/>
      <c r="H3895" s="12"/>
      <c r="I3895" s="12"/>
      <c r="J3895" s="12"/>
    </row>
    <row r="3896" spans="5:10" x14ac:dyDescent="0.25">
      <c r="E3896"/>
      <c r="F3896"/>
      <c r="G3896" s="12"/>
      <c r="H3896" s="12"/>
      <c r="I3896" s="12"/>
      <c r="J3896" s="12"/>
    </row>
    <row r="3897" spans="5:10" x14ac:dyDescent="0.25">
      <c r="E3897"/>
      <c r="F3897"/>
      <c r="G3897" s="12"/>
      <c r="H3897" s="12"/>
      <c r="I3897" s="12"/>
      <c r="J3897" s="12"/>
    </row>
    <row r="3898" spans="5:10" x14ac:dyDescent="0.25">
      <c r="E3898"/>
      <c r="F3898"/>
      <c r="G3898" s="12"/>
      <c r="H3898" s="12"/>
      <c r="I3898" s="12"/>
      <c r="J3898" s="12"/>
    </row>
    <row r="3899" spans="5:10" x14ac:dyDescent="0.25">
      <c r="E3899"/>
      <c r="F3899"/>
      <c r="G3899" s="12"/>
      <c r="H3899" s="12"/>
      <c r="I3899" s="12"/>
      <c r="J3899" s="12"/>
    </row>
    <row r="3900" spans="5:10" x14ac:dyDescent="0.25">
      <c r="E3900"/>
      <c r="F3900"/>
      <c r="G3900" s="12"/>
      <c r="H3900" s="12"/>
      <c r="I3900" s="12"/>
      <c r="J3900" s="12"/>
    </row>
    <row r="3901" spans="5:10" x14ac:dyDescent="0.25">
      <c r="E3901"/>
      <c r="F3901"/>
      <c r="G3901" s="12"/>
      <c r="H3901" s="12"/>
      <c r="I3901" s="12"/>
      <c r="J3901" s="12"/>
    </row>
    <row r="3902" spans="5:10" x14ac:dyDescent="0.25">
      <c r="E3902"/>
      <c r="F3902"/>
      <c r="G3902" s="12"/>
      <c r="H3902" s="12"/>
      <c r="I3902" s="12"/>
      <c r="J3902" s="12"/>
    </row>
    <row r="3903" spans="5:10" x14ac:dyDescent="0.25">
      <c r="E3903"/>
      <c r="F3903"/>
      <c r="G3903" s="12"/>
      <c r="H3903" s="12"/>
      <c r="I3903" s="12"/>
      <c r="J3903" s="12"/>
    </row>
    <row r="3904" spans="5:10" x14ac:dyDescent="0.25">
      <c r="E3904"/>
      <c r="F3904"/>
      <c r="G3904" s="12"/>
      <c r="H3904" s="12"/>
      <c r="I3904" s="12"/>
      <c r="J3904" s="12"/>
    </row>
    <row r="3905" spans="5:10" x14ac:dyDescent="0.25">
      <c r="E3905"/>
      <c r="F3905"/>
      <c r="G3905" s="12"/>
      <c r="H3905" s="12"/>
      <c r="I3905" s="12"/>
      <c r="J3905" s="12"/>
    </row>
    <row r="3906" spans="5:10" x14ac:dyDescent="0.25">
      <c r="E3906"/>
      <c r="F3906"/>
      <c r="G3906" s="12"/>
      <c r="H3906" s="12"/>
      <c r="I3906" s="12"/>
      <c r="J3906" s="12"/>
    </row>
    <row r="3907" spans="5:10" x14ac:dyDescent="0.25">
      <c r="E3907"/>
      <c r="F3907"/>
      <c r="G3907" s="12"/>
      <c r="H3907" s="12"/>
      <c r="I3907" s="12"/>
      <c r="J3907" s="12"/>
    </row>
    <row r="3908" spans="5:10" x14ac:dyDescent="0.25">
      <c r="E3908"/>
      <c r="F3908"/>
      <c r="G3908" s="12"/>
      <c r="H3908" s="12"/>
      <c r="I3908" s="12"/>
      <c r="J3908" s="12"/>
    </row>
    <row r="3909" spans="5:10" x14ac:dyDescent="0.25">
      <c r="E3909"/>
      <c r="F3909"/>
      <c r="G3909" s="12"/>
      <c r="H3909" s="12"/>
      <c r="I3909" s="12"/>
      <c r="J3909" s="12"/>
    </row>
    <row r="3910" spans="5:10" x14ac:dyDescent="0.25">
      <c r="E3910"/>
      <c r="F3910"/>
      <c r="G3910" s="12"/>
      <c r="H3910" s="12"/>
      <c r="I3910" s="12"/>
      <c r="J3910" s="12"/>
    </row>
    <row r="3911" spans="5:10" x14ac:dyDescent="0.25">
      <c r="E3911"/>
      <c r="F3911"/>
      <c r="G3911" s="12"/>
      <c r="H3911" s="12"/>
      <c r="I3911" s="12"/>
      <c r="J3911" s="12"/>
    </row>
    <row r="3912" spans="5:10" x14ac:dyDescent="0.25">
      <c r="E3912"/>
      <c r="F3912"/>
      <c r="G3912" s="12"/>
      <c r="H3912" s="12"/>
      <c r="I3912" s="12"/>
      <c r="J3912" s="12"/>
    </row>
    <row r="3913" spans="5:10" x14ac:dyDescent="0.25">
      <c r="E3913"/>
      <c r="F3913"/>
      <c r="G3913" s="12"/>
      <c r="H3913" s="12"/>
      <c r="I3913" s="12"/>
      <c r="J3913" s="12"/>
    </row>
    <row r="3914" spans="5:10" x14ac:dyDescent="0.25">
      <c r="E3914"/>
      <c r="F3914"/>
      <c r="G3914" s="12"/>
      <c r="H3914" s="12"/>
      <c r="I3914" s="12"/>
      <c r="J3914" s="12"/>
    </row>
    <row r="3915" spans="5:10" x14ac:dyDescent="0.25">
      <c r="E3915"/>
      <c r="F3915"/>
      <c r="G3915" s="12"/>
      <c r="H3915" s="12"/>
      <c r="I3915" s="12"/>
      <c r="J3915" s="12"/>
    </row>
    <row r="3916" spans="5:10" x14ac:dyDescent="0.25">
      <c r="E3916"/>
      <c r="F3916"/>
      <c r="G3916" s="12"/>
      <c r="H3916" s="12"/>
      <c r="I3916" s="12"/>
      <c r="J3916" s="12"/>
    </row>
    <row r="3917" spans="5:10" x14ac:dyDescent="0.25">
      <c r="E3917"/>
      <c r="F3917"/>
      <c r="G3917" s="12"/>
      <c r="H3917" s="12"/>
      <c r="I3917" s="12"/>
      <c r="J3917" s="12"/>
    </row>
    <row r="3918" spans="5:10" x14ac:dyDescent="0.25">
      <c r="E3918"/>
      <c r="F3918"/>
      <c r="G3918" s="12"/>
      <c r="H3918" s="12"/>
      <c r="I3918" s="12"/>
      <c r="J3918" s="12"/>
    </row>
    <row r="3919" spans="5:10" x14ac:dyDescent="0.25">
      <c r="E3919"/>
      <c r="F3919"/>
      <c r="G3919" s="12"/>
      <c r="H3919" s="12"/>
      <c r="I3919" s="12"/>
      <c r="J3919" s="12"/>
    </row>
    <row r="3920" spans="5:10" x14ac:dyDescent="0.25">
      <c r="E3920"/>
      <c r="F3920"/>
      <c r="G3920" s="12"/>
      <c r="H3920" s="12"/>
      <c r="I3920" s="12"/>
      <c r="J3920" s="12"/>
    </row>
    <row r="3921" spans="5:10" x14ac:dyDescent="0.25">
      <c r="E3921"/>
      <c r="F3921"/>
      <c r="G3921" s="12"/>
      <c r="H3921" s="12"/>
      <c r="I3921" s="12"/>
      <c r="J3921" s="12"/>
    </row>
    <row r="3922" spans="5:10" x14ac:dyDescent="0.25">
      <c r="E3922"/>
      <c r="F3922"/>
      <c r="G3922" s="12"/>
      <c r="H3922" s="12"/>
      <c r="I3922" s="12"/>
      <c r="J3922" s="12"/>
    </row>
    <row r="3923" spans="5:10" x14ac:dyDescent="0.25">
      <c r="E3923"/>
      <c r="F3923"/>
      <c r="G3923" s="12"/>
      <c r="H3923" s="12"/>
      <c r="I3923" s="12"/>
      <c r="J3923" s="12"/>
    </row>
    <row r="3924" spans="5:10" x14ac:dyDescent="0.25">
      <c r="E3924"/>
      <c r="F3924"/>
      <c r="G3924" s="12"/>
      <c r="H3924" s="12"/>
      <c r="I3924" s="12"/>
      <c r="J3924" s="12"/>
    </row>
    <row r="3925" spans="5:10" x14ac:dyDescent="0.25">
      <c r="E3925"/>
      <c r="F3925"/>
      <c r="G3925" s="12"/>
      <c r="H3925" s="12"/>
      <c r="I3925" s="12"/>
      <c r="J3925" s="12"/>
    </row>
    <row r="3926" spans="5:10" x14ac:dyDescent="0.25">
      <c r="E3926"/>
      <c r="F3926"/>
      <c r="G3926" s="12"/>
      <c r="H3926" s="12"/>
      <c r="I3926" s="12"/>
      <c r="J3926" s="12"/>
    </row>
    <row r="3927" spans="5:10" x14ac:dyDescent="0.25">
      <c r="E3927"/>
      <c r="F3927"/>
      <c r="G3927" s="12"/>
      <c r="H3927" s="12"/>
      <c r="I3927" s="12"/>
      <c r="J3927" s="12"/>
    </row>
    <row r="3928" spans="5:10" x14ac:dyDescent="0.25">
      <c r="E3928"/>
      <c r="F3928"/>
      <c r="G3928" s="12"/>
      <c r="H3928" s="12"/>
      <c r="I3928" s="12"/>
      <c r="J3928" s="12"/>
    </row>
    <row r="3929" spans="5:10" x14ac:dyDescent="0.25">
      <c r="E3929"/>
      <c r="F3929"/>
      <c r="G3929" s="12"/>
      <c r="H3929" s="12"/>
      <c r="I3929" s="12"/>
      <c r="J3929" s="12"/>
    </row>
    <row r="3930" spans="5:10" x14ac:dyDescent="0.25">
      <c r="E3930"/>
      <c r="F3930"/>
      <c r="G3930" s="12"/>
      <c r="H3930" s="12"/>
      <c r="I3930" s="12"/>
      <c r="J3930" s="12"/>
    </row>
    <row r="3931" spans="5:10" x14ac:dyDescent="0.25">
      <c r="E3931"/>
      <c r="F3931"/>
      <c r="G3931" s="12"/>
      <c r="H3931" s="12"/>
      <c r="I3931" s="12"/>
      <c r="J3931" s="12"/>
    </row>
    <row r="3932" spans="5:10" x14ac:dyDescent="0.25">
      <c r="E3932"/>
      <c r="F3932"/>
      <c r="G3932" s="12"/>
      <c r="H3932" s="12"/>
      <c r="I3932" s="12"/>
      <c r="J3932" s="12"/>
    </row>
    <row r="3933" spans="5:10" x14ac:dyDescent="0.25">
      <c r="E3933"/>
      <c r="F3933"/>
      <c r="G3933" s="12"/>
      <c r="H3933" s="12"/>
      <c r="I3933" s="12"/>
      <c r="J3933" s="12"/>
    </row>
    <row r="3934" spans="5:10" x14ac:dyDescent="0.25">
      <c r="E3934"/>
      <c r="F3934"/>
      <c r="G3934" s="12"/>
      <c r="H3934" s="12"/>
      <c r="I3934" s="12"/>
      <c r="J3934" s="12"/>
    </row>
    <row r="3935" spans="5:10" x14ac:dyDescent="0.25">
      <c r="E3935"/>
      <c r="F3935"/>
      <c r="G3935" s="12"/>
      <c r="H3935" s="12"/>
      <c r="I3935" s="12"/>
      <c r="J3935" s="12"/>
    </row>
    <row r="3936" spans="5:10" x14ac:dyDescent="0.25">
      <c r="E3936"/>
      <c r="F3936"/>
      <c r="G3936" s="12"/>
      <c r="H3936" s="12"/>
      <c r="I3936" s="12"/>
      <c r="J3936" s="12"/>
    </row>
    <row r="3937" spans="5:10" x14ac:dyDescent="0.25">
      <c r="E3937"/>
      <c r="F3937"/>
      <c r="G3937" s="12"/>
      <c r="H3937" s="12"/>
      <c r="I3937" s="12"/>
      <c r="J3937" s="12"/>
    </row>
    <row r="3938" spans="5:10" x14ac:dyDescent="0.25">
      <c r="E3938"/>
      <c r="F3938"/>
      <c r="G3938" s="12"/>
      <c r="H3938" s="12"/>
      <c r="I3938" s="12"/>
      <c r="J3938" s="12"/>
    </row>
    <row r="3939" spans="5:10" x14ac:dyDescent="0.25">
      <c r="E3939"/>
      <c r="F3939"/>
      <c r="G3939" s="12"/>
      <c r="H3939" s="12"/>
      <c r="I3939" s="12"/>
      <c r="J3939" s="12"/>
    </row>
    <row r="3940" spans="5:10" x14ac:dyDescent="0.25">
      <c r="E3940"/>
      <c r="F3940"/>
      <c r="G3940" s="12"/>
      <c r="H3940" s="12"/>
      <c r="I3940" s="12"/>
      <c r="J3940" s="12"/>
    </row>
    <row r="3941" spans="5:10" x14ac:dyDescent="0.25">
      <c r="E3941"/>
      <c r="F3941"/>
      <c r="G3941" s="12"/>
      <c r="H3941" s="12"/>
      <c r="I3941" s="12"/>
      <c r="J3941" s="12"/>
    </row>
    <row r="3942" spans="5:10" x14ac:dyDescent="0.25">
      <c r="E3942"/>
      <c r="F3942"/>
      <c r="G3942" s="12"/>
      <c r="H3942" s="12"/>
      <c r="I3942" s="12"/>
      <c r="J3942" s="12"/>
    </row>
    <row r="3943" spans="5:10" x14ac:dyDescent="0.25">
      <c r="E3943"/>
      <c r="F3943"/>
      <c r="G3943" s="12"/>
      <c r="H3943" s="12"/>
      <c r="I3943" s="12"/>
      <c r="J3943" s="12"/>
    </row>
    <row r="3944" spans="5:10" x14ac:dyDescent="0.25">
      <c r="E3944"/>
      <c r="F3944"/>
      <c r="G3944" s="12"/>
      <c r="H3944" s="12"/>
      <c r="I3944" s="12"/>
      <c r="J3944" s="12"/>
    </row>
    <row r="3945" spans="5:10" x14ac:dyDescent="0.25">
      <c r="E3945"/>
      <c r="F3945"/>
      <c r="G3945" s="12"/>
      <c r="H3945" s="12"/>
      <c r="I3945" s="12"/>
      <c r="J3945" s="12"/>
    </row>
    <row r="3946" spans="5:10" x14ac:dyDescent="0.25">
      <c r="E3946"/>
      <c r="F3946"/>
      <c r="G3946" s="12"/>
      <c r="H3946" s="12"/>
      <c r="I3946" s="12"/>
      <c r="J3946" s="12"/>
    </row>
    <row r="3947" spans="5:10" x14ac:dyDescent="0.25">
      <c r="E3947"/>
      <c r="F3947"/>
      <c r="G3947" s="12"/>
      <c r="H3947" s="12"/>
      <c r="I3947" s="12"/>
      <c r="J3947" s="12"/>
    </row>
    <row r="3948" spans="5:10" x14ac:dyDescent="0.25">
      <c r="E3948"/>
      <c r="F3948"/>
      <c r="G3948" s="12"/>
      <c r="H3948" s="12"/>
      <c r="I3948" s="12"/>
      <c r="J3948" s="12"/>
    </row>
    <row r="3949" spans="5:10" x14ac:dyDescent="0.25">
      <c r="E3949"/>
      <c r="F3949"/>
      <c r="G3949" s="12"/>
      <c r="H3949" s="12"/>
      <c r="I3949" s="12"/>
      <c r="J3949" s="12"/>
    </row>
    <row r="3950" spans="5:10" x14ac:dyDescent="0.25">
      <c r="E3950"/>
      <c r="F3950"/>
      <c r="G3950" s="12"/>
      <c r="H3950" s="12"/>
      <c r="I3950" s="12"/>
      <c r="J3950" s="12"/>
    </row>
    <row r="3951" spans="5:10" x14ac:dyDescent="0.25">
      <c r="E3951"/>
      <c r="F3951"/>
      <c r="G3951" s="12"/>
      <c r="H3951" s="12"/>
      <c r="I3951" s="12"/>
      <c r="J3951" s="12"/>
    </row>
    <row r="3952" spans="5:10" x14ac:dyDescent="0.25">
      <c r="E3952"/>
      <c r="F3952"/>
      <c r="G3952" s="12"/>
      <c r="H3952" s="12"/>
      <c r="I3952" s="12"/>
      <c r="J3952" s="12"/>
    </row>
    <row r="3953" spans="5:10" x14ac:dyDescent="0.25">
      <c r="E3953"/>
      <c r="F3953"/>
      <c r="G3953" s="12"/>
      <c r="H3953" s="12"/>
      <c r="I3953" s="12"/>
      <c r="J3953" s="12"/>
    </row>
    <row r="3954" spans="5:10" x14ac:dyDescent="0.25">
      <c r="E3954"/>
      <c r="F3954"/>
      <c r="G3954" s="12"/>
      <c r="H3954" s="12"/>
      <c r="I3954" s="12"/>
      <c r="J3954" s="12"/>
    </row>
    <row r="3955" spans="5:10" x14ac:dyDescent="0.25">
      <c r="E3955"/>
      <c r="F3955"/>
      <c r="G3955" s="12"/>
      <c r="H3955" s="12"/>
      <c r="I3955" s="12"/>
      <c r="J3955" s="12"/>
    </row>
    <row r="3956" spans="5:10" x14ac:dyDescent="0.25">
      <c r="E3956"/>
      <c r="F3956"/>
      <c r="G3956" s="12"/>
      <c r="H3956" s="12"/>
      <c r="I3956" s="12"/>
      <c r="J3956" s="12"/>
    </row>
    <row r="3957" spans="5:10" x14ac:dyDescent="0.25">
      <c r="E3957"/>
      <c r="F3957"/>
      <c r="G3957" s="12"/>
      <c r="H3957" s="12"/>
      <c r="I3957" s="12"/>
      <c r="J3957" s="12"/>
    </row>
    <row r="3958" spans="5:10" x14ac:dyDescent="0.25">
      <c r="E3958"/>
      <c r="F3958"/>
      <c r="G3958" s="12"/>
      <c r="H3958" s="12"/>
      <c r="I3958" s="12"/>
      <c r="J3958" s="12"/>
    </row>
    <row r="3959" spans="5:10" x14ac:dyDescent="0.25">
      <c r="E3959"/>
      <c r="F3959"/>
      <c r="G3959" s="12"/>
      <c r="H3959" s="12"/>
      <c r="I3959" s="12"/>
      <c r="J3959" s="12"/>
    </row>
    <row r="3960" spans="5:10" x14ac:dyDescent="0.25">
      <c r="E3960"/>
      <c r="F3960"/>
      <c r="G3960" s="12"/>
      <c r="H3960" s="12"/>
      <c r="I3960" s="12"/>
      <c r="J3960" s="12"/>
    </row>
    <row r="3961" spans="5:10" x14ac:dyDescent="0.25">
      <c r="E3961"/>
      <c r="F3961"/>
      <c r="G3961" s="12"/>
      <c r="H3961" s="12"/>
      <c r="I3961" s="12"/>
      <c r="J3961" s="12"/>
    </row>
    <row r="3962" spans="5:10" x14ac:dyDescent="0.25">
      <c r="E3962"/>
      <c r="F3962"/>
      <c r="G3962" s="12"/>
      <c r="H3962" s="12"/>
      <c r="I3962" s="12"/>
      <c r="J3962" s="12"/>
    </row>
    <row r="3963" spans="5:10" x14ac:dyDescent="0.25">
      <c r="E3963"/>
      <c r="F3963"/>
      <c r="G3963" s="12"/>
      <c r="H3963" s="12"/>
      <c r="I3963" s="12"/>
      <c r="J3963" s="12"/>
    </row>
    <row r="3964" spans="5:10" x14ac:dyDescent="0.25">
      <c r="E3964"/>
      <c r="F3964"/>
      <c r="G3964" s="12"/>
      <c r="H3964" s="12"/>
      <c r="I3964" s="12"/>
      <c r="J3964" s="12"/>
    </row>
    <row r="3965" spans="5:10" x14ac:dyDescent="0.25">
      <c r="E3965"/>
      <c r="F3965"/>
      <c r="G3965" s="12"/>
      <c r="H3965" s="12"/>
      <c r="I3965" s="12"/>
      <c r="J3965" s="12"/>
    </row>
    <row r="3966" spans="5:10" x14ac:dyDescent="0.25">
      <c r="E3966"/>
      <c r="F3966"/>
      <c r="G3966" s="12"/>
      <c r="H3966" s="12"/>
      <c r="I3966" s="12"/>
      <c r="J3966" s="12"/>
    </row>
    <row r="3967" spans="5:10" x14ac:dyDescent="0.25">
      <c r="E3967"/>
      <c r="F3967"/>
      <c r="G3967" s="12"/>
      <c r="H3967" s="12"/>
      <c r="I3967" s="12"/>
      <c r="J3967" s="12"/>
    </row>
    <row r="3968" spans="5:10" x14ac:dyDescent="0.25">
      <c r="E3968"/>
      <c r="F3968"/>
      <c r="G3968" s="12"/>
      <c r="H3968" s="12"/>
      <c r="I3968" s="12"/>
      <c r="J3968" s="12"/>
    </row>
    <row r="3969" spans="5:10" x14ac:dyDescent="0.25">
      <c r="E3969"/>
      <c r="F3969"/>
      <c r="G3969" s="12"/>
      <c r="H3969" s="12"/>
      <c r="I3969" s="12"/>
      <c r="J3969" s="12"/>
    </row>
    <row r="3970" spans="5:10" x14ac:dyDescent="0.25">
      <c r="E3970"/>
      <c r="F3970"/>
      <c r="G3970" s="12"/>
      <c r="H3970" s="12"/>
      <c r="I3970" s="12"/>
      <c r="J3970" s="12"/>
    </row>
    <row r="3971" spans="5:10" x14ac:dyDescent="0.25">
      <c r="E3971"/>
      <c r="F3971"/>
      <c r="G3971" s="12"/>
      <c r="H3971" s="12"/>
      <c r="I3971" s="12"/>
      <c r="J3971" s="12"/>
    </row>
    <row r="3972" spans="5:10" x14ac:dyDescent="0.25">
      <c r="E3972"/>
      <c r="F3972"/>
      <c r="G3972" s="12"/>
      <c r="H3972" s="12"/>
      <c r="I3972" s="12"/>
      <c r="J3972" s="12"/>
    </row>
    <row r="3973" spans="5:10" x14ac:dyDescent="0.25">
      <c r="E3973"/>
      <c r="F3973"/>
      <c r="G3973" s="12"/>
      <c r="H3973" s="12"/>
      <c r="I3973" s="12"/>
      <c r="J3973" s="12"/>
    </row>
    <row r="3974" spans="5:10" x14ac:dyDescent="0.25">
      <c r="E3974"/>
      <c r="F3974"/>
      <c r="G3974" s="12"/>
      <c r="H3974" s="12"/>
      <c r="I3974" s="12"/>
      <c r="J3974" s="12"/>
    </row>
    <row r="3975" spans="5:10" x14ac:dyDescent="0.25">
      <c r="E3975"/>
      <c r="F3975"/>
      <c r="G3975" s="12"/>
      <c r="H3975" s="12"/>
      <c r="I3975" s="12"/>
      <c r="J3975" s="12"/>
    </row>
    <row r="3976" spans="5:10" x14ac:dyDescent="0.25">
      <c r="E3976"/>
      <c r="F3976"/>
      <c r="G3976" s="12"/>
      <c r="H3976" s="12"/>
      <c r="I3976" s="12"/>
      <c r="J3976" s="12"/>
    </row>
    <row r="3977" spans="5:10" x14ac:dyDescent="0.25">
      <c r="E3977"/>
      <c r="F3977"/>
      <c r="G3977" s="12"/>
      <c r="H3977" s="12"/>
      <c r="I3977" s="12"/>
      <c r="J3977" s="12"/>
    </row>
    <row r="3978" spans="5:10" x14ac:dyDescent="0.25">
      <c r="E3978"/>
      <c r="F3978"/>
      <c r="G3978" s="12"/>
      <c r="H3978" s="12"/>
      <c r="I3978" s="12"/>
      <c r="J3978" s="12"/>
    </row>
    <row r="3979" spans="5:10" x14ac:dyDescent="0.25">
      <c r="E3979"/>
      <c r="F3979"/>
      <c r="G3979" s="12"/>
      <c r="H3979" s="12"/>
      <c r="I3979" s="12"/>
      <c r="J3979" s="12"/>
    </row>
    <row r="3980" spans="5:10" x14ac:dyDescent="0.25">
      <c r="E3980"/>
      <c r="F3980"/>
      <c r="G3980" s="12"/>
      <c r="H3980" s="12"/>
      <c r="I3980" s="12"/>
      <c r="J3980" s="12"/>
    </row>
    <row r="3981" spans="5:10" x14ac:dyDescent="0.25">
      <c r="E3981"/>
      <c r="F3981"/>
      <c r="G3981" s="12"/>
      <c r="H3981" s="12"/>
      <c r="I3981" s="12"/>
      <c r="J3981" s="12"/>
    </row>
    <row r="3982" spans="5:10" x14ac:dyDescent="0.25">
      <c r="E3982"/>
      <c r="F3982"/>
      <c r="G3982" s="12"/>
      <c r="H3982" s="12"/>
      <c r="I3982" s="12"/>
      <c r="J3982" s="12"/>
    </row>
    <row r="3983" spans="5:10" x14ac:dyDescent="0.25">
      <c r="E3983"/>
      <c r="F3983"/>
      <c r="G3983" s="12"/>
      <c r="H3983" s="12"/>
      <c r="I3983" s="12"/>
      <c r="J3983" s="12"/>
    </row>
    <row r="3984" spans="5:10" x14ac:dyDescent="0.25">
      <c r="E3984"/>
      <c r="F3984"/>
      <c r="G3984" s="12"/>
      <c r="H3984" s="12"/>
      <c r="I3984" s="12"/>
      <c r="J3984" s="12"/>
    </row>
    <row r="3985" spans="5:10" x14ac:dyDescent="0.25">
      <c r="E3985"/>
      <c r="F3985"/>
      <c r="G3985" s="12"/>
      <c r="H3985" s="12"/>
      <c r="I3985" s="12"/>
      <c r="J3985" s="12"/>
    </row>
    <row r="3986" spans="5:10" x14ac:dyDescent="0.25">
      <c r="E3986"/>
      <c r="F3986"/>
      <c r="G3986" s="12"/>
      <c r="H3986" s="12"/>
      <c r="I3986" s="12"/>
      <c r="J3986" s="12"/>
    </row>
    <row r="3987" spans="5:10" x14ac:dyDescent="0.25">
      <c r="E3987"/>
      <c r="F3987"/>
      <c r="G3987" s="12"/>
      <c r="H3987" s="12"/>
      <c r="I3987" s="12"/>
      <c r="J3987" s="12"/>
    </row>
    <row r="3988" spans="5:10" x14ac:dyDescent="0.25">
      <c r="E3988"/>
      <c r="F3988"/>
      <c r="G3988" s="12"/>
      <c r="H3988" s="12"/>
      <c r="I3988" s="12"/>
      <c r="J3988" s="12"/>
    </row>
    <row r="3989" spans="5:10" x14ac:dyDescent="0.25">
      <c r="E3989"/>
      <c r="F3989"/>
      <c r="G3989" s="12"/>
      <c r="H3989" s="12"/>
      <c r="I3989" s="12"/>
      <c r="J3989" s="12"/>
    </row>
    <row r="3990" spans="5:10" x14ac:dyDescent="0.25">
      <c r="E3990"/>
      <c r="F3990"/>
      <c r="G3990" s="12"/>
      <c r="H3990" s="12"/>
      <c r="I3990" s="12"/>
      <c r="J3990" s="12"/>
    </row>
    <row r="3991" spans="5:10" x14ac:dyDescent="0.25">
      <c r="E3991"/>
      <c r="F3991"/>
      <c r="G3991" s="12"/>
      <c r="H3991" s="12"/>
      <c r="I3991" s="12"/>
      <c r="J3991" s="12"/>
    </row>
    <row r="3992" spans="5:10" x14ac:dyDescent="0.25">
      <c r="E3992"/>
      <c r="F3992"/>
      <c r="G3992" s="12"/>
      <c r="H3992" s="12"/>
      <c r="I3992" s="12"/>
      <c r="J3992" s="12"/>
    </row>
    <row r="3993" spans="5:10" x14ac:dyDescent="0.25">
      <c r="E3993"/>
      <c r="F3993"/>
      <c r="G3993" s="12"/>
      <c r="H3993" s="12"/>
      <c r="I3993" s="12"/>
      <c r="J3993" s="12"/>
    </row>
    <row r="3994" spans="5:10" x14ac:dyDescent="0.25">
      <c r="E3994"/>
      <c r="F3994"/>
      <c r="G3994" s="12"/>
      <c r="H3994" s="12"/>
      <c r="I3994" s="12"/>
      <c r="J3994" s="12"/>
    </row>
    <row r="3995" spans="5:10" x14ac:dyDescent="0.25">
      <c r="E3995"/>
      <c r="F3995"/>
      <c r="G3995" s="12"/>
      <c r="H3995" s="12"/>
      <c r="I3995" s="12"/>
      <c r="J3995" s="12"/>
    </row>
    <row r="3996" spans="5:10" x14ac:dyDescent="0.25">
      <c r="E3996"/>
      <c r="F3996"/>
      <c r="G3996" s="12"/>
      <c r="H3996" s="12"/>
      <c r="I3996" s="12"/>
      <c r="J3996" s="12"/>
    </row>
    <row r="3997" spans="5:10" x14ac:dyDescent="0.25">
      <c r="E3997"/>
      <c r="F3997"/>
      <c r="G3997" s="12"/>
      <c r="H3997" s="12"/>
      <c r="I3997" s="12"/>
      <c r="J3997" s="12"/>
    </row>
    <row r="3998" spans="5:10" x14ac:dyDescent="0.25">
      <c r="E3998"/>
      <c r="F3998"/>
      <c r="G3998" s="12"/>
      <c r="H3998" s="12"/>
      <c r="I3998" s="12"/>
      <c r="J3998" s="12"/>
    </row>
    <row r="3999" spans="5:10" x14ac:dyDescent="0.25">
      <c r="E3999"/>
      <c r="F3999"/>
      <c r="G3999" s="12"/>
      <c r="H3999" s="12"/>
      <c r="I3999" s="12"/>
      <c r="J3999" s="12"/>
    </row>
    <row r="4000" spans="5:10" x14ac:dyDescent="0.25">
      <c r="E4000"/>
      <c r="F4000"/>
      <c r="G4000" s="12"/>
      <c r="H4000" s="12"/>
      <c r="I4000" s="12"/>
      <c r="J4000" s="12"/>
    </row>
    <row r="4001" spans="5:10" x14ac:dyDescent="0.25">
      <c r="E4001"/>
      <c r="F4001"/>
      <c r="G4001" s="12"/>
      <c r="H4001" s="12"/>
      <c r="I4001" s="12"/>
      <c r="J4001" s="12"/>
    </row>
    <row r="4002" spans="5:10" x14ac:dyDescent="0.25">
      <c r="E4002"/>
      <c r="F4002"/>
      <c r="G4002" s="12"/>
      <c r="H4002" s="12"/>
      <c r="I4002" s="12"/>
      <c r="J4002" s="12"/>
    </row>
    <row r="4003" spans="5:10" x14ac:dyDescent="0.25">
      <c r="E4003"/>
      <c r="F4003"/>
      <c r="G4003" s="12"/>
      <c r="H4003" s="12"/>
      <c r="I4003" s="12"/>
      <c r="J4003" s="12"/>
    </row>
    <row r="4004" spans="5:10" x14ac:dyDescent="0.25">
      <c r="E4004"/>
      <c r="F4004"/>
      <c r="G4004" s="12"/>
      <c r="H4004" s="12"/>
      <c r="I4004" s="12"/>
      <c r="J4004" s="12"/>
    </row>
    <row r="4005" spans="5:10" x14ac:dyDescent="0.25">
      <c r="E4005"/>
      <c r="F4005"/>
      <c r="G4005" s="12"/>
      <c r="H4005" s="12"/>
      <c r="I4005" s="12"/>
      <c r="J4005" s="12"/>
    </row>
    <row r="4006" spans="5:10" x14ac:dyDescent="0.25">
      <c r="E4006"/>
      <c r="F4006"/>
      <c r="G4006" s="12"/>
      <c r="H4006" s="12"/>
      <c r="I4006" s="12"/>
      <c r="J4006" s="12"/>
    </row>
    <row r="4007" spans="5:10" x14ac:dyDescent="0.25">
      <c r="E4007"/>
      <c r="F4007"/>
      <c r="G4007" s="12"/>
      <c r="H4007" s="12"/>
      <c r="I4007" s="12"/>
      <c r="J4007" s="12"/>
    </row>
    <row r="4008" spans="5:10" x14ac:dyDescent="0.25">
      <c r="E4008"/>
      <c r="F4008"/>
      <c r="G4008" s="12"/>
      <c r="H4008" s="12"/>
      <c r="I4008" s="12"/>
      <c r="J4008" s="12"/>
    </row>
    <row r="4009" spans="5:10" x14ac:dyDescent="0.25">
      <c r="E4009"/>
      <c r="F4009"/>
      <c r="G4009" s="12"/>
      <c r="H4009" s="12"/>
      <c r="I4009" s="12"/>
      <c r="J4009" s="12"/>
    </row>
    <row r="4010" spans="5:10" x14ac:dyDescent="0.25">
      <c r="E4010"/>
      <c r="F4010"/>
      <c r="G4010" s="12"/>
      <c r="H4010" s="12"/>
      <c r="I4010" s="12"/>
      <c r="J4010" s="12"/>
    </row>
    <row r="4011" spans="5:10" x14ac:dyDescent="0.25">
      <c r="E4011"/>
      <c r="F4011"/>
      <c r="G4011" s="12"/>
      <c r="H4011" s="12"/>
      <c r="I4011" s="12"/>
      <c r="J4011" s="12"/>
    </row>
    <row r="4012" spans="5:10" x14ac:dyDescent="0.25">
      <c r="E4012"/>
      <c r="F4012"/>
      <c r="G4012" s="12"/>
      <c r="H4012" s="12"/>
      <c r="I4012" s="12"/>
      <c r="J4012" s="12"/>
    </row>
    <row r="4013" spans="5:10" x14ac:dyDescent="0.25">
      <c r="E4013"/>
      <c r="F4013"/>
      <c r="G4013" s="12"/>
      <c r="H4013" s="12"/>
      <c r="I4013" s="12"/>
      <c r="J4013" s="12"/>
    </row>
    <row r="4014" spans="5:10" x14ac:dyDescent="0.25">
      <c r="E4014"/>
      <c r="F4014"/>
      <c r="G4014" s="12"/>
      <c r="H4014" s="12"/>
      <c r="I4014" s="12"/>
      <c r="J4014" s="12"/>
    </row>
    <row r="4015" spans="5:10" x14ac:dyDescent="0.25">
      <c r="E4015"/>
      <c r="F4015"/>
      <c r="G4015" s="12"/>
      <c r="H4015" s="12"/>
      <c r="I4015" s="12"/>
      <c r="J4015" s="12"/>
    </row>
    <row r="4016" spans="5:10" x14ac:dyDescent="0.25">
      <c r="E4016"/>
      <c r="F4016"/>
      <c r="G4016" s="12"/>
      <c r="H4016" s="12"/>
      <c r="I4016" s="12"/>
      <c r="J4016" s="12"/>
    </row>
    <row r="4017" spans="5:10" x14ac:dyDescent="0.25">
      <c r="E4017"/>
      <c r="F4017"/>
      <c r="G4017" s="12"/>
      <c r="H4017" s="12"/>
      <c r="I4017" s="12"/>
      <c r="J4017" s="12"/>
    </row>
    <row r="4018" spans="5:10" x14ac:dyDescent="0.25">
      <c r="E4018"/>
      <c r="F4018"/>
      <c r="G4018" s="12"/>
      <c r="H4018" s="12"/>
      <c r="I4018" s="12"/>
      <c r="J4018" s="12"/>
    </row>
    <row r="4019" spans="5:10" x14ac:dyDescent="0.25">
      <c r="E4019"/>
      <c r="F4019"/>
      <c r="G4019" s="12"/>
      <c r="H4019" s="12"/>
      <c r="I4019" s="12"/>
      <c r="J4019" s="12"/>
    </row>
    <row r="4020" spans="5:10" x14ac:dyDescent="0.25">
      <c r="E4020"/>
      <c r="F4020"/>
      <c r="G4020" s="12"/>
      <c r="H4020" s="12"/>
      <c r="I4020" s="12"/>
      <c r="J4020" s="12"/>
    </row>
    <row r="4021" spans="5:10" x14ac:dyDescent="0.25">
      <c r="E4021"/>
      <c r="F4021"/>
      <c r="G4021" s="12"/>
      <c r="H4021" s="12"/>
      <c r="I4021" s="12"/>
      <c r="J4021" s="12"/>
    </row>
    <row r="4022" spans="5:10" x14ac:dyDescent="0.25">
      <c r="E4022"/>
      <c r="F4022"/>
      <c r="G4022" s="12"/>
      <c r="H4022" s="12"/>
      <c r="I4022" s="12"/>
      <c r="J4022" s="12"/>
    </row>
    <row r="4023" spans="5:10" x14ac:dyDescent="0.25">
      <c r="E4023"/>
      <c r="F4023"/>
      <c r="G4023" s="12"/>
      <c r="H4023" s="12"/>
      <c r="I4023" s="12"/>
      <c r="J4023" s="12"/>
    </row>
    <row r="4024" spans="5:10" x14ac:dyDescent="0.25">
      <c r="E4024"/>
      <c r="F4024"/>
      <c r="G4024" s="12"/>
      <c r="H4024" s="12"/>
      <c r="I4024" s="12"/>
      <c r="J4024" s="12"/>
    </row>
    <row r="4025" spans="5:10" x14ac:dyDescent="0.25">
      <c r="E4025"/>
      <c r="F4025"/>
      <c r="G4025" s="12"/>
      <c r="H4025" s="12"/>
      <c r="I4025" s="12"/>
      <c r="J4025" s="12"/>
    </row>
    <row r="4026" spans="5:10" x14ac:dyDescent="0.25">
      <c r="E4026"/>
      <c r="F4026"/>
      <c r="G4026" s="12"/>
      <c r="H4026" s="12"/>
      <c r="I4026" s="12"/>
      <c r="J4026" s="12"/>
    </row>
    <row r="4027" spans="5:10" x14ac:dyDescent="0.25">
      <c r="E4027"/>
      <c r="F4027"/>
      <c r="G4027" s="12"/>
      <c r="H4027" s="12"/>
      <c r="I4027" s="12"/>
      <c r="J4027" s="12"/>
    </row>
    <row r="4028" spans="5:10" x14ac:dyDescent="0.25">
      <c r="E4028"/>
      <c r="F4028"/>
      <c r="G4028" s="12"/>
      <c r="H4028" s="12"/>
      <c r="I4028" s="12"/>
      <c r="J4028" s="12"/>
    </row>
    <row r="4029" spans="5:10" x14ac:dyDescent="0.25">
      <c r="E4029"/>
      <c r="F4029"/>
      <c r="G4029" s="12"/>
      <c r="H4029" s="12"/>
      <c r="I4029" s="12"/>
      <c r="J4029" s="12"/>
    </row>
    <row r="4030" spans="5:10" x14ac:dyDescent="0.25">
      <c r="E4030"/>
      <c r="F4030"/>
      <c r="G4030" s="12"/>
      <c r="H4030" s="12"/>
      <c r="I4030" s="12"/>
      <c r="J4030" s="12"/>
    </row>
    <row r="4031" spans="5:10" x14ac:dyDescent="0.25">
      <c r="E4031"/>
      <c r="F4031"/>
      <c r="G4031" s="12"/>
      <c r="H4031" s="12"/>
      <c r="I4031" s="12"/>
      <c r="J4031" s="12"/>
    </row>
    <row r="4032" spans="5:10" x14ac:dyDescent="0.25">
      <c r="E4032"/>
      <c r="F4032"/>
      <c r="G4032" s="12"/>
      <c r="H4032" s="12"/>
      <c r="I4032" s="12"/>
      <c r="J4032" s="12"/>
    </row>
    <row r="4033" spans="5:10" x14ac:dyDescent="0.25">
      <c r="E4033"/>
      <c r="F4033"/>
      <c r="G4033" s="12"/>
      <c r="H4033" s="12"/>
      <c r="I4033" s="12"/>
      <c r="J4033" s="12"/>
    </row>
    <row r="4034" spans="5:10" x14ac:dyDescent="0.25">
      <c r="E4034"/>
      <c r="F4034"/>
      <c r="G4034" s="12"/>
      <c r="H4034" s="12"/>
      <c r="I4034" s="12"/>
      <c r="J4034" s="12"/>
    </row>
    <row r="4035" spans="5:10" x14ac:dyDescent="0.25">
      <c r="E4035"/>
      <c r="F4035"/>
      <c r="G4035" s="12"/>
      <c r="H4035" s="12"/>
      <c r="I4035" s="12"/>
      <c r="J4035" s="12"/>
    </row>
    <row r="4036" spans="5:10" x14ac:dyDescent="0.25">
      <c r="E4036"/>
      <c r="F4036"/>
      <c r="G4036" s="12"/>
      <c r="H4036" s="12"/>
      <c r="I4036" s="12"/>
      <c r="J4036" s="12"/>
    </row>
    <row r="4037" spans="5:10" x14ac:dyDescent="0.25">
      <c r="E4037"/>
      <c r="F4037"/>
      <c r="G4037" s="12"/>
      <c r="H4037" s="12"/>
      <c r="I4037" s="12"/>
      <c r="J4037" s="12"/>
    </row>
    <row r="4038" spans="5:10" x14ac:dyDescent="0.25">
      <c r="E4038"/>
      <c r="F4038"/>
      <c r="G4038" s="12"/>
      <c r="H4038" s="12"/>
      <c r="I4038" s="12"/>
      <c r="J4038" s="12"/>
    </row>
    <row r="4039" spans="5:10" x14ac:dyDescent="0.25">
      <c r="E4039"/>
      <c r="F4039"/>
      <c r="G4039" s="12"/>
      <c r="H4039" s="12"/>
      <c r="I4039" s="12"/>
      <c r="J4039" s="12"/>
    </row>
    <row r="4040" spans="5:10" x14ac:dyDescent="0.25">
      <c r="E4040"/>
      <c r="F4040"/>
      <c r="G4040" s="12"/>
      <c r="H4040" s="12"/>
      <c r="I4040" s="12"/>
      <c r="J4040" s="12"/>
    </row>
    <row r="4041" spans="5:10" x14ac:dyDescent="0.25">
      <c r="E4041"/>
      <c r="F4041"/>
      <c r="G4041" s="12"/>
      <c r="H4041" s="12"/>
      <c r="I4041" s="12"/>
      <c r="J4041" s="12"/>
    </row>
    <row r="4042" spans="5:10" x14ac:dyDescent="0.25">
      <c r="E4042"/>
      <c r="F4042"/>
      <c r="G4042" s="12"/>
      <c r="H4042" s="12"/>
      <c r="I4042" s="12"/>
      <c r="J4042" s="12"/>
    </row>
    <row r="4043" spans="5:10" x14ac:dyDescent="0.25">
      <c r="E4043"/>
      <c r="F4043"/>
      <c r="G4043" s="12"/>
      <c r="H4043" s="12"/>
      <c r="I4043" s="12"/>
      <c r="J4043" s="12"/>
    </row>
    <row r="4044" spans="5:10" x14ac:dyDescent="0.25">
      <c r="E4044"/>
      <c r="F4044"/>
      <c r="G4044" s="12"/>
      <c r="H4044" s="12"/>
      <c r="I4044" s="12"/>
      <c r="J4044" s="12"/>
    </row>
    <row r="4045" spans="5:10" x14ac:dyDescent="0.25">
      <c r="E4045"/>
      <c r="F4045"/>
      <c r="G4045" s="12"/>
      <c r="H4045" s="12"/>
      <c r="I4045" s="12"/>
      <c r="J4045" s="12"/>
    </row>
    <row r="4046" spans="5:10" x14ac:dyDescent="0.25">
      <c r="E4046"/>
      <c r="F4046"/>
      <c r="G4046" s="12"/>
      <c r="H4046" s="12"/>
      <c r="I4046" s="12"/>
      <c r="J4046" s="12"/>
    </row>
    <row r="4047" spans="5:10" x14ac:dyDescent="0.25">
      <c r="E4047"/>
      <c r="F4047"/>
      <c r="G4047" s="12"/>
      <c r="H4047" s="12"/>
      <c r="I4047" s="12"/>
      <c r="J4047" s="12"/>
    </row>
    <row r="4048" spans="5:10" x14ac:dyDescent="0.25">
      <c r="E4048"/>
      <c r="F4048"/>
      <c r="G4048" s="12"/>
      <c r="H4048" s="12"/>
      <c r="I4048" s="12"/>
      <c r="J4048" s="12"/>
    </row>
    <row r="4049" spans="5:10" x14ac:dyDescent="0.25">
      <c r="E4049"/>
      <c r="F4049"/>
      <c r="G4049" s="12"/>
      <c r="H4049" s="12"/>
      <c r="I4049" s="12"/>
      <c r="J4049" s="12"/>
    </row>
    <row r="4050" spans="5:10" x14ac:dyDescent="0.25">
      <c r="E4050"/>
      <c r="F4050"/>
      <c r="G4050" s="12"/>
      <c r="H4050" s="12"/>
      <c r="I4050" s="12"/>
      <c r="J4050" s="12"/>
    </row>
    <row r="4051" spans="5:10" x14ac:dyDescent="0.25">
      <c r="E4051"/>
      <c r="F4051"/>
      <c r="G4051" s="12"/>
      <c r="H4051" s="12"/>
      <c r="I4051" s="12"/>
      <c r="J4051" s="12"/>
    </row>
    <row r="4052" spans="5:10" x14ac:dyDescent="0.25">
      <c r="E4052"/>
      <c r="F4052"/>
      <c r="G4052" s="12"/>
      <c r="H4052" s="12"/>
      <c r="I4052" s="12"/>
      <c r="J4052" s="12"/>
    </row>
    <row r="4053" spans="5:10" x14ac:dyDescent="0.25">
      <c r="E4053"/>
      <c r="F4053"/>
      <c r="G4053" s="12"/>
      <c r="H4053" s="12"/>
      <c r="I4053" s="12"/>
      <c r="J4053" s="12"/>
    </row>
    <row r="4054" spans="5:10" x14ac:dyDescent="0.25">
      <c r="E4054"/>
      <c r="F4054"/>
      <c r="G4054" s="12"/>
      <c r="H4054" s="12"/>
      <c r="I4054" s="12"/>
      <c r="J4054" s="12"/>
    </row>
    <row r="4055" spans="5:10" x14ac:dyDescent="0.25">
      <c r="E4055"/>
      <c r="F4055"/>
      <c r="G4055" s="12"/>
      <c r="H4055" s="12"/>
      <c r="I4055" s="12"/>
      <c r="J4055" s="12"/>
    </row>
    <row r="4056" spans="5:10" x14ac:dyDescent="0.25">
      <c r="E4056"/>
      <c r="F4056"/>
      <c r="G4056" s="12"/>
      <c r="H4056" s="12"/>
      <c r="I4056" s="12"/>
      <c r="J4056" s="12"/>
    </row>
    <row r="4057" spans="5:10" x14ac:dyDescent="0.25">
      <c r="E4057"/>
      <c r="F4057"/>
      <c r="G4057" s="12"/>
      <c r="H4057" s="12"/>
      <c r="I4057" s="12"/>
      <c r="J4057" s="12"/>
    </row>
    <row r="4058" spans="5:10" x14ac:dyDescent="0.25">
      <c r="E4058"/>
      <c r="F4058"/>
      <c r="G4058" s="12"/>
      <c r="H4058" s="12"/>
      <c r="I4058" s="12"/>
      <c r="J4058" s="12"/>
    </row>
    <row r="4059" spans="5:10" x14ac:dyDescent="0.25">
      <c r="E4059"/>
      <c r="F4059"/>
      <c r="G4059" s="12"/>
      <c r="H4059" s="12"/>
      <c r="I4059" s="12"/>
      <c r="J4059" s="12"/>
    </row>
    <row r="4060" spans="5:10" x14ac:dyDescent="0.25">
      <c r="E4060"/>
      <c r="F4060"/>
      <c r="G4060" s="12"/>
      <c r="H4060" s="12"/>
      <c r="I4060" s="12"/>
      <c r="J4060" s="12"/>
    </row>
    <row r="4061" spans="5:10" x14ac:dyDescent="0.25">
      <c r="E4061"/>
      <c r="F4061"/>
      <c r="G4061" s="12"/>
      <c r="H4061" s="12"/>
      <c r="I4061" s="12"/>
      <c r="J4061" s="12"/>
    </row>
    <row r="4062" spans="5:10" x14ac:dyDescent="0.25">
      <c r="E4062"/>
      <c r="F4062"/>
      <c r="G4062" s="12"/>
      <c r="H4062" s="12"/>
      <c r="I4062" s="12"/>
      <c r="J4062" s="12"/>
    </row>
    <row r="4063" spans="5:10" x14ac:dyDescent="0.25">
      <c r="E4063"/>
      <c r="F4063"/>
      <c r="G4063" s="12"/>
      <c r="H4063" s="12"/>
      <c r="I4063" s="12"/>
      <c r="J4063" s="12"/>
    </row>
    <row r="4064" spans="5:10" x14ac:dyDescent="0.25">
      <c r="E4064"/>
      <c r="F4064"/>
      <c r="G4064" s="12"/>
      <c r="H4064" s="12"/>
      <c r="I4064" s="12"/>
      <c r="J4064" s="12"/>
    </row>
    <row r="4065" spans="5:10" x14ac:dyDescent="0.25">
      <c r="E4065"/>
      <c r="F4065"/>
      <c r="G4065" s="12"/>
      <c r="H4065" s="12"/>
      <c r="I4065" s="12"/>
      <c r="J4065" s="12"/>
    </row>
    <row r="4066" spans="5:10" x14ac:dyDescent="0.25">
      <c r="E4066"/>
      <c r="F4066"/>
      <c r="G4066" s="12"/>
      <c r="H4066" s="12"/>
      <c r="I4066" s="12"/>
      <c r="J4066" s="12"/>
    </row>
    <row r="4067" spans="5:10" x14ac:dyDescent="0.25">
      <c r="E4067"/>
      <c r="F4067"/>
      <c r="G4067" s="12"/>
      <c r="H4067" s="12"/>
      <c r="I4067" s="12"/>
      <c r="J4067" s="12"/>
    </row>
    <row r="4068" spans="5:10" x14ac:dyDescent="0.25">
      <c r="E4068"/>
      <c r="F4068"/>
      <c r="G4068" s="12"/>
      <c r="H4068" s="12"/>
      <c r="I4068" s="12"/>
      <c r="J4068" s="12"/>
    </row>
    <row r="4069" spans="5:10" x14ac:dyDescent="0.25">
      <c r="E4069"/>
      <c r="F4069"/>
      <c r="G4069" s="12"/>
      <c r="H4069" s="12"/>
      <c r="I4069" s="12"/>
      <c r="J4069" s="12"/>
    </row>
    <row r="4070" spans="5:10" x14ac:dyDescent="0.25">
      <c r="E4070"/>
      <c r="F4070"/>
      <c r="G4070" s="12"/>
      <c r="H4070" s="12"/>
      <c r="I4070" s="12"/>
      <c r="J4070" s="12"/>
    </row>
    <row r="4071" spans="5:10" x14ac:dyDescent="0.25">
      <c r="E4071"/>
      <c r="F4071"/>
      <c r="G4071" s="12"/>
      <c r="H4071" s="12"/>
      <c r="I4071" s="12"/>
      <c r="J4071" s="12"/>
    </row>
    <row r="4072" spans="5:10" x14ac:dyDescent="0.25">
      <c r="E4072"/>
      <c r="F4072"/>
      <c r="G4072" s="12"/>
      <c r="H4072" s="12"/>
      <c r="I4072" s="12"/>
      <c r="J4072" s="12"/>
    </row>
    <row r="4073" spans="5:10" x14ac:dyDescent="0.25">
      <c r="E4073"/>
      <c r="F4073"/>
      <c r="G4073" s="12"/>
      <c r="H4073" s="12"/>
      <c r="I4073" s="12"/>
      <c r="J4073" s="12"/>
    </row>
    <row r="4074" spans="5:10" x14ac:dyDescent="0.25">
      <c r="E4074"/>
      <c r="F4074"/>
      <c r="G4074" s="12"/>
      <c r="H4074" s="12"/>
      <c r="I4074" s="12"/>
      <c r="J4074" s="12"/>
    </row>
    <row r="4075" spans="5:10" x14ac:dyDescent="0.25">
      <c r="E4075"/>
      <c r="F4075"/>
      <c r="G4075" s="12"/>
      <c r="H4075" s="12"/>
      <c r="I4075" s="12"/>
      <c r="J4075" s="12"/>
    </row>
    <row r="4076" spans="5:10" x14ac:dyDescent="0.25">
      <c r="E4076"/>
      <c r="F4076"/>
      <c r="G4076" s="12"/>
      <c r="H4076" s="12"/>
      <c r="I4076" s="12"/>
      <c r="J4076" s="12"/>
    </row>
    <row r="4077" spans="5:10" x14ac:dyDescent="0.25">
      <c r="E4077"/>
      <c r="F4077"/>
      <c r="G4077" s="12"/>
      <c r="H4077" s="12"/>
      <c r="I4077" s="12"/>
      <c r="J4077" s="12"/>
    </row>
    <row r="4078" spans="5:10" x14ac:dyDescent="0.25">
      <c r="E4078"/>
      <c r="F4078"/>
      <c r="G4078" s="12"/>
      <c r="H4078" s="12"/>
      <c r="I4078" s="12"/>
      <c r="J4078" s="12"/>
    </row>
    <row r="4079" spans="5:10" x14ac:dyDescent="0.25">
      <c r="E4079"/>
      <c r="F4079"/>
      <c r="G4079" s="12"/>
      <c r="H4079" s="12"/>
      <c r="I4079" s="12"/>
      <c r="J4079" s="12"/>
    </row>
    <row r="4080" spans="5:10" x14ac:dyDescent="0.25">
      <c r="E4080"/>
      <c r="F4080"/>
      <c r="G4080" s="12"/>
      <c r="H4080" s="12"/>
      <c r="I4080" s="12"/>
      <c r="J4080" s="12"/>
    </row>
    <row r="4081" spans="5:10" x14ac:dyDescent="0.25">
      <c r="E4081"/>
      <c r="F4081"/>
      <c r="G4081" s="12"/>
      <c r="H4081" s="12"/>
      <c r="I4081" s="12"/>
      <c r="J4081" s="12"/>
    </row>
    <row r="4082" spans="5:10" x14ac:dyDescent="0.25">
      <c r="E4082"/>
      <c r="F4082"/>
      <c r="G4082" s="12"/>
      <c r="H4082" s="12"/>
      <c r="I4082" s="12"/>
      <c r="J4082" s="12"/>
    </row>
    <row r="4083" spans="5:10" x14ac:dyDescent="0.25">
      <c r="E4083"/>
      <c r="F4083"/>
      <c r="G4083" s="12"/>
      <c r="H4083" s="12"/>
      <c r="I4083" s="12"/>
      <c r="J4083" s="12"/>
    </row>
    <row r="4084" spans="5:10" x14ac:dyDescent="0.25">
      <c r="E4084"/>
      <c r="F4084"/>
      <c r="G4084" s="12"/>
      <c r="H4084" s="12"/>
      <c r="I4084" s="12"/>
      <c r="J4084" s="12"/>
    </row>
    <row r="4085" spans="5:10" x14ac:dyDescent="0.25">
      <c r="E4085"/>
      <c r="F4085"/>
      <c r="G4085" s="12"/>
      <c r="H4085" s="12"/>
      <c r="I4085" s="12"/>
      <c r="J4085" s="12"/>
    </row>
    <row r="4086" spans="5:10" x14ac:dyDescent="0.25">
      <c r="E4086"/>
      <c r="F4086"/>
      <c r="G4086" s="12"/>
      <c r="H4086" s="12"/>
      <c r="I4086" s="12"/>
      <c r="J4086" s="12"/>
    </row>
    <row r="4087" spans="5:10" x14ac:dyDescent="0.25">
      <c r="E4087"/>
      <c r="F4087"/>
      <c r="G4087" s="12"/>
      <c r="H4087" s="12"/>
      <c r="I4087" s="12"/>
      <c r="J4087" s="12"/>
    </row>
    <row r="4088" spans="5:10" x14ac:dyDescent="0.25">
      <c r="E4088"/>
      <c r="F4088"/>
      <c r="G4088" s="12"/>
      <c r="H4088" s="12"/>
      <c r="I4088" s="12"/>
      <c r="J4088" s="12"/>
    </row>
    <row r="4089" spans="5:10" x14ac:dyDescent="0.25">
      <c r="E4089"/>
      <c r="F4089"/>
      <c r="G4089" s="12"/>
      <c r="H4089" s="12"/>
      <c r="I4089" s="12"/>
      <c r="J4089" s="12"/>
    </row>
    <row r="4090" spans="5:10" x14ac:dyDescent="0.25">
      <c r="E4090"/>
      <c r="F4090"/>
      <c r="G4090" s="12"/>
      <c r="H4090" s="12"/>
      <c r="I4090" s="12"/>
      <c r="J4090" s="12"/>
    </row>
    <row r="4091" spans="5:10" x14ac:dyDescent="0.25">
      <c r="E4091"/>
      <c r="F4091"/>
      <c r="G4091" s="12"/>
      <c r="H4091" s="12"/>
      <c r="I4091" s="12"/>
      <c r="J4091" s="12"/>
    </row>
    <row r="4092" spans="5:10" x14ac:dyDescent="0.25">
      <c r="E4092"/>
      <c r="F4092"/>
      <c r="G4092" s="12"/>
      <c r="H4092" s="12"/>
      <c r="I4092" s="12"/>
      <c r="J4092" s="12"/>
    </row>
    <row r="4093" spans="5:10" x14ac:dyDescent="0.25">
      <c r="E4093"/>
      <c r="F4093"/>
      <c r="G4093" s="12"/>
      <c r="H4093" s="12"/>
      <c r="I4093" s="12"/>
      <c r="J4093" s="12"/>
    </row>
    <row r="4094" spans="5:10" x14ac:dyDescent="0.25">
      <c r="E4094"/>
      <c r="F4094"/>
      <c r="G4094" s="12"/>
      <c r="H4094" s="12"/>
      <c r="I4094" s="12"/>
      <c r="J4094" s="12"/>
    </row>
    <row r="4095" spans="5:10" x14ac:dyDescent="0.25">
      <c r="E4095"/>
      <c r="F4095"/>
      <c r="G4095" s="12"/>
      <c r="H4095" s="12"/>
      <c r="I4095" s="12"/>
      <c r="J4095" s="12"/>
    </row>
    <row r="4096" spans="5:10" x14ac:dyDescent="0.25">
      <c r="E4096"/>
      <c r="F4096"/>
      <c r="G4096" s="12"/>
      <c r="H4096" s="12"/>
      <c r="I4096" s="12"/>
      <c r="J4096" s="12"/>
    </row>
    <row r="4097" spans="5:10" x14ac:dyDescent="0.25">
      <c r="E4097"/>
      <c r="F4097"/>
      <c r="G4097" s="12"/>
      <c r="H4097" s="12"/>
      <c r="I4097" s="12"/>
      <c r="J4097" s="12"/>
    </row>
    <row r="4098" spans="5:10" x14ac:dyDescent="0.25">
      <c r="E4098"/>
      <c r="F4098"/>
      <c r="G4098" s="12"/>
      <c r="H4098" s="12"/>
      <c r="I4098" s="12"/>
      <c r="J4098" s="12"/>
    </row>
    <row r="4099" spans="5:10" x14ac:dyDescent="0.25">
      <c r="E4099"/>
      <c r="F4099"/>
      <c r="G4099" s="12"/>
      <c r="H4099" s="12"/>
      <c r="I4099" s="12"/>
      <c r="J4099" s="12"/>
    </row>
    <row r="4100" spans="5:10" x14ac:dyDescent="0.25">
      <c r="E4100"/>
      <c r="F4100"/>
      <c r="G4100" s="12"/>
      <c r="H4100" s="12"/>
      <c r="I4100" s="12"/>
      <c r="J4100" s="12"/>
    </row>
    <row r="4101" spans="5:10" x14ac:dyDescent="0.25">
      <c r="E4101"/>
      <c r="F4101"/>
      <c r="G4101" s="12"/>
      <c r="H4101" s="12"/>
      <c r="I4101" s="12"/>
      <c r="J4101" s="12"/>
    </row>
    <row r="4102" spans="5:10" x14ac:dyDescent="0.25">
      <c r="E4102"/>
      <c r="F4102"/>
      <c r="G4102" s="12"/>
      <c r="H4102" s="12"/>
      <c r="I4102" s="12"/>
      <c r="J4102" s="12"/>
    </row>
    <row r="4103" spans="5:10" x14ac:dyDescent="0.25">
      <c r="E4103"/>
      <c r="F4103"/>
      <c r="G4103" s="12"/>
      <c r="H4103" s="12"/>
      <c r="I4103" s="12"/>
      <c r="J4103" s="12"/>
    </row>
    <row r="4104" spans="5:10" x14ac:dyDescent="0.25">
      <c r="E4104"/>
      <c r="F4104"/>
      <c r="G4104" s="12"/>
      <c r="H4104" s="12"/>
      <c r="I4104" s="12"/>
      <c r="J4104" s="12"/>
    </row>
    <row r="4105" spans="5:10" x14ac:dyDescent="0.25">
      <c r="E4105"/>
      <c r="F4105"/>
      <c r="G4105" s="12"/>
      <c r="H4105" s="12"/>
      <c r="I4105" s="12"/>
      <c r="J4105" s="12"/>
    </row>
    <row r="4106" spans="5:10" x14ac:dyDescent="0.25">
      <c r="E4106"/>
      <c r="F4106"/>
      <c r="G4106" s="12"/>
      <c r="H4106" s="12"/>
      <c r="I4106" s="12"/>
      <c r="J4106" s="12"/>
    </row>
    <row r="4107" spans="5:10" x14ac:dyDescent="0.25">
      <c r="E4107"/>
      <c r="F4107"/>
      <c r="G4107" s="12"/>
      <c r="H4107" s="12"/>
      <c r="I4107" s="12"/>
      <c r="J4107" s="12"/>
    </row>
    <row r="4108" spans="5:10" x14ac:dyDescent="0.25">
      <c r="E4108"/>
      <c r="F4108"/>
      <c r="G4108" s="12"/>
      <c r="H4108" s="12"/>
      <c r="I4108" s="12"/>
      <c r="J4108" s="12"/>
    </row>
    <row r="4109" spans="5:10" x14ac:dyDescent="0.25">
      <c r="E4109"/>
      <c r="F4109"/>
      <c r="G4109" s="12"/>
      <c r="H4109" s="12"/>
      <c r="I4109" s="12"/>
      <c r="J4109" s="12"/>
    </row>
    <row r="4110" spans="5:10" x14ac:dyDescent="0.25">
      <c r="E4110"/>
      <c r="F4110"/>
      <c r="G4110" s="12"/>
      <c r="H4110" s="12"/>
      <c r="I4110" s="12"/>
      <c r="J4110" s="12"/>
    </row>
    <row r="4111" spans="5:10" x14ac:dyDescent="0.25">
      <c r="E4111"/>
      <c r="F4111"/>
      <c r="G4111" s="12"/>
      <c r="H4111" s="12"/>
      <c r="I4111" s="12"/>
      <c r="J4111" s="12"/>
    </row>
    <row r="4112" spans="5:10" x14ac:dyDescent="0.25">
      <c r="E4112"/>
      <c r="F4112"/>
      <c r="G4112" s="12"/>
      <c r="H4112" s="12"/>
      <c r="I4112" s="12"/>
      <c r="J4112" s="12"/>
    </row>
    <row r="4113" spans="5:10" x14ac:dyDescent="0.25">
      <c r="E4113"/>
      <c r="F4113"/>
      <c r="G4113" s="12"/>
      <c r="H4113" s="12"/>
      <c r="I4113" s="12"/>
      <c r="J4113" s="12"/>
    </row>
    <row r="4114" spans="5:10" x14ac:dyDescent="0.25">
      <c r="E4114"/>
      <c r="F4114"/>
      <c r="G4114" s="12"/>
      <c r="H4114" s="12"/>
      <c r="I4114" s="12"/>
      <c r="J4114" s="12"/>
    </row>
    <row r="4115" spans="5:10" x14ac:dyDescent="0.25">
      <c r="E4115"/>
      <c r="F4115"/>
      <c r="G4115" s="12"/>
      <c r="H4115" s="12"/>
      <c r="I4115" s="12"/>
      <c r="J4115" s="12"/>
    </row>
    <row r="4116" spans="5:10" x14ac:dyDescent="0.25">
      <c r="E4116"/>
      <c r="F4116"/>
      <c r="G4116" s="12"/>
      <c r="H4116" s="12"/>
      <c r="I4116" s="12"/>
      <c r="J4116" s="12"/>
    </row>
    <row r="4117" spans="5:10" x14ac:dyDescent="0.25">
      <c r="E4117"/>
      <c r="F4117"/>
      <c r="G4117" s="12"/>
      <c r="H4117" s="12"/>
      <c r="I4117" s="12"/>
      <c r="J4117" s="12"/>
    </row>
    <row r="4118" spans="5:10" x14ac:dyDescent="0.25">
      <c r="E4118"/>
      <c r="F4118"/>
      <c r="G4118" s="12"/>
      <c r="H4118" s="12"/>
      <c r="I4118" s="12"/>
      <c r="J4118" s="12"/>
    </row>
    <row r="4119" spans="5:10" x14ac:dyDescent="0.25">
      <c r="E4119"/>
      <c r="F4119"/>
      <c r="G4119" s="12"/>
      <c r="H4119" s="12"/>
      <c r="I4119" s="12"/>
      <c r="J4119" s="12"/>
    </row>
    <row r="4120" spans="5:10" x14ac:dyDescent="0.25">
      <c r="E4120"/>
      <c r="F4120"/>
      <c r="G4120" s="12"/>
      <c r="H4120" s="12"/>
      <c r="I4120" s="12"/>
      <c r="J4120" s="12"/>
    </row>
    <row r="4121" spans="5:10" x14ac:dyDescent="0.25">
      <c r="E4121"/>
      <c r="F4121"/>
      <c r="G4121" s="12"/>
      <c r="H4121" s="12"/>
      <c r="I4121" s="12"/>
      <c r="J4121" s="12"/>
    </row>
    <row r="4122" spans="5:10" x14ac:dyDescent="0.25">
      <c r="E4122"/>
      <c r="F4122"/>
      <c r="G4122" s="12"/>
      <c r="H4122" s="12"/>
      <c r="I4122" s="12"/>
      <c r="J4122" s="12"/>
    </row>
    <row r="4123" spans="5:10" x14ac:dyDescent="0.25">
      <c r="E4123"/>
      <c r="F4123"/>
      <c r="G4123" s="12"/>
      <c r="H4123" s="12"/>
      <c r="I4123" s="12"/>
      <c r="J4123" s="12"/>
    </row>
    <row r="4124" spans="5:10" x14ac:dyDescent="0.25">
      <c r="E4124"/>
      <c r="F4124"/>
      <c r="G4124" s="12"/>
      <c r="H4124" s="12"/>
      <c r="I4124" s="12"/>
      <c r="J4124" s="12"/>
    </row>
    <row r="4125" spans="5:10" x14ac:dyDescent="0.25">
      <c r="E4125"/>
      <c r="F4125"/>
      <c r="G4125" s="12"/>
      <c r="H4125" s="12"/>
      <c r="I4125" s="12"/>
      <c r="J4125" s="12"/>
    </row>
    <row r="4126" spans="5:10" x14ac:dyDescent="0.25">
      <c r="E4126"/>
      <c r="F4126"/>
      <c r="G4126" s="12"/>
      <c r="H4126" s="12"/>
      <c r="I4126" s="12"/>
      <c r="J4126" s="12"/>
    </row>
    <row r="4127" spans="5:10" x14ac:dyDescent="0.25">
      <c r="E4127"/>
      <c r="F4127"/>
      <c r="G4127" s="12"/>
      <c r="H4127" s="12"/>
      <c r="I4127" s="12"/>
      <c r="J4127" s="12"/>
    </row>
    <row r="4128" spans="5:10" x14ac:dyDescent="0.25">
      <c r="E4128"/>
      <c r="F4128"/>
      <c r="G4128" s="12"/>
      <c r="H4128" s="12"/>
      <c r="I4128" s="12"/>
      <c r="J4128" s="12"/>
    </row>
    <row r="4129" spans="5:10" x14ac:dyDescent="0.25">
      <c r="E4129"/>
      <c r="F4129"/>
      <c r="G4129" s="12"/>
      <c r="H4129" s="12"/>
      <c r="I4129" s="12"/>
      <c r="J4129" s="12"/>
    </row>
    <row r="4130" spans="5:10" x14ac:dyDescent="0.25">
      <c r="E4130"/>
      <c r="F4130"/>
      <c r="G4130" s="12"/>
      <c r="H4130" s="12"/>
      <c r="I4130" s="12"/>
      <c r="J4130" s="12"/>
    </row>
    <row r="4131" spans="5:10" x14ac:dyDescent="0.25">
      <c r="E4131"/>
      <c r="F4131"/>
      <c r="G4131" s="12"/>
      <c r="H4131" s="12"/>
      <c r="I4131" s="12"/>
      <c r="J4131" s="12"/>
    </row>
    <row r="4132" spans="5:10" x14ac:dyDescent="0.25">
      <c r="E4132"/>
      <c r="F4132"/>
      <c r="G4132" s="12"/>
      <c r="H4132" s="12"/>
      <c r="I4132" s="12"/>
      <c r="J4132" s="12"/>
    </row>
    <row r="4133" spans="5:10" x14ac:dyDescent="0.25">
      <c r="E4133"/>
      <c r="F4133"/>
      <c r="G4133" s="12"/>
      <c r="H4133" s="12"/>
      <c r="I4133" s="12"/>
      <c r="J4133" s="12"/>
    </row>
    <row r="4134" spans="5:10" x14ac:dyDescent="0.25">
      <c r="E4134"/>
      <c r="F4134"/>
      <c r="G4134" s="12"/>
      <c r="H4134" s="12"/>
      <c r="I4134" s="12"/>
      <c r="J4134" s="12"/>
    </row>
    <row r="4135" spans="5:10" x14ac:dyDescent="0.25">
      <c r="E4135"/>
      <c r="F4135"/>
      <c r="G4135" s="12"/>
      <c r="H4135" s="12"/>
      <c r="I4135" s="12"/>
      <c r="J4135" s="12"/>
    </row>
    <row r="4136" spans="5:10" x14ac:dyDescent="0.25">
      <c r="E4136"/>
      <c r="F4136"/>
      <c r="G4136" s="12"/>
      <c r="H4136" s="12"/>
      <c r="I4136" s="12"/>
      <c r="J4136" s="12"/>
    </row>
    <row r="4137" spans="5:10" x14ac:dyDescent="0.25">
      <c r="E4137"/>
      <c r="F4137"/>
      <c r="G4137" s="12"/>
      <c r="H4137" s="12"/>
      <c r="I4137" s="12"/>
      <c r="J4137" s="12"/>
    </row>
    <row r="4138" spans="5:10" x14ac:dyDescent="0.25">
      <c r="E4138"/>
      <c r="F4138"/>
      <c r="G4138" s="12"/>
      <c r="H4138" s="12"/>
      <c r="I4138" s="12"/>
      <c r="J4138" s="12"/>
    </row>
    <row r="4139" spans="5:10" x14ac:dyDescent="0.25">
      <c r="E4139"/>
      <c r="F4139"/>
      <c r="G4139" s="12"/>
      <c r="H4139" s="12"/>
      <c r="I4139" s="12"/>
      <c r="J4139" s="12"/>
    </row>
    <row r="4140" spans="5:10" x14ac:dyDescent="0.25">
      <c r="E4140"/>
      <c r="F4140"/>
      <c r="G4140" s="12"/>
      <c r="H4140" s="12"/>
      <c r="I4140" s="12"/>
      <c r="J4140" s="12"/>
    </row>
    <row r="4141" spans="5:10" x14ac:dyDescent="0.25">
      <c r="E4141"/>
      <c r="F4141"/>
      <c r="G4141" s="12"/>
      <c r="H4141" s="12"/>
      <c r="I4141" s="12"/>
      <c r="J4141" s="12"/>
    </row>
    <row r="4142" spans="5:10" x14ac:dyDescent="0.25">
      <c r="E4142"/>
      <c r="F4142"/>
      <c r="G4142" s="12"/>
      <c r="H4142" s="12"/>
      <c r="I4142" s="12"/>
      <c r="J4142" s="12"/>
    </row>
    <row r="4143" spans="5:10" x14ac:dyDescent="0.25">
      <c r="E4143"/>
      <c r="F4143"/>
      <c r="G4143" s="12"/>
      <c r="H4143" s="12"/>
      <c r="I4143" s="12"/>
      <c r="J4143" s="12"/>
    </row>
    <row r="4144" spans="5:10" x14ac:dyDescent="0.25">
      <c r="E4144"/>
      <c r="F4144"/>
      <c r="G4144" s="12"/>
      <c r="H4144" s="12"/>
      <c r="I4144" s="12"/>
      <c r="J4144" s="12"/>
    </row>
    <row r="4145" spans="5:10" x14ac:dyDescent="0.25">
      <c r="E4145"/>
      <c r="F4145"/>
      <c r="G4145" s="12"/>
      <c r="H4145" s="12"/>
      <c r="I4145" s="12"/>
      <c r="J4145" s="12"/>
    </row>
    <row r="4146" spans="5:10" x14ac:dyDescent="0.25">
      <c r="E4146"/>
      <c r="F4146"/>
      <c r="G4146" s="12"/>
      <c r="H4146" s="12"/>
      <c r="I4146" s="12"/>
      <c r="J4146" s="12"/>
    </row>
    <row r="4147" spans="5:10" x14ac:dyDescent="0.25">
      <c r="E4147"/>
      <c r="F4147"/>
      <c r="G4147" s="12"/>
      <c r="H4147" s="12"/>
      <c r="I4147" s="12"/>
      <c r="J4147" s="12"/>
    </row>
    <row r="4148" spans="5:10" x14ac:dyDescent="0.25">
      <c r="E4148"/>
      <c r="F4148"/>
      <c r="G4148" s="12"/>
      <c r="H4148" s="12"/>
      <c r="I4148" s="12"/>
      <c r="J4148" s="12"/>
    </row>
    <row r="4149" spans="5:10" x14ac:dyDescent="0.25">
      <c r="E4149"/>
      <c r="F4149"/>
      <c r="G4149" s="12"/>
      <c r="H4149" s="12"/>
      <c r="I4149" s="12"/>
      <c r="J4149" s="12"/>
    </row>
    <row r="4150" spans="5:10" x14ac:dyDescent="0.25">
      <c r="E4150"/>
      <c r="F4150"/>
      <c r="G4150" s="12"/>
      <c r="H4150" s="12"/>
      <c r="I4150" s="12"/>
      <c r="J4150" s="12"/>
    </row>
    <row r="4151" spans="5:10" x14ac:dyDescent="0.25">
      <c r="E4151"/>
      <c r="F4151"/>
      <c r="G4151" s="12"/>
      <c r="H4151" s="12"/>
      <c r="I4151" s="12"/>
      <c r="J4151" s="12"/>
    </row>
    <row r="4152" spans="5:10" x14ac:dyDescent="0.25">
      <c r="E4152"/>
      <c r="F4152"/>
      <c r="G4152" s="12"/>
      <c r="H4152" s="12"/>
      <c r="I4152" s="12"/>
      <c r="J4152" s="12"/>
    </row>
    <row r="4153" spans="5:10" x14ac:dyDescent="0.25">
      <c r="E4153"/>
      <c r="F4153"/>
      <c r="G4153" s="12"/>
      <c r="H4153" s="12"/>
      <c r="I4153" s="12"/>
      <c r="J4153" s="12"/>
    </row>
    <row r="4154" spans="5:10" x14ac:dyDescent="0.25">
      <c r="E4154"/>
      <c r="F4154"/>
      <c r="G4154" s="12"/>
      <c r="H4154" s="12"/>
      <c r="I4154" s="12"/>
      <c r="J4154" s="12"/>
    </row>
    <row r="4155" spans="5:10" x14ac:dyDescent="0.25">
      <c r="E4155"/>
      <c r="F4155"/>
      <c r="G4155" s="12"/>
      <c r="H4155" s="12"/>
      <c r="I4155" s="12"/>
      <c r="J4155" s="12"/>
    </row>
    <row r="4156" spans="5:10" x14ac:dyDescent="0.25">
      <c r="E4156"/>
      <c r="F4156"/>
      <c r="G4156" s="12"/>
      <c r="H4156" s="12"/>
      <c r="I4156" s="12"/>
      <c r="J4156" s="12"/>
    </row>
    <row r="4157" spans="5:10" x14ac:dyDescent="0.25">
      <c r="E4157"/>
      <c r="F4157"/>
      <c r="G4157" s="12"/>
      <c r="H4157" s="12"/>
      <c r="I4157" s="12"/>
      <c r="J4157" s="12"/>
    </row>
    <row r="4158" spans="5:10" x14ac:dyDescent="0.25">
      <c r="E4158"/>
      <c r="F4158"/>
      <c r="G4158" s="12"/>
      <c r="H4158" s="12"/>
      <c r="I4158" s="12"/>
      <c r="J4158" s="12"/>
    </row>
    <row r="4159" spans="5:10" x14ac:dyDescent="0.25">
      <c r="E4159"/>
      <c r="F4159"/>
      <c r="G4159" s="12"/>
      <c r="H4159" s="12"/>
      <c r="I4159" s="12"/>
      <c r="J4159" s="12"/>
    </row>
    <row r="4160" spans="5:10" x14ac:dyDescent="0.25">
      <c r="E4160"/>
      <c r="F4160"/>
      <c r="G4160" s="12"/>
      <c r="H4160" s="12"/>
      <c r="I4160" s="12"/>
      <c r="J4160" s="12"/>
    </row>
    <row r="4161" spans="5:10" x14ac:dyDescent="0.25">
      <c r="E4161"/>
      <c r="F4161"/>
      <c r="G4161" s="12"/>
      <c r="H4161" s="12"/>
      <c r="I4161" s="12"/>
      <c r="J4161" s="12"/>
    </row>
    <row r="4162" spans="5:10" x14ac:dyDescent="0.25">
      <c r="E4162"/>
      <c r="F4162"/>
      <c r="G4162" s="12"/>
      <c r="H4162" s="12"/>
      <c r="I4162" s="12"/>
      <c r="J4162" s="12"/>
    </row>
    <row r="4163" spans="5:10" x14ac:dyDescent="0.25">
      <c r="E4163"/>
      <c r="F4163"/>
      <c r="G4163" s="12"/>
      <c r="H4163" s="12"/>
      <c r="I4163" s="12"/>
      <c r="J4163" s="12"/>
    </row>
    <row r="4164" spans="5:10" x14ac:dyDescent="0.25">
      <c r="E4164"/>
      <c r="F4164"/>
      <c r="G4164" s="12"/>
      <c r="H4164" s="12"/>
      <c r="I4164" s="12"/>
      <c r="J4164" s="12"/>
    </row>
    <row r="4165" spans="5:10" x14ac:dyDescent="0.25">
      <c r="E4165"/>
      <c r="F4165"/>
      <c r="G4165" s="12"/>
      <c r="H4165" s="12"/>
      <c r="I4165" s="12"/>
      <c r="J4165" s="12"/>
    </row>
    <row r="4166" spans="5:10" x14ac:dyDescent="0.25">
      <c r="E4166"/>
      <c r="F4166"/>
      <c r="G4166" s="12"/>
      <c r="H4166" s="12"/>
      <c r="I4166" s="12"/>
      <c r="J4166" s="12"/>
    </row>
    <row r="4167" spans="5:10" x14ac:dyDescent="0.25">
      <c r="E4167"/>
      <c r="F4167"/>
      <c r="G4167" s="12"/>
      <c r="H4167" s="12"/>
      <c r="I4167" s="12"/>
      <c r="J4167" s="12"/>
    </row>
    <row r="4168" spans="5:10" x14ac:dyDescent="0.25">
      <c r="E4168"/>
      <c r="F4168"/>
      <c r="G4168" s="12"/>
      <c r="H4168" s="12"/>
      <c r="I4168" s="12"/>
      <c r="J4168" s="12"/>
    </row>
    <row r="4169" spans="5:10" x14ac:dyDescent="0.25">
      <c r="E4169"/>
      <c r="F4169"/>
      <c r="G4169" s="12"/>
      <c r="H4169" s="12"/>
      <c r="I4169" s="12"/>
      <c r="J4169" s="12"/>
    </row>
    <row r="4170" spans="5:10" x14ac:dyDescent="0.25">
      <c r="E4170"/>
      <c r="F4170"/>
      <c r="G4170" s="12"/>
      <c r="H4170" s="12"/>
      <c r="I4170" s="12"/>
      <c r="J4170" s="12"/>
    </row>
    <row r="4171" spans="5:10" x14ac:dyDescent="0.25">
      <c r="E4171"/>
      <c r="F4171"/>
      <c r="G4171" s="12"/>
      <c r="H4171" s="12"/>
      <c r="I4171" s="12"/>
      <c r="J4171" s="12"/>
    </row>
    <row r="4172" spans="5:10" x14ac:dyDescent="0.25">
      <c r="E4172"/>
      <c r="F4172"/>
      <c r="G4172" s="12"/>
      <c r="H4172" s="12"/>
      <c r="I4172" s="12"/>
      <c r="J4172" s="12"/>
    </row>
    <row r="4173" spans="5:10" x14ac:dyDescent="0.25">
      <c r="E4173"/>
      <c r="F4173"/>
      <c r="G4173" s="12"/>
      <c r="H4173" s="12"/>
      <c r="I4173" s="12"/>
      <c r="J4173" s="12"/>
    </row>
    <row r="4174" spans="5:10" x14ac:dyDescent="0.25">
      <c r="E4174"/>
      <c r="F4174"/>
      <c r="G4174" s="12"/>
      <c r="H4174" s="12"/>
      <c r="I4174" s="12"/>
      <c r="J4174" s="12"/>
    </row>
    <row r="4175" spans="5:10" x14ac:dyDescent="0.25">
      <c r="E4175"/>
      <c r="F4175"/>
      <c r="G4175" s="12"/>
      <c r="H4175" s="12"/>
      <c r="I4175" s="12"/>
      <c r="J4175" s="12"/>
    </row>
    <row r="4176" spans="5:10" x14ac:dyDescent="0.25">
      <c r="E4176"/>
      <c r="F4176"/>
      <c r="G4176" s="12"/>
      <c r="H4176" s="12"/>
      <c r="I4176" s="12"/>
      <c r="J4176" s="12"/>
    </row>
    <row r="4177" spans="5:10" x14ac:dyDescent="0.25">
      <c r="E4177"/>
      <c r="F4177"/>
      <c r="G4177" s="12"/>
      <c r="H4177" s="12"/>
      <c r="I4177" s="12"/>
      <c r="J4177" s="12"/>
    </row>
    <row r="4178" spans="5:10" x14ac:dyDescent="0.25">
      <c r="E4178"/>
      <c r="F4178"/>
      <c r="G4178" s="12"/>
      <c r="H4178" s="12"/>
      <c r="I4178" s="12"/>
      <c r="J4178" s="12"/>
    </row>
    <row r="4179" spans="5:10" x14ac:dyDescent="0.25">
      <c r="E4179"/>
      <c r="F4179"/>
      <c r="G4179" s="12"/>
      <c r="H4179" s="12"/>
      <c r="I4179" s="12"/>
      <c r="J4179" s="12"/>
    </row>
    <row r="4180" spans="5:10" x14ac:dyDescent="0.25">
      <c r="E4180"/>
      <c r="F4180"/>
      <c r="G4180" s="12"/>
      <c r="H4180" s="12"/>
      <c r="I4180" s="12"/>
      <c r="J4180" s="12"/>
    </row>
    <row r="4181" spans="5:10" x14ac:dyDescent="0.25">
      <c r="E4181"/>
      <c r="F4181"/>
      <c r="G4181" s="12"/>
      <c r="H4181" s="12"/>
      <c r="I4181" s="12"/>
      <c r="J4181" s="12"/>
    </row>
    <row r="4182" spans="5:10" x14ac:dyDescent="0.25">
      <c r="E4182"/>
      <c r="F4182"/>
      <c r="G4182" s="12"/>
      <c r="H4182" s="12"/>
      <c r="I4182" s="12"/>
      <c r="J4182" s="12"/>
    </row>
    <row r="4183" spans="5:10" x14ac:dyDescent="0.25">
      <c r="E4183"/>
      <c r="F4183"/>
      <c r="G4183" s="12"/>
      <c r="H4183" s="12"/>
      <c r="I4183" s="12"/>
      <c r="J4183" s="12"/>
    </row>
    <row r="4184" spans="5:10" x14ac:dyDescent="0.25">
      <c r="E4184"/>
      <c r="F4184"/>
      <c r="G4184" s="12"/>
      <c r="H4184" s="12"/>
      <c r="I4184" s="12"/>
      <c r="J4184" s="12"/>
    </row>
    <row r="4185" spans="5:10" x14ac:dyDescent="0.25">
      <c r="E4185"/>
      <c r="F4185"/>
      <c r="G4185" s="12"/>
      <c r="H4185" s="12"/>
      <c r="I4185" s="12"/>
      <c r="J4185" s="12"/>
    </row>
    <row r="4186" spans="5:10" x14ac:dyDescent="0.25">
      <c r="E4186"/>
      <c r="F4186"/>
      <c r="G4186" s="12"/>
      <c r="H4186" s="12"/>
      <c r="I4186" s="12"/>
      <c r="J4186" s="12"/>
    </row>
    <row r="4187" spans="5:10" x14ac:dyDescent="0.25">
      <c r="E4187"/>
      <c r="F4187"/>
      <c r="G4187" s="12"/>
      <c r="H4187" s="12"/>
      <c r="I4187" s="12"/>
      <c r="J4187" s="12"/>
    </row>
    <row r="4188" spans="5:10" x14ac:dyDescent="0.25">
      <c r="E4188"/>
      <c r="F4188"/>
      <c r="G4188" s="12"/>
      <c r="H4188" s="12"/>
      <c r="I4188" s="12"/>
      <c r="J4188" s="12"/>
    </row>
    <row r="4189" spans="5:10" x14ac:dyDescent="0.25">
      <c r="E4189"/>
      <c r="F4189"/>
      <c r="G4189" s="12"/>
      <c r="H4189" s="12"/>
      <c r="I4189" s="12"/>
      <c r="J4189" s="12"/>
    </row>
    <row r="4190" spans="5:10" x14ac:dyDescent="0.25">
      <c r="E4190"/>
      <c r="F4190"/>
      <c r="G4190" s="12"/>
      <c r="H4190" s="12"/>
      <c r="I4190" s="12"/>
      <c r="J4190" s="12"/>
    </row>
    <row r="4191" spans="5:10" x14ac:dyDescent="0.25">
      <c r="E4191"/>
      <c r="F4191"/>
      <c r="G4191" s="12"/>
      <c r="H4191" s="12"/>
      <c r="I4191" s="12"/>
      <c r="J4191" s="12"/>
    </row>
    <row r="4192" spans="5:10" x14ac:dyDescent="0.25">
      <c r="E4192"/>
      <c r="F4192"/>
      <c r="G4192" s="12"/>
      <c r="H4192" s="12"/>
      <c r="I4192" s="12"/>
      <c r="J4192" s="12"/>
    </row>
    <row r="4193" spans="5:10" x14ac:dyDescent="0.25">
      <c r="E4193"/>
      <c r="F4193"/>
      <c r="G4193" s="12"/>
      <c r="H4193" s="12"/>
      <c r="I4193" s="12"/>
      <c r="J4193" s="12"/>
    </row>
    <row r="4194" spans="5:10" x14ac:dyDescent="0.25">
      <c r="E4194"/>
      <c r="F4194"/>
      <c r="G4194" s="12"/>
      <c r="H4194" s="12"/>
      <c r="I4194" s="12"/>
      <c r="J4194" s="12"/>
    </row>
    <row r="4195" spans="5:10" x14ac:dyDescent="0.25">
      <c r="E4195"/>
      <c r="F4195"/>
      <c r="G4195" s="12"/>
      <c r="H4195" s="12"/>
      <c r="I4195" s="12"/>
      <c r="J4195" s="12"/>
    </row>
    <row r="4196" spans="5:10" x14ac:dyDescent="0.25">
      <c r="E4196"/>
      <c r="F4196"/>
      <c r="G4196" s="12"/>
      <c r="H4196" s="12"/>
      <c r="I4196" s="12"/>
      <c r="J4196" s="12"/>
    </row>
    <row r="4197" spans="5:10" x14ac:dyDescent="0.25">
      <c r="E4197"/>
      <c r="F4197"/>
      <c r="G4197" s="12"/>
      <c r="H4197" s="12"/>
      <c r="I4197" s="12"/>
      <c r="J4197" s="12"/>
    </row>
    <row r="4198" spans="5:10" x14ac:dyDescent="0.25">
      <c r="E4198"/>
      <c r="F4198"/>
      <c r="G4198" s="12"/>
      <c r="H4198" s="12"/>
      <c r="I4198" s="12"/>
      <c r="J4198" s="12"/>
    </row>
    <row r="4199" spans="5:10" x14ac:dyDescent="0.25">
      <c r="E4199"/>
      <c r="F4199"/>
      <c r="G4199" s="12"/>
      <c r="H4199" s="12"/>
      <c r="I4199" s="12"/>
      <c r="J4199" s="12"/>
    </row>
    <row r="4200" spans="5:10" x14ac:dyDescent="0.25">
      <c r="E4200"/>
      <c r="F4200"/>
      <c r="G4200" s="12"/>
      <c r="H4200" s="12"/>
      <c r="I4200" s="12"/>
      <c r="J4200" s="12"/>
    </row>
    <row r="4201" spans="5:10" x14ac:dyDescent="0.25">
      <c r="E4201"/>
      <c r="F4201"/>
      <c r="G4201" s="12"/>
      <c r="H4201" s="12"/>
      <c r="I4201" s="12"/>
      <c r="J4201" s="12"/>
    </row>
    <row r="4202" spans="5:10" x14ac:dyDescent="0.25">
      <c r="E4202"/>
      <c r="F4202"/>
      <c r="G4202" s="12"/>
      <c r="H4202" s="12"/>
      <c r="I4202" s="12"/>
      <c r="J4202" s="12"/>
    </row>
    <row r="4203" spans="5:10" x14ac:dyDescent="0.25">
      <c r="E4203"/>
      <c r="F4203"/>
      <c r="G4203" s="12"/>
      <c r="H4203" s="12"/>
      <c r="I4203" s="12"/>
      <c r="J4203" s="12"/>
    </row>
    <row r="4204" spans="5:10" x14ac:dyDescent="0.25">
      <c r="E4204"/>
      <c r="F4204"/>
      <c r="G4204" s="12"/>
      <c r="H4204" s="12"/>
      <c r="I4204" s="12"/>
      <c r="J4204" s="12"/>
    </row>
    <row r="4205" spans="5:10" x14ac:dyDescent="0.25">
      <c r="E4205"/>
      <c r="F4205"/>
      <c r="G4205" s="12"/>
      <c r="H4205" s="12"/>
      <c r="I4205" s="12"/>
      <c r="J4205" s="12"/>
    </row>
    <row r="4206" spans="5:10" x14ac:dyDescent="0.25">
      <c r="E4206"/>
      <c r="F4206"/>
      <c r="G4206" s="12"/>
      <c r="H4206" s="12"/>
      <c r="I4206" s="12"/>
      <c r="J4206" s="12"/>
    </row>
    <row r="4207" spans="5:10" x14ac:dyDescent="0.25">
      <c r="E4207"/>
      <c r="F4207"/>
      <c r="G4207" s="12"/>
      <c r="H4207" s="12"/>
      <c r="I4207" s="12"/>
      <c r="J4207" s="12"/>
    </row>
    <row r="4208" spans="5:10" x14ac:dyDescent="0.25">
      <c r="E4208"/>
      <c r="F4208"/>
      <c r="G4208" s="12"/>
      <c r="H4208" s="12"/>
      <c r="I4208" s="12"/>
      <c r="J4208" s="12"/>
    </row>
    <row r="4209" spans="5:10" x14ac:dyDescent="0.25">
      <c r="E4209"/>
      <c r="F4209"/>
      <c r="G4209" s="12"/>
      <c r="H4209" s="12"/>
      <c r="I4209" s="12"/>
      <c r="J4209" s="12"/>
    </row>
    <row r="4210" spans="5:10" x14ac:dyDescent="0.25">
      <c r="E4210"/>
      <c r="F4210"/>
      <c r="G4210" s="12"/>
      <c r="H4210" s="12"/>
      <c r="I4210" s="12"/>
      <c r="J4210" s="12"/>
    </row>
    <row r="4211" spans="5:10" x14ac:dyDescent="0.25">
      <c r="E4211"/>
      <c r="F4211"/>
      <c r="G4211" s="12"/>
      <c r="H4211" s="12"/>
      <c r="I4211" s="12"/>
      <c r="J4211" s="12"/>
    </row>
    <row r="4212" spans="5:10" x14ac:dyDescent="0.25">
      <c r="E4212"/>
      <c r="F4212"/>
      <c r="G4212" s="12"/>
      <c r="H4212" s="12"/>
      <c r="I4212" s="12"/>
      <c r="J4212" s="12"/>
    </row>
    <row r="4213" spans="5:10" x14ac:dyDescent="0.25">
      <c r="E4213"/>
      <c r="F4213"/>
      <c r="G4213" s="12"/>
      <c r="H4213" s="12"/>
      <c r="I4213" s="12"/>
      <c r="J4213" s="12"/>
    </row>
    <row r="4214" spans="5:10" x14ac:dyDescent="0.25">
      <c r="E4214"/>
      <c r="F4214"/>
      <c r="G4214" s="12"/>
      <c r="H4214" s="12"/>
      <c r="I4214" s="12"/>
      <c r="J4214" s="12"/>
    </row>
    <row r="4215" spans="5:10" x14ac:dyDescent="0.25">
      <c r="E4215"/>
      <c r="F4215"/>
      <c r="G4215" s="12"/>
      <c r="H4215" s="12"/>
      <c r="I4215" s="12"/>
      <c r="J4215" s="12"/>
    </row>
    <row r="4216" spans="5:10" x14ac:dyDescent="0.25">
      <c r="E4216"/>
      <c r="F4216"/>
      <c r="G4216" s="12"/>
      <c r="H4216" s="12"/>
      <c r="I4216" s="12"/>
      <c r="J4216" s="12"/>
    </row>
    <row r="4217" spans="5:10" x14ac:dyDescent="0.25">
      <c r="E4217"/>
      <c r="F4217"/>
      <c r="G4217" s="12"/>
      <c r="H4217" s="12"/>
      <c r="I4217" s="12"/>
      <c r="J4217" s="12"/>
    </row>
    <row r="4218" spans="5:10" x14ac:dyDescent="0.25">
      <c r="E4218"/>
      <c r="F4218"/>
      <c r="G4218" s="12"/>
      <c r="H4218" s="12"/>
      <c r="I4218" s="12"/>
      <c r="J4218" s="12"/>
    </row>
    <row r="4219" spans="5:10" x14ac:dyDescent="0.25">
      <c r="E4219"/>
      <c r="F4219"/>
      <c r="G4219" s="12"/>
      <c r="H4219" s="12"/>
      <c r="I4219" s="12"/>
      <c r="J4219" s="12"/>
    </row>
    <row r="4220" spans="5:10" x14ac:dyDescent="0.25">
      <c r="E4220"/>
      <c r="F4220"/>
      <c r="G4220" s="12"/>
      <c r="H4220" s="12"/>
      <c r="I4220" s="12"/>
      <c r="J4220" s="12"/>
    </row>
    <row r="4221" spans="5:10" x14ac:dyDescent="0.25">
      <c r="E4221"/>
      <c r="F4221"/>
      <c r="G4221" s="12"/>
      <c r="H4221" s="12"/>
      <c r="I4221" s="12"/>
      <c r="J4221" s="12"/>
    </row>
    <row r="4222" spans="5:10" x14ac:dyDescent="0.25">
      <c r="E4222"/>
      <c r="F4222"/>
      <c r="G4222" s="12"/>
      <c r="H4222" s="12"/>
      <c r="I4222" s="12"/>
      <c r="J4222" s="12"/>
    </row>
    <row r="4223" spans="5:10" x14ac:dyDescent="0.25">
      <c r="E4223"/>
      <c r="F4223"/>
      <c r="G4223" s="12"/>
      <c r="H4223" s="12"/>
      <c r="I4223" s="12"/>
      <c r="J4223" s="12"/>
    </row>
    <row r="4224" spans="5:10" x14ac:dyDescent="0.25">
      <c r="E4224"/>
      <c r="F4224"/>
      <c r="G4224" s="12"/>
      <c r="H4224" s="12"/>
      <c r="I4224" s="12"/>
      <c r="J4224" s="12"/>
    </row>
    <row r="4225" spans="5:10" x14ac:dyDescent="0.25">
      <c r="E4225"/>
      <c r="F4225"/>
      <c r="G4225" s="12"/>
      <c r="H4225" s="12"/>
      <c r="I4225" s="12"/>
      <c r="J4225" s="12"/>
    </row>
    <row r="4226" spans="5:10" x14ac:dyDescent="0.25">
      <c r="E4226"/>
      <c r="F4226"/>
      <c r="G4226" s="12"/>
      <c r="H4226" s="12"/>
      <c r="I4226" s="12"/>
      <c r="J4226" s="12"/>
    </row>
    <row r="4227" spans="5:10" x14ac:dyDescent="0.25">
      <c r="E4227"/>
      <c r="F4227"/>
      <c r="G4227" s="12"/>
      <c r="H4227" s="12"/>
      <c r="I4227" s="12"/>
      <c r="J4227" s="12"/>
    </row>
    <row r="4228" spans="5:10" x14ac:dyDescent="0.25">
      <c r="E4228"/>
      <c r="F4228"/>
      <c r="G4228" s="12"/>
      <c r="H4228" s="12"/>
      <c r="I4228" s="12"/>
      <c r="J4228" s="12"/>
    </row>
    <row r="4229" spans="5:10" x14ac:dyDescent="0.25">
      <c r="E4229"/>
      <c r="F4229"/>
      <c r="G4229" s="12"/>
      <c r="H4229" s="12"/>
      <c r="I4229" s="12"/>
      <c r="J4229" s="12"/>
    </row>
    <row r="4230" spans="5:10" x14ac:dyDescent="0.25">
      <c r="E4230"/>
      <c r="F4230"/>
      <c r="G4230" s="12"/>
      <c r="H4230" s="12"/>
      <c r="I4230" s="12"/>
      <c r="J4230" s="12"/>
    </row>
    <row r="4231" spans="5:10" x14ac:dyDescent="0.25">
      <c r="E4231"/>
      <c r="F4231"/>
      <c r="G4231" s="12"/>
      <c r="H4231" s="12"/>
      <c r="I4231" s="12"/>
      <c r="J4231" s="12"/>
    </row>
    <row r="4232" spans="5:10" x14ac:dyDescent="0.25">
      <c r="E4232"/>
      <c r="F4232"/>
      <c r="G4232" s="12"/>
      <c r="H4232" s="12"/>
      <c r="I4232" s="12"/>
      <c r="J4232" s="12"/>
    </row>
    <row r="4233" spans="5:10" x14ac:dyDescent="0.25">
      <c r="E4233"/>
      <c r="F4233"/>
      <c r="G4233" s="12"/>
      <c r="H4233" s="12"/>
      <c r="I4233" s="12"/>
      <c r="J4233" s="12"/>
    </row>
    <row r="4234" spans="5:10" x14ac:dyDescent="0.25">
      <c r="E4234"/>
      <c r="F4234"/>
      <c r="G4234" s="12"/>
      <c r="H4234" s="12"/>
      <c r="I4234" s="12"/>
      <c r="J4234" s="12"/>
    </row>
    <row r="4235" spans="5:10" x14ac:dyDescent="0.25">
      <c r="E4235"/>
      <c r="F4235"/>
      <c r="G4235" s="12"/>
      <c r="H4235" s="12"/>
      <c r="I4235" s="12"/>
      <c r="J4235" s="12"/>
    </row>
    <row r="4236" spans="5:10" x14ac:dyDescent="0.25">
      <c r="E4236"/>
      <c r="F4236"/>
      <c r="G4236" s="12"/>
      <c r="H4236" s="12"/>
      <c r="I4236" s="12"/>
      <c r="J4236" s="12"/>
    </row>
    <row r="4237" spans="5:10" x14ac:dyDescent="0.25">
      <c r="E4237"/>
      <c r="F4237"/>
      <c r="G4237" s="12"/>
      <c r="H4237" s="12"/>
      <c r="I4237" s="12"/>
      <c r="J4237" s="12"/>
    </row>
    <row r="4238" spans="5:10" x14ac:dyDescent="0.25">
      <c r="E4238"/>
      <c r="F4238"/>
      <c r="G4238" s="12"/>
      <c r="H4238" s="12"/>
      <c r="I4238" s="12"/>
      <c r="J4238" s="12"/>
    </row>
    <row r="4239" spans="5:10" x14ac:dyDescent="0.25">
      <c r="E4239"/>
      <c r="F4239"/>
      <c r="G4239" s="12"/>
      <c r="H4239" s="12"/>
      <c r="I4239" s="12"/>
      <c r="J4239" s="12"/>
    </row>
    <row r="4240" spans="5:10" x14ac:dyDescent="0.25">
      <c r="E4240"/>
      <c r="F4240"/>
      <c r="G4240" s="12"/>
      <c r="H4240" s="12"/>
      <c r="I4240" s="12"/>
      <c r="J4240" s="12"/>
    </row>
    <row r="4241" spans="5:10" x14ac:dyDescent="0.25">
      <c r="E4241"/>
      <c r="F4241"/>
      <c r="G4241" s="12"/>
      <c r="H4241" s="12"/>
      <c r="I4241" s="12"/>
      <c r="J4241" s="12"/>
    </row>
    <row r="4242" spans="5:10" x14ac:dyDescent="0.25">
      <c r="E4242"/>
      <c r="F4242"/>
      <c r="G4242" s="12"/>
      <c r="H4242" s="12"/>
      <c r="I4242" s="12"/>
      <c r="J4242" s="12"/>
    </row>
    <row r="4243" spans="5:10" x14ac:dyDescent="0.25">
      <c r="E4243"/>
      <c r="F4243"/>
      <c r="G4243" s="12"/>
      <c r="H4243" s="12"/>
      <c r="I4243" s="12"/>
      <c r="J4243" s="12"/>
    </row>
    <row r="4244" spans="5:10" x14ac:dyDescent="0.25">
      <c r="E4244"/>
      <c r="F4244"/>
      <c r="G4244" s="12"/>
      <c r="H4244" s="12"/>
      <c r="I4244" s="12"/>
      <c r="J4244" s="12"/>
    </row>
    <row r="4245" spans="5:10" x14ac:dyDescent="0.25">
      <c r="E4245"/>
      <c r="F4245"/>
      <c r="G4245" s="12"/>
      <c r="H4245" s="12"/>
      <c r="I4245" s="12"/>
      <c r="J4245" s="12"/>
    </row>
    <row r="4246" spans="5:10" x14ac:dyDescent="0.25">
      <c r="E4246"/>
      <c r="F4246"/>
      <c r="G4246" s="12"/>
      <c r="H4246" s="12"/>
      <c r="I4246" s="12"/>
      <c r="J4246" s="12"/>
    </row>
    <row r="4247" spans="5:10" x14ac:dyDescent="0.25">
      <c r="E4247"/>
      <c r="F4247"/>
      <c r="G4247" s="12"/>
      <c r="H4247" s="12"/>
      <c r="I4247" s="12"/>
      <c r="J4247" s="12"/>
    </row>
    <row r="4248" spans="5:10" x14ac:dyDescent="0.25">
      <c r="E4248"/>
      <c r="F4248"/>
      <c r="G4248" s="12"/>
      <c r="H4248" s="12"/>
      <c r="I4248" s="12"/>
      <c r="J4248" s="12"/>
    </row>
    <row r="4249" spans="5:10" x14ac:dyDescent="0.25">
      <c r="E4249"/>
      <c r="F4249"/>
      <c r="G4249" s="12"/>
      <c r="H4249" s="12"/>
      <c r="I4249" s="12"/>
      <c r="J4249" s="12"/>
    </row>
    <row r="4250" spans="5:10" x14ac:dyDescent="0.25">
      <c r="E4250"/>
      <c r="F4250"/>
      <c r="G4250" s="12"/>
      <c r="H4250" s="12"/>
      <c r="I4250" s="12"/>
      <c r="J4250" s="12"/>
    </row>
    <row r="4251" spans="5:10" x14ac:dyDescent="0.25">
      <c r="E4251"/>
      <c r="F4251"/>
      <c r="G4251" s="12"/>
      <c r="H4251" s="12"/>
      <c r="I4251" s="12"/>
      <c r="J4251" s="12"/>
    </row>
    <row r="4252" spans="5:10" x14ac:dyDescent="0.25">
      <c r="E4252"/>
      <c r="F4252"/>
      <c r="G4252" s="12"/>
      <c r="H4252" s="12"/>
      <c r="I4252" s="12"/>
      <c r="J4252" s="12"/>
    </row>
    <row r="4253" spans="5:10" x14ac:dyDescent="0.25">
      <c r="E4253"/>
      <c r="F4253"/>
      <c r="G4253" s="12"/>
      <c r="H4253" s="12"/>
      <c r="I4253" s="12"/>
      <c r="J4253" s="12"/>
    </row>
    <row r="4254" spans="5:10" x14ac:dyDescent="0.25">
      <c r="E4254"/>
      <c r="F4254"/>
      <c r="G4254" s="12"/>
      <c r="H4254" s="12"/>
      <c r="I4254" s="12"/>
      <c r="J4254" s="12"/>
    </row>
    <row r="4255" spans="5:10" x14ac:dyDescent="0.25">
      <c r="E4255"/>
      <c r="F4255"/>
      <c r="G4255" s="12"/>
      <c r="H4255" s="12"/>
      <c r="I4255" s="12"/>
      <c r="J4255" s="12"/>
    </row>
    <row r="4256" spans="5:10" x14ac:dyDescent="0.25">
      <c r="E4256"/>
      <c r="F4256"/>
      <c r="G4256" s="12"/>
      <c r="H4256" s="12"/>
      <c r="I4256" s="12"/>
      <c r="J4256" s="12"/>
    </row>
    <row r="4257" spans="5:10" x14ac:dyDescent="0.25">
      <c r="E4257"/>
      <c r="F4257"/>
      <c r="G4257" s="12"/>
      <c r="H4257" s="12"/>
      <c r="I4257" s="12"/>
      <c r="J4257" s="12"/>
    </row>
    <row r="4258" spans="5:10" x14ac:dyDescent="0.25">
      <c r="E4258"/>
      <c r="F4258"/>
      <c r="G4258" s="12"/>
      <c r="H4258" s="12"/>
      <c r="I4258" s="12"/>
      <c r="J4258" s="12"/>
    </row>
    <row r="4259" spans="5:10" x14ac:dyDescent="0.25">
      <c r="E4259"/>
      <c r="F4259"/>
      <c r="G4259" s="12"/>
      <c r="H4259" s="12"/>
      <c r="I4259" s="12"/>
      <c r="J4259" s="12"/>
    </row>
    <row r="4260" spans="5:10" x14ac:dyDescent="0.25">
      <c r="E4260"/>
      <c r="F4260"/>
      <c r="G4260" s="12"/>
      <c r="H4260" s="12"/>
      <c r="I4260" s="12"/>
      <c r="J4260" s="12"/>
    </row>
    <row r="4261" spans="5:10" x14ac:dyDescent="0.25">
      <c r="E4261"/>
      <c r="F4261"/>
      <c r="G4261" s="12"/>
      <c r="H4261" s="12"/>
      <c r="I4261" s="12"/>
      <c r="J4261" s="12"/>
    </row>
    <row r="4262" spans="5:10" x14ac:dyDescent="0.25">
      <c r="E4262"/>
      <c r="F4262"/>
      <c r="G4262" s="12"/>
      <c r="H4262" s="12"/>
      <c r="I4262" s="12"/>
      <c r="J4262" s="12"/>
    </row>
    <row r="4263" spans="5:10" x14ac:dyDescent="0.25">
      <c r="E4263"/>
      <c r="F4263"/>
      <c r="G4263" s="12"/>
      <c r="H4263" s="12"/>
      <c r="I4263" s="12"/>
      <c r="J4263" s="12"/>
    </row>
    <row r="4264" spans="5:10" x14ac:dyDescent="0.25">
      <c r="E4264"/>
      <c r="F4264"/>
      <c r="G4264" s="12"/>
      <c r="H4264" s="12"/>
      <c r="I4264" s="12"/>
      <c r="J4264" s="12"/>
    </row>
    <row r="4265" spans="5:10" x14ac:dyDescent="0.25">
      <c r="E4265"/>
      <c r="F4265"/>
      <c r="G4265" s="12"/>
      <c r="H4265" s="12"/>
      <c r="I4265" s="12"/>
      <c r="J4265" s="12"/>
    </row>
    <row r="4266" spans="5:10" x14ac:dyDescent="0.25">
      <c r="E4266"/>
      <c r="F4266"/>
      <c r="G4266" s="12"/>
      <c r="H4266" s="12"/>
      <c r="I4266" s="12"/>
      <c r="J4266" s="12"/>
    </row>
    <row r="4267" spans="5:10" x14ac:dyDescent="0.25">
      <c r="E4267"/>
      <c r="F4267"/>
      <c r="G4267" s="12"/>
      <c r="H4267" s="12"/>
      <c r="I4267" s="12"/>
      <c r="J4267" s="12"/>
    </row>
    <row r="4268" spans="5:10" x14ac:dyDescent="0.25">
      <c r="E4268"/>
      <c r="F4268"/>
      <c r="G4268" s="12"/>
      <c r="H4268" s="12"/>
      <c r="I4268" s="12"/>
      <c r="J4268" s="12"/>
    </row>
    <row r="4269" spans="5:10" x14ac:dyDescent="0.25">
      <c r="E4269"/>
      <c r="F4269"/>
      <c r="G4269" s="12"/>
      <c r="H4269" s="12"/>
      <c r="I4269" s="12"/>
      <c r="J4269" s="12"/>
    </row>
    <row r="4270" spans="5:10" x14ac:dyDescent="0.25">
      <c r="E4270"/>
      <c r="F4270"/>
      <c r="G4270" s="12"/>
      <c r="H4270" s="12"/>
      <c r="I4270" s="12"/>
      <c r="J4270" s="12"/>
    </row>
    <row r="4271" spans="5:10" x14ac:dyDescent="0.25">
      <c r="E4271"/>
      <c r="F4271"/>
      <c r="G4271" s="12"/>
      <c r="H4271" s="12"/>
      <c r="I4271" s="12"/>
      <c r="J4271" s="12"/>
    </row>
    <row r="4272" spans="5:10" x14ac:dyDescent="0.25">
      <c r="E4272"/>
      <c r="F4272"/>
      <c r="G4272" s="12"/>
      <c r="H4272" s="12"/>
      <c r="I4272" s="12"/>
      <c r="J4272" s="12"/>
    </row>
    <row r="4273" spans="5:10" x14ac:dyDescent="0.25">
      <c r="E4273"/>
      <c r="F4273"/>
      <c r="G4273" s="12"/>
      <c r="H4273" s="12"/>
      <c r="I4273" s="12"/>
      <c r="J4273" s="12"/>
    </row>
    <row r="4274" spans="5:10" x14ac:dyDescent="0.25">
      <c r="E4274"/>
      <c r="F4274"/>
      <c r="G4274" s="12"/>
      <c r="H4274" s="12"/>
      <c r="I4274" s="12"/>
      <c r="J4274" s="12"/>
    </row>
    <row r="4275" spans="5:10" x14ac:dyDescent="0.25">
      <c r="E4275"/>
      <c r="F4275"/>
      <c r="G4275" s="12"/>
      <c r="H4275" s="12"/>
      <c r="I4275" s="12"/>
      <c r="J4275" s="12"/>
    </row>
    <row r="4276" spans="5:10" x14ac:dyDescent="0.25">
      <c r="E4276"/>
      <c r="F4276"/>
      <c r="G4276" s="12"/>
      <c r="H4276" s="12"/>
      <c r="I4276" s="12"/>
      <c r="J4276" s="12"/>
    </row>
    <row r="4277" spans="5:10" x14ac:dyDescent="0.25">
      <c r="E4277"/>
      <c r="F4277"/>
      <c r="G4277" s="12"/>
      <c r="H4277" s="12"/>
      <c r="I4277" s="12"/>
      <c r="J4277" s="12"/>
    </row>
    <row r="4278" spans="5:10" x14ac:dyDescent="0.25">
      <c r="E4278"/>
      <c r="F4278"/>
      <c r="G4278" s="12"/>
      <c r="H4278" s="12"/>
      <c r="I4278" s="12"/>
      <c r="J4278" s="12"/>
    </row>
    <row r="4279" spans="5:10" x14ac:dyDescent="0.25">
      <c r="E4279"/>
      <c r="F4279"/>
      <c r="G4279" s="12"/>
      <c r="H4279" s="12"/>
      <c r="I4279" s="12"/>
      <c r="J4279" s="12"/>
    </row>
    <row r="4280" spans="5:10" x14ac:dyDescent="0.25">
      <c r="E4280"/>
      <c r="F4280"/>
      <c r="G4280" s="12"/>
      <c r="H4280" s="12"/>
      <c r="I4280" s="12"/>
      <c r="J4280" s="12"/>
    </row>
    <row r="4281" spans="5:10" x14ac:dyDescent="0.25">
      <c r="E4281"/>
      <c r="F4281"/>
      <c r="G4281" s="12"/>
      <c r="H4281" s="12"/>
      <c r="I4281" s="12"/>
      <c r="J4281" s="12"/>
    </row>
    <row r="4282" spans="5:10" x14ac:dyDescent="0.25">
      <c r="E4282"/>
      <c r="F4282"/>
      <c r="G4282" s="12"/>
      <c r="H4282" s="12"/>
      <c r="I4282" s="12"/>
      <c r="J4282" s="12"/>
    </row>
    <row r="4283" spans="5:10" x14ac:dyDescent="0.25">
      <c r="E4283"/>
      <c r="F4283"/>
      <c r="G4283" s="12"/>
      <c r="H4283" s="12"/>
      <c r="I4283" s="12"/>
      <c r="J4283" s="12"/>
    </row>
    <row r="4284" spans="5:10" x14ac:dyDescent="0.25">
      <c r="E4284"/>
      <c r="F4284"/>
      <c r="G4284" s="12"/>
      <c r="H4284" s="12"/>
      <c r="I4284" s="12"/>
      <c r="J4284" s="12"/>
    </row>
    <row r="4285" spans="5:10" x14ac:dyDescent="0.25">
      <c r="E4285"/>
      <c r="F4285"/>
      <c r="G4285" s="12"/>
      <c r="H4285" s="12"/>
      <c r="I4285" s="12"/>
      <c r="J4285" s="12"/>
    </row>
    <row r="4286" spans="5:10" x14ac:dyDescent="0.25">
      <c r="E4286"/>
      <c r="F4286"/>
      <c r="G4286" s="12"/>
      <c r="H4286" s="12"/>
      <c r="I4286" s="12"/>
      <c r="J4286" s="12"/>
    </row>
    <row r="4287" spans="5:10" x14ac:dyDescent="0.25">
      <c r="E4287"/>
      <c r="F4287"/>
      <c r="G4287" s="12"/>
      <c r="H4287" s="12"/>
      <c r="I4287" s="12"/>
      <c r="J4287" s="12"/>
    </row>
    <row r="4288" spans="5:10" x14ac:dyDescent="0.25">
      <c r="E4288"/>
      <c r="F4288"/>
      <c r="G4288" s="12"/>
      <c r="H4288" s="12"/>
      <c r="I4288" s="12"/>
      <c r="J4288" s="12"/>
    </row>
    <row r="4289" spans="5:10" x14ac:dyDescent="0.25">
      <c r="E4289"/>
      <c r="F4289"/>
      <c r="G4289" s="12"/>
      <c r="H4289" s="12"/>
      <c r="I4289" s="12"/>
      <c r="J4289" s="12"/>
    </row>
    <row r="4290" spans="5:10" x14ac:dyDescent="0.25">
      <c r="E4290"/>
      <c r="F4290"/>
      <c r="G4290" s="12"/>
      <c r="H4290" s="12"/>
      <c r="I4290" s="12"/>
      <c r="J4290" s="12"/>
    </row>
    <row r="4291" spans="5:10" x14ac:dyDescent="0.25">
      <c r="E4291"/>
      <c r="F4291"/>
      <c r="G4291" s="12"/>
      <c r="H4291" s="12"/>
      <c r="I4291" s="12"/>
      <c r="J4291" s="12"/>
    </row>
    <row r="4292" spans="5:10" x14ac:dyDescent="0.25">
      <c r="E4292"/>
      <c r="F4292"/>
      <c r="G4292" s="12"/>
      <c r="H4292" s="12"/>
      <c r="I4292" s="12"/>
      <c r="J4292" s="12"/>
    </row>
    <row r="4293" spans="5:10" x14ac:dyDescent="0.25">
      <c r="E4293"/>
      <c r="F4293"/>
      <c r="G4293" s="12"/>
      <c r="H4293" s="12"/>
      <c r="I4293" s="12"/>
      <c r="J4293" s="12"/>
    </row>
    <row r="4294" spans="5:10" x14ac:dyDescent="0.25">
      <c r="E4294"/>
      <c r="F4294"/>
      <c r="G4294" s="12"/>
      <c r="H4294" s="12"/>
      <c r="I4294" s="12"/>
      <c r="J4294" s="12"/>
    </row>
    <row r="4295" spans="5:10" x14ac:dyDescent="0.25">
      <c r="E4295"/>
      <c r="F4295"/>
      <c r="G4295" s="12"/>
      <c r="H4295" s="12"/>
      <c r="I4295" s="12"/>
      <c r="J4295" s="12"/>
    </row>
    <row r="4296" spans="5:10" x14ac:dyDescent="0.25">
      <c r="E4296"/>
      <c r="F4296"/>
      <c r="G4296" s="12"/>
      <c r="H4296" s="12"/>
      <c r="I4296" s="12"/>
      <c r="J4296" s="12"/>
    </row>
    <row r="4297" spans="5:10" x14ac:dyDescent="0.25">
      <c r="E4297"/>
      <c r="F4297"/>
      <c r="G4297" s="12"/>
      <c r="H4297" s="12"/>
      <c r="I4297" s="12"/>
      <c r="J4297" s="12"/>
    </row>
    <row r="4298" spans="5:10" x14ac:dyDescent="0.25">
      <c r="E4298"/>
      <c r="F4298"/>
      <c r="G4298" s="12"/>
      <c r="H4298" s="12"/>
      <c r="I4298" s="12"/>
      <c r="J4298" s="12"/>
    </row>
    <row r="4299" spans="5:10" x14ac:dyDescent="0.25">
      <c r="E4299"/>
      <c r="F4299"/>
      <c r="G4299" s="12"/>
      <c r="H4299" s="12"/>
      <c r="I4299" s="12"/>
      <c r="J4299" s="12"/>
    </row>
    <row r="4300" spans="5:10" x14ac:dyDescent="0.25">
      <c r="E4300"/>
      <c r="F4300"/>
      <c r="G4300" s="12"/>
      <c r="H4300" s="12"/>
      <c r="I4300" s="12"/>
      <c r="J4300" s="12"/>
    </row>
    <row r="4301" spans="5:10" x14ac:dyDescent="0.25">
      <c r="E4301"/>
      <c r="F4301"/>
      <c r="G4301" s="12"/>
      <c r="H4301" s="12"/>
      <c r="I4301" s="12"/>
      <c r="J4301" s="12"/>
    </row>
    <row r="4302" spans="5:10" x14ac:dyDescent="0.25">
      <c r="E4302"/>
      <c r="F4302"/>
      <c r="G4302" s="12"/>
      <c r="H4302" s="12"/>
      <c r="I4302" s="12"/>
      <c r="J4302" s="12"/>
    </row>
    <row r="4303" spans="5:10" x14ac:dyDescent="0.25">
      <c r="E4303"/>
      <c r="F4303"/>
      <c r="G4303" s="12"/>
      <c r="H4303" s="12"/>
      <c r="I4303" s="12"/>
      <c r="J4303" s="12"/>
    </row>
    <row r="4304" spans="5:10" x14ac:dyDescent="0.25">
      <c r="E4304"/>
      <c r="F4304"/>
      <c r="G4304" s="12"/>
      <c r="H4304" s="12"/>
      <c r="I4304" s="12"/>
      <c r="J4304" s="12"/>
    </row>
    <row r="4305" spans="5:10" x14ac:dyDescent="0.25">
      <c r="E4305"/>
      <c r="F4305"/>
      <c r="G4305" s="12"/>
      <c r="H4305" s="12"/>
      <c r="I4305" s="12"/>
      <c r="J4305" s="12"/>
    </row>
    <row r="4306" spans="5:10" x14ac:dyDescent="0.25">
      <c r="E4306"/>
      <c r="F4306"/>
      <c r="G4306" s="12"/>
      <c r="H4306" s="12"/>
      <c r="I4306" s="12"/>
      <c r="J4306" s="12"/>
    </row>
    <row r="4307" spans="5:10" x14ac:dyDescent="0.25">
      <c r="E4307"/>
      <c r="F4307"/>
      <c r="G4307" s="12"/>
      <c r="H4307" s="12"/>
      <c r="I4307" s="12"/>
      <c r="J4307" s="12"/>
    </row>
    <row r="4308" spans="5:10" x14ac:dyDescent="0.25">
      <c r="E4308"/>
      <c r="F4308"/>
      <c r="G4308" s="12"/>
      <c r="H4308" s="12"/>
      <c r="I4308" s="12"/>
      <c r="J4308" s="12"/>
    </row>
    <row r="4309" spans="5:10" x14ac:dyDescent="0.25">
      <c r="E4309"/>
      <c r="F4309"/>
      <c r="G4309" s="12"/>
      <c r="H4309" s="12"/>
      <c r="I4309" s="12"/>
      <c r="J4309" s="12"/>
    </row>
    <row r="4310" spans="5:10" x14ac:dyDescent="0.25">
      <c r="E4310"/>
      <c r="F4310"/>
      <c r="G4310" s="12"/>
      <c r="H4310" s="12"/>
      <c r="I4310" s="12"/>
      <c r="J4310" s="12"/>
    </row>
    <row r="4311" spans="5:10" x14ac:dyDescent="0.25">
      <c r="E4311"/>
      <c r="F4311"/>
      <c r="G4311" s="12"/>
      <c r="H4311" s="12"/>
      <c r="I4311" s="12"/>
      <c r="J4311" s="12"/>
    </row>
    <row r="4312" spans="5:10" x14ac:dyDescent="0.25">
      <c r="E4312"/>
      <c r="F4312"/>
      <c r="G4312" s="12"/>
      <c r="H4312" s="12"/>
      <c r="I4312" s="12"/>
      <c r="J4312" s="12"/>
    </row>
    <row r="4313" spans="5:10" x14ac:dyDescent="0.25">
      <c r="E4313"/>
      <c r="F4313"/>
      <c r="G4313" s="12"/>
      <c r="H4313" s="12"/>
      <c r="I4313" s="12"/>
      <c r="J4313" s="12"/>
    </row>
    <row r="4314" spans="5:10" x14ac:dyDescent="0.25">
      <c r="E4314"/>
      <c r="F4314"/>
      <c r="G4314" s="12"/>
      <c r="H4314" s="12"/>
      <c r="I4314" s="12"/>
      <c r="J4314" s="12"/>
    </row>
    <row r="4315" spans="5:10" x14ac:dyDescent="0.25">
      <c r="E4315"/>
      <c r="F4315"/>
      <c r="G4315" s="12"/>
      <c r="H4315" s="12"/>
      <c r="I4315" s="12"/>
      <c r="J4315" s="12"/>
    </row>
    <row r="4316" spans="5:10" x14ac:dyDescent="0.25">
      <c r="E4316"/>
      <c r="F4316"/>
      <c r="G4316" s="12"/>
      <c r="H4316" s="12"/>
      <c r="I4316" s="12"/>
      <c r="J4316" s="12"/>
    </row>
    <row r="4317" spans="5:10" x14ac:dyDescent="0.25">
      <c r="E4317"/>
      <c r="F4317"/>
      <c r="G4317" s="12"/>
      <c r="H4317" s="12"/>
      <c r="I4317" s="12"/>
      <c r="J4317" s="12"/>
    </row>
    <row r="4318" spans="5:10" x14ac:dyDescent="0.25">
      <c r="E4318"/>
      <c r="F4318"/>
      <c r="G4318" s="12"/>
      <c r="H4318" s="12"/>
      <c r="I4318" s="12"/>
      <c r="J4318" s="12"/>
    </row>
    <row r="4319" spans="5:10" x14ac:dyDescent="0.25">
      <c r="E4319"/>
      <c r="F4319"/>
      <c r="G4319" s="12"/>
      <c r="H4319" s="12"/>
      <c r="I4319" s="12"/>
      <c r="J4319" s="12"/>
    </row>
    <row r="4320" spans="5:10" x14ac:dyDescent="0.25">
      <c r="E4320"/>
      <c r="F4320"/>
      <c r="G4320" s="12"/>
      <c r="H4320" s="12"/>
      <c r="I4320" s="12"/>
      <c r="J4320" s="12"/>
    </row>
    <row r="4321" spans="5:10" x14ac:dyDescent="0.25">
      <c r="E4321"/>
      <c r="F4321"/>
      <c r="G4321" s="12"/>
      <c r="H4321" s="12"/>
      <c r="I4321" s="12"/>
      <c r="J4321" s="12"/>
    </row>
    <row r="4322" spans="5:10" x14ac:dyDescent="0.25">
      <c r="E4322"/>
      <c r="F4322"/>
      <c r="G4322" s="12"/>
      <c r="H4322" s="12"/>
      <c r="I4322" s="12"/>
      <c r="J4322" s="12"/>
    </row>
    <row r="4323" spans="5:10" x14ac:dyDescent="0.25">
      <c r="E4323"/>
      <c r="F4323"/>
      <c r="G4323" s="12"/>
      <c r="H4323" s="12"/>
      <c r="I4323" s="12"/>
      <c r="J4323" s="12"/>
    </row>
    <row r="4324" spans="5:10" x14ac:dyDescent="0.25">
      <c r="E4324"/>
      <c r="F4324"/>
      <c r="G4324" s="12"/>
      <c r="H4324" s="12"/>
      <c r="I4324" s="12"/>
      <c r="J4324" s="12"/>
    </row>
    <row r="4325" spans="5:10" x14ac:dyDescent="0.25">
      <c r="E4325"/>
      <c r="F4325"/>
      <c r="G4325" s="12"/>
      <c r="H4325" s="12"/>
      <c r="I4325" s="12"/>
      <c r="J4325" s="12"/>
    </row>
    <row r="4326" spans="5:10" x14ac:dyDescent="0.25">
      <c r="E4326"/>
      <c r="F4326"/>
      <c r="G4326" s="12"/>
      <c r="H4326" s="12"/>
      <c r="I4326" s="12"/>
      <c r="J4326" s="12"/>
    </row>
    <row r="4327" spans="5:10" x14ac:dyDescent="0.25">
      <c r="E4327"/>
      <c r="F4327"/>
      <c r="G4327" s="12"/>
      <c r="H4327" s="12"/>
      <c r="I4327" s="12"/>
      <c r="J4327" s="12"/>
    </row>
    <row r="4328" spans="5:10" x14ac:dyDescent="0.25">
      <c r="E4328"/>
      <c r="F4328"/>
      <c r="G4328" s="12"/>
      <c r="H4328" s="12"/>
      <c r="I4328" s="12"/>
      <c r="J4328" s="12"/>
    </row>
    <row r="4329" spans="5:10" x14ac:dyDescent="0.25">
      <c r="E4329"/>
      <c r="F4329"/>
      <c r="G4329" s="12"/>
      <c r="H4329" s="12"/>
      <c r="I4329" s="12"/>
      <c r="J4329" s="12"/>
    </row>
    <row r="4330" spans="5:10" x14ac:dyDescent="0.25">
      <c r="E4330"/>
      <c r="F4330"/>
      <c r="G4330" s="12"/>
      <c r="H4330" s="12"/>
      <c r="I4330" s="12"/>
      <c r="J4330" s="12"/>
    </row>
    <row r="4331" spans="5:10" x14ac:dyDescent="0.25">
      <c r="E4331"/>
      <c r="F4331"/>
      <c r="G4331" s="12"/>
      <c r="H4331" s="12"/>
      <c r="I4331" s="12"/>
      <c r="J4331" s="12"/>
    </row>
    <row r="4332" spans="5:10" x14ac:dyDescent="0.25">
      <c r="E4332"/>
      <c r="F4332"/>
      <c r="G4332" s="12"/>
      <c r="H4332" s="12"/>
      <c r="I4332" s="12"/>
      <c r="J4332" s="12"/>
    </row>
    <row r="4333" spans="5:10" x14ac:dyDescent="0.25">
      <c r="E4333"/>
      <c r="F4333"/>
      <c r="G4333" s="12"/>
      <c r="H4333" s="12"/>
      <c r="I4333" s="12"/>
      <c r="J4333" s="12"/>
    </row>
    <row r="4334" spans="5:10" x14ac:dyDescent="0.25">
      <c r="E4334"/>
      <c r="F4334"/>
      <c r="G4334" s="12"/>
      <c r="H4334" s="12"/>
      <c r="I4334" s="12"/>
      <c r="J4334" s="12"/>
    </row>
    <row r="4335" spans="5:10" x14ac:dyDescent="0.25">
      <c r="E4335"/>
      <c r="F4335"/>
      <c r="G4335" s="12"/>
      <c r="H4335" s="12"/>
      <c r="I4335" s="12"/>
      <c r="J4335" s="12"/>
    </row>
    <row r="4336" spans="5:10" x14ac:dyDescent="0.25">
      <c r="E4336"/>
      <c r="F4336"/>
      <c r="G4336" s="12"/>
      <c r="H4336" s="12"/>
      <c r="I4336" s="12"/>
      <c r="J4336" s="12"/>
    </row>
    <row r="4337" spans="5:10" x14ac:dyDescent="0.25">
      <c r="E4337"/>
      <c r="F4337"/>
      <c r="G4337" s="12"/>
      <c r="H4337" s="12"/>
      <c r="I4337" s="12"/>
      <c r="J4337" s="12"/>
    </row>
    <row r="4338" spans="5:10" x14ac:dyDescent="0.25">
      <c r="E4338"/>
      <c r="F4338"/>
      <c r="G4338" s="12"/>
      <c r="H4338" s="12"/>
      <c r="I4338" s="12"/>
      <c r="J4338" s="12"/>
    </row>
    <row r="4339" spans="5:10" x14ac:dyDescent="0.25">
      <c r="E4339"/>
      <c r="F4339"/>
      <c r="G4339" s="12"/>
      <c r="H4339" s="12"/>
      <c r="I4339" s="12"/>
      <c r="J4339" s="12"/>
    </row>
    <row r="4340" spans="5:10" x14ac:dyDescent="0.25">
      <c r="E4340"/>
      <c r="F4340"/>
      <c r="G4340" s="12"/>
      <c r="H4340" s="12"/>
      <c r="I4340" s="12"/>
      <c r="J4340" s="12"/>
    </row>
    <row r="4341" spans="5:10" x14ac:dyDescent="0.25">
      <c r="E4341"/>
      <c r="F4341"/>
      <c r="G4341" s="12"/>
      <c r="H4341" s="12"/>
      <c r="I4341" s="12"/>
      <c r="J4341" s="12"/>
    </row>
    <row r="4342" spans="5:10" x14ac:dyDescent="0.25">
      <c r="E4342"/>
      <c r="F4342"/>
      <c r="G4342" s="12"/>
      <c r="H4342" s="12"/>
      <c r="I4342" s="12"/>
      <c r="J4342" s="12"/>
    </row>
    <row r="4343" spans="5:10" x14ac:dyDescent="0.25">
      <c r="E4343"/>
      <c r="F4343"/>
      <c r="G4343" s="12"/>
      <c r="H4343" s="12"/>
      <c r="I4343" s="12"/>
      <c r="J4343" s="12"/>
    </row>
    <row r="4344" spans="5:10" x14ac:dyDescent="0.25">
      <c r="E4344"/>
      <c r="F4344"/>
      <c r="G4344" s="12"/>
      <c r="H4344" s="12"/>
      <c r="I4344" s="12"/>
      <c r="J4344" s="12"/>
    </row>
    <row r="4345" spans="5:10" x14ac:dyDescent="0.25">
      <c r="E4345"/>
      <c r="F4345"/>
      <c r="G4345" s="12"/>
      <c r="H4345" s="12"/>
      <c r="I4345" s="12"/>
      <c r="J4345" s="12"/>
    </row>
    <row r="4346" spans="5:10" x14ac:dyDescent="0.25">
      <c r="E4346"/>
      <c r="F4346"/>
      <c r="G4346" s="12"/>
      <c r="H4346" s="12"/>
      <c r="I4346" s="12"/>
      <c r="J4346" s="12"/>
    </row>
    <row r="4347" spans="5:10" x14ac:dyDescent="0.25">
      <c r="E4347"/>
      <c r="F4347"/>
      <c r="G4347" s="12"/>
      <c r="H4347" s="12"/>
      <c r="I4347" s="12"/>
      <c r="J4347" s="12"/>
    </row>
    <row r="4348" spans="5:10" x14ac:dyDescent="0.25">
      <c r="E4348"/>
      <c r="F4348"/>
      <c r="G4348" s="12"/>
      <c r="H4348" s="12"/>
      <c r="I4348" s="12"/>
      <c r="J4348" s="12"/>
    </row>
    <row r="4349" spans="5:10" x14ac:dyDescent="0.25">
      <c r="E4349"/>
      <c r="F4349"/>
      <c r="G4349" s="12"/>
      <c r="H4349" s="12"/>
      <c r="I4349" s="12"/>
      <c r="J4349" s="12"/>
    </row>
    <row r="4350" spans="5:10" x14ac:dyDescent="0.25">
      <c r="E4350"/>
      <c r="F4350"/>
      <c r="G4350" s="12"/>
      <c r="H4350" s="12"/>
      <c r="I4350" s="12"/>
      <c r="J4350" s="12"/>
    </row>
    <row r="4351" spans="5:10" x14ac:dyDescent="0.25">
      <c r="E4351"/>
      <c r="F4351"/>
      <c r="G4351" s="12"/>
      <c r="H4351" s="12"/>
      <c r="I4351" s="12"/>
      <c r="J4351" s="12"/>
    </row>
    <row r="4352" spans="5:10" x14ac:dyDescent="0.25">
      <c r="E4352"/>
      <c r="F4352"/>
      <c r="G4352" s="12"/>
      <c r="H4352" s="12"/>
      <c r="I4352" s="12"/>
      <c r="J4352" s="12"/>
    </row>
    <row r="4353" spans="5:10" x14ac:dyDescent="0.25">
      <c r="E4353"/>
      <c r="F4353"/>
      <c r="G4353" s="12"/>
      <c r="H4353" s="12"/>
      <c r="I4353" s="12"/>
      <c r="J4353" s="12"/>
    </row>
    <row r="4354" spans="5:10" x14ac:dyDescent="0.25">
      <c r="E4354"/>
      <c r="F4354"/>
      <c r="G4354" s="12"/>
      <c r="H4354" s="12"/>
      <c r="I4354" s="12"/>
      <c r="J4354" s="12"/>
    </row>
    <row r="4355" spans="5:10" x14ac:dyDescent="0.25">
      <c r="E4355"/>
      <c r="F4355"/>
      <c r="G4355" s="12"/>
      <c r="H4355" s="12"/>
      <c r="I4355" s="12"/>
      <c r="J4355" s="12"/>
    </row>
    <row r="4356" spans="5:10" x14ac:dyDescent="0.25">
      <c r="E4356"/>
      <c r="F4356"/>
      <c r="G4356" s="12"/>
      <c r="H4356" s="12"/>
      <c r="I4356" s="12"/>
      <c r="J4356" s="12"/>
    </row>
    <row r="4357" spans="5:10" x14ac:dyDescent="0.25">
      <c r="E4357"/>
      <c r="F4357"/>
      <c r="G4357" s="12"/>
      <c r="H4357" s="12"/>
      <c r="I4357" s="12"/>
      <c r="J4357" s="12"/>
    </row>
    <row r="4358" spans="5:10" x14ac:dyDescent="0.25">
      <c r="E4358"/>
      <c r="F4358"/>
      <c r="G4358" s="12"/>
      <c r="H4358" s="12"/>
      <c r="I4358" s="12"/>
      <c r="J4358" s="12"/>
    </row>
    <row r="4359" spans="5:10" x14ac:dyDescent="0.25">
      <c r="E4359"/>
      <c r="F4359"/>
      <c r="G4359" s="12"/>
      <c r="H4359" s="12"/>
      <c r="I4359" s="12"/>
      <c r="J4359" s="12"/>
    </row>
    <row r="4360" spans="5:10" x14ac:dyDescent="0.25">
      <c r="E4360"/>
      <c r="F4360"/>
      <c r="G4360" s="12"/>
      <c r="H4360" s="12"/>
      <c r="I4360" s="12"/>
      <c r="J4360" s="12"/>
    </row>
    <row r="4361" spans="5:10" x14ac:dyDescent="0.25">
      <c r="E4361"/>
      <c r="F4361"/>
      <c r="G4361" s="12"/>
      <c r="H4361" s="12"/>
      <c r="I4361" s="12"/>
      <c r="J4361" s="12"/>
    </row>
    <row r="4362" spans="5:10" x14ac:dyDescent="0.25">
      <c r="E4362"/>
      <c r="F4362"/>
      <c r="G4362" s="12"/>
      <c r="H4362" s="12"/>
      <c r="I4362" s="12"/>
      <c r="J4362" s="12"/>
    </row>
    <row r="4363" spans="5:10" x14ac:dyDescent="0.25">
      <c r="E4363"/>
      <c r="F4363"/>
      <c r="G4363" s="12"/>
      <c r="H4363" s="12"/>
      <c r="I4363" s="12"/>
      <c r="J4363" s="12"/>
    </row>
    <row r="4364" spans="5:10" x14ac:dyDescent="0.25">
      <c r="E4364"/>
      <c r="F4364"/>
      <c r="G4364" s="12"/>
      <c r="H4364" s="12"/>
      <c r="I4364" s="12"/>
      <c r="J4364" s="12"/>
    </row>
    <row r="4365" spans="5:10" x14ac:dyDescent="0.25">
      <c r="E4365"/>
      <c r="F4365"/>
      <c r="G4365" s="12"/>
      <c r="H4365" s="12"/>
      <c r="I4365" s="12"/>
      <c r="J4365" s="12"/>
    </row>
    <row r="4366" spans="5:10" x14ac:dyDescent="0.25">
      <c r="E4366"/>
      <c r="F4366"/>
      <c r="G4366" s="12"/>
      <c r="H4366" s="12"/>
      <c r="I4366" s="12"/>
      <c r="J4366" s="12"/>
    </row>
    <row r="4367" spans="5:10" x14ac:dyDescent="0.25">
      <c r="E4367"/>
      <c r="F4367"/>
      <c r="G4367" s="12"/>
      <c r="H4367" s="12"/>
      <c r="I4367" s="12"/>
      <c r="J4367" s="12"/>
    </row>
    <row r="4368" spans="5:10" x14ac:dyDescent="0.25">
      <c r="E4368"/>
      <c r="F4368"/>
      <c r="G4368" s="12"/>
      <c r="H4368" s="12"/>
      <c r="I4368" s="12"/>
      <c r="J4368" s="12"/>
    </row>
    <row r="4369" spans="5:10" x14ac:dyDescent="0.25">
      <c r="E4369"/>
      <c r="F4369"/>
      <c r="G4369" s="12"/>
      <c r="H4369" s="12"/>
      <c r="I4369" s="12"/>
      <c r="J4369" s="12"/>
    </row>
    <row r="4370" spans="5:10" x14ac:dyDescent="0.25">
      <c r="E4370"/>
      <c r="F4370"/>
      <c r="G4370" s="12"/>
      <c r="H4370" s="12"/>
      <c r="I4370" s="12"/>
      <c r="J4370" s="12"/>
    </row>
    <row r="4371" spans="5:10" x14ac:dyDescent="0.25">
      <c r="E4371"/>
      <c r="F4371"/>
      <c r="G4371" s="12"/>
      <c r="H4371" s="12"/>
      <c r="I4371" s="12"/>
      <c r="J4371" s="12"/>
    </row>
    <row r="4372" spans="5:10" x14ac:dyDescent="0.25">
      <c r="E4372"/>
      <c r="F4372"/>
      <c r="G4372" s="12"/>
      <c r="H4372" s="12"/>
      <c r="I4372" s="12"/>
      <c r="J4372" s="12"/>
    </row>
    <row r="4373" spans="5:10" x14ac:dyDescent="0.25">
      <c r="E4373"/>
      <c r="F4373"/>
      <c r="G4373" s="12"/>
      <c r="H4373" s="12"/>
      <c r="I4373" s="12"/>
      <c r="J4373" s="12"/>
    </row>
    <row r="4374" spans="5:10" x14ac:dyDescent="0.25">
      <c r="E4374"/>
      <c r="F4374"/>
      <c r="G4374" s="12"/>
      <c r="H4374" s="12"/>
      <c r="I4374" s="12"/>
      <c r="J4374" s="12"/>
    </row>
    <row r="4375" spans="5:10" x14ac:dyDescent="0.25">
      <c r="E4375"/>
      <c r="F4375"/>
      <c r="G4375" s="12"/>
      <c r="H4375" s="12"/>
      <c r="I4375" s="12"/>
      <c r="J4375" s="12"/>
    </row>
    <row r="4376" spans="5:10" x14ac:dyDescent="0.25">
      <c r="E4376"/>
      <c r="F4376"/>
      <c r="G4376" s="12"/>
      <c r="H4376" s="12"/>
      <c r="I4376" s="12"/>
      <c r="J4376" s="12"/>
    </row>
    <row r="4377" spans="5:10" x14ac:dyDescent="0.25">
      <c r="E4377"/>
      <c r="F4377"/>
      <c r="G4377" s="12"/>
      <c r="H4377" s="12"/>
      <c r="I4377" s="12"/>
      <c r="J4377" s="12"/>
    </row>
    <row r="4378" spans="5:10" x14ac:dyDescent="0.25">
      <c r="E4378"/>
      <c r="F4378"/>
      <c r="G4378" s="12"/>
      <c r="H4378" s="12"/>
      <c r="I4378" s="12"/>
      <c r="J4378" s="12"/>
    </row>
    <row r="4379" spans="5:10" x14ac:dyDescent="0.25">
      <c r="E4379"/>
      <c r="F4379"/>
      <c r="G4379" s="12"/>
      <c r="H4379" s="12"/>
      <c r="I4379" s="12"/>
      <c r="J4379" s="12"/>
    </row>
    <row r="4380" spans="5:10" x14ac:dyDescent="0.25">
      <c r="E4380"/>
      <c r="F4380"/>
      <c r="G4380" s="12"/>
      <c r="H4380" s="12"/>
      <c r="I4380" s="12"/>
      <c r="J4380" s="12"/>
    </row>
    <row r="4381" spans="5:10" x14ac:dyDescent="0.25">
      <c r="E4381"/>
      <c r="F4381"/>
      <c r="G4381" s="12"/>
      <c r="H4381" s="12"/>
      <c r="I4381" s="12"/>
      <c r="J4381" s="12"/>
    </row>
    <row r="4382" spans="5:10" x14ac:dyDescent="0.25">
      <c r="E4382"/>
      <c r="F4382"/>
      <c r="G4382" s="12"/>
      <c r="H4382" s="12"/>
      <c r="I4382" s="12"/>
      <c r="J4382" s="12"/>
    </row>
    <row r="4383" spans="5:10" x14ac:dyDescent="0.25">
      <c r="E4383"/>
      <c r="F4383"/>
      <c r="G4383" s="12"/>
      <c r="H4383" s="12"/>
      <c r="I4383" s="12"/>
      <c r="J4383" s="12"/>
    </row>
    <row r="4384" spans="5:10" x14ac:dyDescent="0.25">
      <c r="E4384"/>
      <c r="F4384"/>
      <c r="G4384" s="12"/>
      <c r="H4384" s="12"/>
      <c r="I4384" s="12"/>
      <c r="J4384" s="12"/>
    </row>
    <row r="4385" spans="5:10" x14ac:dyDescent="0.25">
      <c r="E4385"/>
      <c r="F4385"/>
      <c r="G4385" s="12"/>
      <c r="H4385" s="12"/>
      <c r="I4385" s="12"/>
      <c r="J4385" s="12"/>
    </row>
    <row r="4386" spans="5:10" x14ac:dyDescent="0.25">
      <c r="E4386"/>
      <c r="F4386"/>
      <c r="G4386" s="12"/>
      <c r="H4386" s="12"/>
      <c r="I4386" s="12"/>
      <c r="J4386" s="12"/>
    </row>
    <row r="4387" spans="5:10" x14ac:dyDescent="0.25">
      <c r="E4387"/>
      <c r="F4387"/>
      <c r="G4387" s="12"/>
      <c r="H4387" s="12"/>
      <c r="I4387" s="12"/>
      <c r="J4387" s="12"/>
    </row>
    <row r="4388" spans="5:10" x14ac:dyDescent="0.25">
      <c r="E4388"/>
      <c r="F4388"/>
      <c r="G4388" s="12"/>
      <c r="H4388" s="12"/>
      <c r="I4388" s="12"/>
      <c r="J4388" s="12"/>
    </row>
    <row r="4389" spans="5:10" x14ac:dyDescent="0.25">
      <c r="E4389"/>
      <c r="F4389"/>
      <c r="G4389" s="12"/>
      <c r="H4389" s="12"/>
      <c r="I4389" s="12"/>
      <c r="J4389" s="12"/>
    </row>
    <row r="4390" spans="5:10" x14ac:dyDescent="0.25">
      <c r="E4390"/>
      <c r="F4390"/>
      <c r="G4390" s="12"/>
      <c r="H4390" s="12"/>
      <c r="I4390" s="12"/>
      <c r="J4390" s="12"/>
    </row>
    <row r="4391" spans="5:10" x14ac:dyDescent="0.25">
      <c r="E4391"/>
      <c r="F4391"/>
      <c r="G4391" s="12"/>
      <c r="H4391" s="12"/>
      <c r="I4391" s="12"/>
      <c r="J4391" s="12"/>
    </row>
    <row r="4392" spans="5:10" x14ac:dyDescent="0.25">
      <c r="E4392"/>
      <c r="F4392"/>
      <c r="G4392" s="12"/>
      <c r="H4392" s="12"/>
      <c r="I4392" s="12"/>
      <c r="J4392" s="12"/>
    </row>
    <row r="4393" spans="5:10" x14ac:dyDescent="0.25">
      <c r="E4393"/>
      <c r="F4393"/>
      <c r="G4393" s="12"/>
      <c r="H4393" s="12"/>
      <c r="I4393" s="12"/>
      <c r="J4393" s="12"/>
    </row>
    <row r="4394" spans="5:10" x14ac:dyDescent="0.25">
      <c r="E4394"/>
      <c r="F4394"/>
      <c r="G4394" s="12"/>
      <c r="H4394" s="12"/>
      <c r="I4394" s="12"/>
      <c r="J4394" s="12"/>
    </row>
    <row r="4395" spans="5:10" x14ac:dyDescent="0.25">
      <c r="E4395"/>
      <c r="F4395"/>
      <c r="G4395" s="12"/>
      <c r="H4395" s="12"/>
      <c r="I4395" s="12"/>
      <c r="J4395" s="12"/>
    </row>
    <row r="4396" spans="5:10" x14ac:dyDescent="0.25">
      <c r="E4396"/>
      <c r="F4396"/>
      <c r="G4396" s="12"/>
      <c r="H4396" s="12"/>
      <c r="I4396" s="12"/>
      <c r="J4396" s="12"/>
    </row>
    <row r="4397" spans="5:10" x14ac:dyDescent="0.25">
      <c r="E4397"/>
      <c r="F4397"/>
      <c r="G4397" s="12"/>
      <c r="H4397" s="12"/>
      <c r="I4397" s="12"/>
      <c r="J4397" s="12"/>
    </row>
    <row r="4398" spans="5:10" x14ac:dyDescent="0.25">
      <c r="E4398"/>
      <c r="F4398"/>
      <c r="G4398" s="12"/>
      <c r="H4398" s="12"/>
      <c r="I4398" s="12"/>
      <c r="J4398" s="12"/>
    </row>
    <row r="4399" spans="5:10" x14ac:dyDescent="0.25">
      <c r="E4399"/>
      <c r="F4399"/>
      <c r="G4399" s="12"/>
      <c r="H4399" s="12"/>
      <c r="I4399" s="12"/>
      <c r="J4399" s="12"/>
    </row>
    <row r="4400" spans="5:10" x14ac:dyDescent="0.25">
      <c r="E4400"/>
      <c r="F4400"/>
      <c r="G4400" s="12"/>
      <c r="H4400" s="12"/>
      <c r="I4400" s="12"/>
      <c r="J4400" s="12"/>
    </row>
    <row r="4401" spans="5:10" x14ac:dyDescent="0.25">
      <c r="E4401"/>
      <c r="F4401"/>
      <c r="G4401" s="12"/>
      <c r="H4401" s="12"/>
      <c r="I4401" s="12"/>
      <c r="J4401" s="12"/>
    </row>
    <row r="4402" spans="5:10" x14ac:dyDescent="0.25">
      <c r="E4402"/>
      <c r="F4402"/>
      <c r="G4402" s="12"/>
      <c r="H4402" s="12"/>
      <c r="I4402" s="12"/>
      <c r="J4402" s="12"/>
    </row>
    <row r="4403" spans="5:10" x14ac:dyDescent="0.25">
      <c r="E4403"/>
      <c r="F4403"/>
      <c r="G4403" s="12"/>
      <c r="H4403" s="12"/>
      <c r="I4403" s="12"/>
      <c r="J4403" s="12"/>
    </row>
    <row r="4404" spans="5:10" x14ac:dyDescent="0.25">
      <c r="E4404"/>
      <c r="F4404"/>
      <c r="G4404" s="12"/>
      <c r="H4404" s="12"/>
      <c r="I4404" s="12"/>
      <c r="J4404" s="12"/>
    </row>
    <row r="4405" spans="5:10" x14ac:dyDescent="0.25">
      <c r="E4405"/>
      <c r="F4405"/>
      <c r="G4405" s="12"/>
      <c r="H4405" s="12"/>
      <c r="I4405" s="12"/>
      <c r="J4405" s="12"/>
    </row>
    <row r="4406" spans="5:10" x14ac:dyDescent="0.25">
      <c r="E4406"/>
      <c r="F4406"/>
      <c r="G4406" s="12"/>
      <c r="H4406" s="12"/>
      <c r="I4406" s="12"/>
      <c r="J4406" s="12"/>
    </row>
    <row r="4407" spans="5:10" x14ac:dyDescent="0.25">
      <c r="E4407"/>
      <c r="F4407"/>
      <c r="G4407" s="12"/>
      <c r="H4407" s="12"/>
      <c r="I4407" s="12"/>
      <c r="J4407" s="12"/>
    </row>
    <row r="4408" spans="5:10" x14ac:dyDescent="0.25">
      <c r="E4408"/>
      <c r="F4408"/>
      <c r="G4408" s="12"/>
      <c r="H4408" s="12"/>
      <c r="I4408" s="12"/>
      <c r="J4408" s="12"/>
    </row>
    <row r="4409" spans="5:10" x14ac:dyDescent="0.25">
      <c r="E4409"/>
      <c r="F4409"/>
      <c r="G4409" s="12"/>
      <c r="H4409" s="12"/>
      <c r="I4409" s="12"/>
      <c r="J4409" s="12"/>
    </row>
    <row r="4410" spans="5:10" x14ac:dyDescent="0.25">
      <c r="E4410"/>
      <c r="F4410"/>
      <c r="G4410" s="12"/>
      <c r="H4410" s="12"/>
      <c r="I4410" s="12"/>
      <c r="J4410" s="12"/>
    </row>
    <row r="4411" spans="5:10" x14ac:dyDescent="0.25">
      <c r="E4411"/>
      <c r="F4411"/>
      <c r="G4411" s="12"/>
      <c r="H4411" s="12"/>
      <c r="I4411" s="12"/>
      <c r="J4411" s="12"/>
    </row>
    <row r="4412" spans="5:10" x14ac:dyDescent="0.25">
      <c r="E4412"/>
      <c r="F4412"/>
      <c r="G4412" s="12"/>
      <c r="H4412" s="12"/>
      <c r="I4412" s="12"/>
      <c r="J4412" s="12"/>
    </row>
    <row r="4413" spans="5:10" x14ac:dyDescent="0.25">
      <c r="E4413"/>
      <c r="F4413"/>
      <c r="G4413" s="12"/>
      <c r="H4413" s="12"/>
      <c r="I4413" s="12"/>
      <c r="J4413" s="12"/>
    </row>
    <row r="4414" spans="5:10" x14ac:dyDescent="0.25">
      <c r="E4414"/>
      <c r="F4414"/>
      <c r="G4414" s="12"/>
      <c r="H4414" s="12"/>
      <c r="I4414" s="12"/>
      <c r="J4414" s="12"/>
    </row>
    <row r="4415" spans="5:10" x14ac:dyDescent="0.25">
      <c r="E4415"/>
      <c r="F4415"/>
      <c r="G4415" s="12"/>
      <c r="H4415" s="12"/>
      <c r="I4415" s="12"/>
      <c r="J4415" s="12"/>
    </row>
    <row r="4416" spans="5:10" x14ac:dyDescent="0.25">
      <c r="E4416"/>
      <c r="F4416"/>
      <c r="G4416" s="12"/>
      <c r="H4416" s="12"/>
      <c r="I4416" s="12"/>
      <c r="J4416" s="12"/>
    </row>
    <row r="4417" spans="5:10" x14ac:dyDescent="0.25">
      <c r="E4417"/>
      <c r="F4417"/>
      <c r="G4417" s="12"/>
      <c r="H4417" s="12"/>
      <c r="I4417" s="12"/>
      <c r="J4417" s="12"/>
    </row>
    <row r="4418" spans="5:10" x14ac:dyDescent="0.25">
      <c r="E4418"/>
      <c r="F4418"/>
      <c r="G4418" s="12"/>
      <c r="H4418" s="12"/>
      <c r="I4418" s="12"/>
      <c r="J4418" s="12"/>
    </row>
    <row r="4419" spans="5:10" x14ac:dyDescent="0.25">
      <c r="E4419"/>
      <c r="F4419"/>
      <c r="G4419" s="12"/>
      <c r="H4419" s="12"/>
      <c r="I4419" s="12"/>
      <c r="J4419" s="12"/>
    </row>
    <row r="4420" spans="5:10" x14ac:dyDescent="0.25">
      <c r="E4420"/>
      <c r="F4420"/>
      <c r="G4420" s="12"/>
      <c r="H4420" s="12"/>
      <c r="I4420" s="12"/>
      <c r="J4420" s="12"/>
    </row>
    <row r="4421" spans="5:10" x14ac:dyDescent="0.25">
      <c r="E4421"/>
      <c r="F4421"/>
      <c r="G4421" s="12"/>
      <c r="H4421" s="12"/>
      <c r="I4421" s="12"/>
      <c r="J4421" s="12"/>
    </row>
    <row r="4422" spans="5:10" x14ac:dyDescent="0.25">
      <c r="E4422"/>
      <c r="F4422"/>
      <c r="G4422" s="12"/>
      <c r="H4422" s="12"/>
      <c r="I4422" s="12"/>
      <c r="J4422" s="12"/>
    </row>
    <row r="4423" spans="5:10" x14ac:dyDescent="0.25">
      <c r="E4423"/>
      <c r="F4423"/>
      <c r="G4423" s="12"/>
      <c r="H4423" s="12"/>
      <c r="I4423" s="12"/>
      <c r="J4423" s="12"/>
    </row>
    <row r="4424" spans="5:10" x14ac:dyDescent="0.25">
      <c r="E4424"/>
      <c r="F4424"/>
      <c r="G4424" s="12"/>
      <c r="H4424" s="12"/>
      <c r="I4424" s="12"/>
      <c r="J4424" s="12"/>
    </row>
    <row r="4425" spans="5:10" x14ac:dyDescent="0.25">
      <c r="E4425"/>
      <c r="F4425"/>
      <c r="G4425" s="12"/>
      <c r="H4425" s="12"/>
      <c r="I4425" s="12"/>
      <c r="J4425" s="12"/>
    </row>
    <row r="4426" spans="5:10" x14ac:dyDescent="0.25">
      <c r="E4426"/>
      <c r="F4426"/>
      <c r="G4426" s="12"/>
      <c r="H4426" s="12"/>
      <c r="I4426" s="12"/>
      <c r="J4426" s="12"/>
    </row>
    <row r="4427" spans="5:10" x14ac:dyDescent="0.25">
      <c r="E4427"/>
      <c r="F4427"/>
      <c r="G4427" s="12"/>
      <c r="H4427" s="12"/>
      <c r="I4427" s="12"/>
      <c r="J4427" s="12"/>
    </row>
    <row r="4428" spans="5:10" x14ac:dyDescent="0.25">
      <c r="E4428"/>
      <c r="F4428"/>
      <c r="G4428" s="12"/>
      <c r="H4428" s="12"/>
      <c r="I4428" s="12"/>
      <c r="J4428" s="12"/>
    </row>
    <row r="4429" spans="5:10" x14ac:dyDescent="0.25">
      <c r="E4429"/>
      <c r="F4429"/>
      <c r="G4429" s="12"/>
      <c r="H4429" s="12"/>
      <c r="I4429" s="12"/>
      <c r="J4429" s="12"/>
    </row>
    <row r="4430" spans="5:10" x14ac:dyDescent="0.25">
      <c r="E4430"/>
      <c r="F4430"/>
      <c r="G4430" s="12"/>
      <c r="H4430" s="12"/>
      <c r="I4430" s="12"/>
      <c r="J4430" s="12"/>
    </row>
    <row r="4431" spans="5:10" x14ac:dyDescent="0.25">
      <c r="E4431"/>
      <c r="F4431"/>
      <c r="G4431" s="12"/>
      <c r="H4431" s="12"/>
      <c r="I4431" s="12"/>
      <c r="J4431" s="12"/>
    </row>
    <row r="4432" spans="5:10" x14ac:dyDescent="0.25">
      <c r="E4432"/>
      <c r="F4432"/>
      <c r="G4432" s="12"/>
      <c r="H4432" s="12"/>
      <c r="I4432" s="12"/>
      <c r="J4432" s="12"/>
    </row>
    <row r="4433" spans="5:10" x14ac:dyDescent="0.25">
      <c r="E4433"/>
      <c r="F4433"/>
      <c r="G4433" s="12"/>
      <c r="H4433" s="12"/>
      <c r="I4433" s="12"/>
      <c r="J4433" s="12"/>
    </row>
    <row r="4434" spans="5:10" x14ac:dyDescent="0.25">
      <c r="E4434"/>
      <c r="F4434"/>
      <c r="G4434" s="12"/>
      <c r="H4434" s="12"/>
      <c r="I4434" s="12"/>
      <c r="J4434" s="12"/>
    </row>
    <row r="4435" spans="5:10" x14ac:dyDescent="0.25">
      <c r="E4435"/>
      <c r="F4435"/>
      <c r="G4435" s="12"/>
      <c r="H4435" s="12"/>
      <c r="I4435" s="12"/>
      <c r="J4435" s="12"/>
    </row>
    <row r="4436" spans="5:10" x14ac:dyDescent="0.25">
      <c r="E4436"/>
      <c r="F4436"/>
      <c r="G4436" s="12"/>
      <c r="H4436" s="12"/>
      <c r="I4436" s="12"/>
      <c r="J4436" s="12"/>
    </row>
    <row r="4437" spans="5:10" x14ac:dyDescent="0.25">
      <c r="E4437"/>
      <c r="F4437"/>
      <c r="G4437" s="12"/>
      <c r="H4437" s="12"/>
      <c r="I4437" s="12"/>
      <c r="J4437" s="12"/>
    </row>
    <row r="4438" spans="5:10" x14ac:dyDescent="0.25">
      <c r="E4438"/>
      <c r="F4438"/>
      <c r="G4438" s="12"/>
      <c r="H4438" s="12"/>
      <c r="I4438" s="12"/>
      <c r="J4438" s="12"/>
    </row>
    <row r="4439" spans="5:10" x14ac:dyDescent="0.25">
      <c r="E4439"/>
      <c r="F4439"/>
      <c r="G4439" s="12"/>
      <c r="H4439" s="12"/>
      <c r="I4439" s="12"/>
      <c r="J4439" s="12"/>
    </row>
    <row r="4440" spans="5:10" x14ac:dyDescent="0.25">
      <c r="E4440"/>
      <c r="F4440"/>
      <c r="G4440" s="12"/>
      <c r="H4440" s="12"/>
      <c r="I4440" s="12"/>
      <c r="J4440" s="12"/>
    </row>
    <row r="4441" spans="5:10" x14ac:dyDescent="0.25">
      <c r="E4441"/>
      <c r="F4441"/>
      <c r="G4441" s="12"/>
      <c r="H4441" s="12"/>
      <c r="I4441" s="12"/>
      <c r="J4441" s="12"/>
    </row>
    <row r="4442" spans="5:10" x14ac:dyDescent="0.25">
      <c r="E4442"/>
      <c r="F4442"/>
      <c r="G4442" s="12"/>
      <c r="H4442" s="12"/>
      <c r="I4442" s="12"/>
      <c r="J4442" s="12"/>
    </row>
    <row r="4443" spans="5:10" x14ac:dyDescent="0.25">
      <c r="E4443"/>
      <c r="F4443"/>
      <c r="G4443" s="12"/>
      <c r="H4443" s="12"/>
      <c r="I4443" s="12"/>
      <c r="J4443" s="12"/>
    </row>
    <row r="4444" spans="5:10" x14ac:dyDescent="0.25">
      <c r="E4444"/>
      <c r="F4444"/>
      <c r="G4444" s="12"/>
      <c r="H4444" s="12"/>
      <c r="I4444" s="12"/>
      <c r="J4444" s="12"/>
    </row>
    <row r="4445" spans="5:10" x14ac:dyDescent="0.25">
      <c r="E4445"/>
      <c r="F4445"/>
      <c r="G4445" s="12"/>
      <c r="H4445" s="12"/>
      <c r="I4445" s="12"/>
      <c r="J4445" s="12"/>
    </row>
    <row r="4446" spans="5:10" x14ac:dyDescent="0.25">
      <c r="E4446"/>
      <c r="F4446"/>
      <c r="G4446" s="12"/>
      <c r="H4446" s="12"/>
      <c r="I4446" s="12"/>
      <c r="J4446" s="12"/>
    </row>
    <row r="4447" spans="5:10" x14ac:dyDescent="0.25">
      <c r="E4447"/>
      <c r="F4447"/>
      <c r="G4447" s="12"/>
      <c r="H4447" s="12"/>
      <c r="I4447" s="12"/>
      <c r="J4447" s="12"/>
    </row>
    <row r="4448" spans="5:10" x14ac:dyDescent="0.25">
      <c r="E4448"/>
      <c r="F4448"/>
      <c r="G4448" s="12"/>
      <c r="H4448" s="12"/>
      <c r="I4448" s="12"/>
      <c r="J4448" s="12"/>
    </row>
    <row r="4449" spans="5:10" x14ac:dyDescent="0.25">
      <c r="E4449"/>
      <c r="F4449"/>
      <c r="G4449" s="12"/>
      <c r="H4449" s="12"/>
      <c r="I4449" s="12"/>
      <c r="J4449" s="12"/>
    </row>
    <row r="4450" spans="5:10" x14ac:dyDescent="0.25">
      <c r="E4450"/>
      <c r="F4450"/>
      <c r="G4450" s="12"/>
      <c r="H4450" s="12"/>
      <c r="I4450" s="12"/>
      <c r="J4450" s="12"/>
    </row>
    <row r="4451" spans="5:10" x14ac:dyDescent="0.25">
      <c r="E4451"/>
      <c r="F4451"/>
      <c r="G4451" s="12"/>
      <c r="H4451" s="12"/>
      <c r="I4451" s="12"/>
      <c r="J4451" s="12"/>
    </row>
    <row r="4452" spans="5:10" x14ac:dyDescent="0.25">
      <c r="E4452"/>
      <c r="F4452"/>
      <c r="G4452" s="12"/>
      <c r="H4452" s="12"/>
      <c r="I4452" s="12"/>
      <c r="J4452" s="12"/>
    </row>
    <row r="4453" spans="5:10" x14ac:dyDescent="0.25">
      <c r="E4453"/>
      <c r="F4453"/>
      <c r="G4453" s="12"/>
      <c r="H4453" s="12"/>
      <c r="I4453" s="12"/>
      <c r="J4453" s="12"/>
    </row>
    <row r="4454" spans="5:10" x14ac:dyDescent="0.25">
      <c r="E4454"/>
      <c r="F4454"/>
      <c r="G4454" s="12"/>
      <c r="H4454" s="12"/>
      <c r="I4454" s="12"/>
      <c r="J4454" s="12"/>
    </row>
    <row r="4455" spans="5:10" x14ac:dyDescent="0.25">
      <c r="E4455"/>
      <c r="F4455"/>
      <c r="G4455" s="12"/>
      <c r="H4455" s="12"/>
      <c r="I4455" s="12"/>
      <c r="J4455" s="12"/>
    </row>
    <row r="4456" spans="5:10" x14ac:dyDescent="0.25">
      <c r="E4456"/>
      <c r="F4456"/>
      <c r="G4456" s="12"/>
      <c r="H4456" s="12"/>
      <c r="I4456" s="12"/>
      <c r="J4456" s="12"/>
    </row>
    <row r="4457" spans="5:10" x14ac:dyDescent="0.25">
      <c r="E4457"/>
      <c r="F4457"/>
      <c r="G4457" s="12"/>
      <c r="H4457" s="12"/>
      <c r="I4457" s="12"/>
      <c r="J4457" s="12"/>
    </row>
    <row r="4458" spans="5:10" x14ac:dyDescent="0.25">
      <c r="E4458"/>
      <c r="F4458"/>
      <c r="G4458" s="12"/>
      <c r="H4458" s="12"/>
      <c r="I4458" s="12"/>
      <c r="J4458" s="12"/>
    </row>
    <row r="4459" spans="5:10" x14ac:dyDescent="0.25">
      <c r="E4459"/>
      <c r="F4459"/>
      <c r="G4459" s="12"/>
      <c r="H4459" s="12"/>
      <c r="I4459" s="12"/>
      <c r="J4459" s="12"/>
    </row>
    <row r="4460" spans="5:10" x14ac:dyDescent="0.25">
      <c r="E4460"/>
      <c r="F4460"/>
      <c r="G4460" s="12"/>
      <c r="H4460" s="12"/>
      <c r="I4460" s="12"/>
      <c r="J4460" s="12"/>
    </row>
    <row r="4461" spans="5:10" x14ac:dyDescent="0.25">
      <c r="E4461"/>
      <c r="F4461"/>
      <c r="G4461" s="12"/>
      <c r="H4461" s="12"/>
      <c r="I4461" s="12"/>
      <c r="J4461" s="12"/>
    </row>
    <row r="4462" spans="5:10" x14ac:dyDescent="0.25">
      <c r="E4462"/>
      <c r="F4462"/>
      <c r="G4462" s="12"/>
      <c r="H4462" s="12"/>
      <c r="I4462" s="12"/>
      <c r="J4462" s="12"/>
    </row>
    <row r="4463" spans="5:10" x14ac:dyDescent="0.25">
      <c r="E4463"/>
      <c r="F4463"/>
      <c r="G4463" s="12"/>
      <c r="H4463" s="12"/>
      <c r="I4463" s="12"/>
      <c r="J4463" s="12"/>
    </row>
    <row r="4464" spans="5:10" x14ac:dyDescent="0.25">
      <c r="E4464"/>
      <c r="F4464"/>
      <c r="G4464" s="12"/>
      <c r="H4464" s="12"/>
      <c r="I4464" s="12"/>
      <c r="J4464" s="12"/>
    </row>
    <row r="4465" spans="5:10" x14ac:dyDescent="0.25">
      <c r="E4465"/>
      <c r="F4465"/>
      <c r="G4465" s="12"/>
      <c r="H4465" s="12"/>
      <c r="I4465" s="12"/>
      <c r="J4465" s="12"/>
    </row>
    <row r="4466" spans="5:10" x14ac:dyDescent="0.25">
      <c r="E4466"/>
      <c r="F4466"/>
      <c r="G4466" s="12"/>
      <c r="H4466" s="12"/>
      <c r="I4466" s="12"/>
      <c r="J4466" s="12"/>
    </row>
    <row r="4467" spans="5:10" x14ac:dyDescent="0.25">
      <c r="E4467"/>
      <c r="F4467"/>
      <c r="G4467" s="12"/>
      <c r="H4467" s="12"/>
      <c r="I4467" s="12"/>
      <c r="J4467" s="12"/>
    </row>
    <row r="4468" spans="5:10" x14ac:dyDescent="0.25">
      <c r="E4468"/>
      <c r="F4468"/>
      <c r="G4468" s="12"/>
      <c r="H4468" s="12"/>
      <c r="I4468" s="12"/>
      <c r="J4468" s="12"/>
    </row>
    <row r="4469" spans="5:10" x14ac:dyDescent="0.25">
      <c r="E4469"/>
      <c r="F4469"/>
      <c r="G4469" s="12"/>
      <c r="H4469" s="12"/>
      <c r="I4469" s="12"/>
      <c r="J4469" s="12"/>
    </row>
    <row r="4470" spans="5:10" x14ac:dyDescent="0.25">
      <c r="E4470"/>
      <c r="F4470"/>
      <c r="G4470" s="12"/>
      <c r="H4470" s="12"/>
      <c r="I4470" s="12"/>
      <c r="J4470" s="12"/>
    </row>
    <row r="4471" spans="5:10" x14ac:dyDescent="0.25">
      <c r="E4471"/>
      <c r="F4471"/>
      <c r="G4471" s="12"/>
      <c r="H4471" s="12"/>
      <c r="I4471" s="12"/>
      <c r="J4471" s="12"/>
    </row>
    <row r="4472" spans="5:10" x14ac:dyDescent="0.25">
      <c r="E4472"/>
      <c r="F4472"/>
      <c r="G4472" s="12"/>
      <c r="H4472" s="12"/>
      <c r="I4472" s="12"/>
      <c r="J4472" s="12"/>
    </row>
    <row r="4473" spans="5:10" x14ac:dyDescent="0.25">
      <c r="E4473"/>
      <c r="F4473"/>
      <c r="G4473" s="12"/>
      <c r="H4473" s="12"/>
      <c r="I4473" s="12"/>
      <c r="J4473" s="12"/>
    </row>
    <row r="4474" spans="5:10" x14ac:dyDescent="0.25">
      <c r="E4474"/>
      <c r="F4474"/>
      <c r="G4474" s="12"/>
      <c r="H4474" s="12"/>
      <c r="I4474" s="12"/>
      <c r="J4474" s="12"/>
    </row>
    <row r="4475" spans="5:10" x14ac:dyDescent="0.25">
      <c r="E4475"/>
      <c r="F4475"/>
      <c r="G4475" s="12"/>
      <c r="H4475" s="12"/>
      <c r="I4475" s="12"/>
      <c r="J4475" s="12"/>
    </row>
    <row r="4476" spans="5:10" x14ac:dyDescent="0.25">
      <c r="E4476"/>
      <c r="F4476"/>
      <c r="G4476" s="12"/>
      <c r="H4476" s="12"/>
      <c r="I4476" s="12"/>
      <c r="J4476" s="12"/>
    </row>
    <row r="4477" spans="5:10" x14ac:dyDescent="0.25">
      <c r="E4477"/>
      <c r="F4477"/>
      <c r="G4477" s="12"/>
      <c r="H4477" s="12"/>
      <c r="I4477" s="12"/>
      <c r="J4477" s="12"/>
    </row>
    <row r="4478" spans="5:10" x14ac:dyDescent="0.25">
      <c r="E4478"/>
      <c r="F4478"/>
      <c r="G4478" s="12"/>
      <c r="H4478" s="12"/>
      <c r="I4478" s="12"/>
      <c r="J4478" s="12"/>
    </row>
    <row r="4479" spans="5:10" x14ac:dyDescent="0.25">
      <c r="E4479"/>
      <c r="F4479"/>
      <c r="G4479" s="12"/>
      <c r="H4479" s="12"/>
      <c r="I4479" s="12"/>
      <c r="J4479" s="12"/>
    </row>
    <row r="4480" spans="5:10" x14ac:dyDescent="0.25">
      <c r="E4480"/>
      <c r="F4480"/>
      <c r="G4480" s="12"/>
      <c r="H4480" s="12"/>
      <c r="I4480" s="12"/>
      <c r="J4480" s="12"/>
    </row>
    <row r="4481" spans="5:10" x14ac:dyDescent="0.25">
      <c r="E4481"/>
      <c r="F4481"/>
      <c r="G4481" s="12"/>
      <c r="H4481" s="12"/>
      <c r="I4481" s="12"/>
      <c r="J4481" s="12"/>
    </row>
    <row r="4482" spans="5:10" x14ac:dyDescent="0.25">
      <c r="E4482"/>
      <c r="F4482"/>
      <c r="G4482" s="12"/>
      <c r="H4482" s="12"/>
      <c r="I4482" s="12"/>
      <c r="J4482" s="12"/>
    </row>
    <row r="4483" spans="5:10" x14ac:dyDescent="0.25">
      <c r="E4483"/>
      <c r="F4483"/>
      <c r="G4483" s="12"/>
      <c r="H4483" s="12"/>
      <c r="I4483" s="12"/>
      <c r="J4483" s="12"/>
    </row>
    <row r="4484" spans="5:10" x14ac:dyDescent="0.25">
      <c r="E4484"/>
      <c r="F4484"/>
      <c r="G4484" s="12"/>
      <c r="H4484" s="12"/>
      <c r="I4484" s="12"/>
      <c r="J4484" s="12"/>
    </row>
    <row r="4485" spans="5:10" x14ac:dyDescent="0.25">
      <c r="E4485"/>
      <c r="F4485"/>
      <c r="G4485" s="12"/>
      <c r="H4485" s="12"/>
      <c r="I4485" s="12"/>
      <c r="J4485" s="12"/>
    </row>
    <row r="4486" spans="5:10" x14ac:dyDescent="0.25">
      <c r="E4486"/>
      <c r="F4486"/>
      <c r="G4486" s="12"/>
      <c r="H4486" s="12"/>
      <c r="I4486" s="12"/>
      <c r="J4486" s="12"/>
    </row>
    <row r="4487" spans="5:10" x14ac:dyDescent="0.25">
      <c r="E4487"/>
      <c r="F4487"/>
      <c r="G4487" s="12"/>
      <c r="H4487" s="12"/>
      <c r="I4487" s="12"/>
      <c r="J4487" s="12"/>
    </row>
    <row r="4488" spans="5:10" x14ac:dyDescent="0.25">
      <c r="E4488"/>
      <c r="F4488"/>
      <c r="G4488" s="12"/>
      <c r="H4488" s="12"/>
      <c r="I4488" s="12"/>
      <c r="J4488" s="12"/>
    </row>
    <row r="4489" spans="5:10" x14ac:dyDescent="0.25">
      <c r="E4489"/>
      <c r="F4489"/>
      <c r="G4489" s="12"/>
      <c r="H4489" s="12"/>
      <c r="I4489" s="12"/>
      <c r="J4489" s="12"/>
    </row>
    <row r="4490" spans="5:10" x14ac:dyDescent="0.25">
      <c r="E4490"/>
      <c r="F4490"/>
      <c r="G4490" s="12"/>
      <c r="H4490" s="12"/>
      <c r="I4490" s="12"/>
      <c r="J4490" s="12"/>
    </row>
    <row r="4491" spans="5:10" x14ac:dyDescent="0.25">
      <c r="E4491"/>
      <c r="F4491"/>
      <c r="G4491" s="12"/>
      <c r="H4491" s="12"/>
      <c r="I4491" s="12"/>
      <c r="J4491" s="12"/>
    </row>
    <row r="4492" spans="5:10" x14ac:dyDescent="0.25">
      <c r="E4492"/>
      <c r="F4492"/>
      <c r="G4492" s="12"/>
      <c r="H4492" s="12"/>
      <c r="I4492" s="12"/>
      <c r="J4492" s="12"/>
    </row>
    <row r="4493" spans="5:10" x14ac:dyDescent="0.25">
      <c r="E4493"/>
      <c r="F4493"/>
      <c r="G4493" s="12"/>
      <c r="H4493" s="12"/>
      <c r="I4493" s="12"/>
      <c r="J4493" s="12"/>
    </row>
    <row r="4494" spans="5:10" x14ac:dyDescent="0.25">
      <c r="E4494"/>
      <c r="F4494"/>
      <c r="G4494" s="12"/>
      <c r="H4494" s="12"/>
      <c r="I4494" s="12"/>
      <c r="J4494" s="12"/>
    </row>
    <row r="4495" spans="5:10" x14ac:dyDescent="0.25">
      <c r="E4495"/>
      <c r="F4495"/>
      <c r="G4495" s="12"/>
      <c r="H4495" s="12"/>
      <c r="I4495" s="12"/>
      <c r="J4495" s="12"/>
    </row>
    <row r="4496" spans="5:10" x14ac:dyDescent="0.25">
      <c r="E4496"/>
      <c r="F4496"/>
      <c r="G4496" s="12"/>
      <c r="H4496" s="12"/>
      <c r="I4496" s="12"/>
      <c r="J4496" s="12"/>
    </row>
    <row r="4497" spans="5:10" x14ac:dyDescent="0.25">
      <c r="E4497"/>
      <c r="F4497"/>
      <c r="G4497" s="12"/>
      <c r="H4497" s="12"/>
      <c r="I4497" s="12"/>
      <c r="J4497" s="12"/>
    </row>
    <row r="4498" spans="5:10" x14ac:dyDescent="0.25">
      <c r="E4498"/>
      <c r="F4498"/>
      <c r="G4498" s="12"/>
      <c r="H4498" s="12"/>
      <c r="I4498" s="12"/>
      <c r="J4498" s="12"/>
    </row>
    <row r="4499" spans="5:10" x14ac:dyDescent="0.25">
      <c r="E4499"/>
      <c r="F4499"/>
      <c r="G4499" s="12"/>
      <c r="H4499" s="12"/>
      <c r="I4499" s="12"/>
      <c r="J4499" s="12"/>
    </row>
    <row r="4500" spans="5:10" x14ac:dyDescent="0.25">
      <c r="E4500"/>
      <c r="F4500"/>
      <c r="G4500" s="12"/>
      <c r="H4500" s="12"/>
      <c r="I4500" s="12"/>
      <c r="J4500" s="12"/>
    </row>
    <row r="4501" spans="5:10" x14ac:dyDescent="0.25">
      <c r="E4501"/>
      <c r="F4501"/>
      <c r="G4501" s="12"/>
      <c r="H4501" s="12"/>
      <c r="I4501" s="12"/>
      <c r="J4501" s="12"/>
    </row>
    <row r="4502" spans="5:10" x14ac:dyDescent="0.25">
      <c r="E4502"/>
      <c r="F4502"/>
      <c r="G4502" s="12"/>
      <c r="H4502" s="12"/>
      <c r="I4502" s="12"/>
      <c r="J4502" s="12"/>
    </row>
    <row r="4503" spans="5:10" x14ac:dyDescent="0.25">
      <c r="E4503"/>
      <c r="F4503"/>
      <c r="G4503" s="12"/>
      <c r="H4503" s="12"/>
      <c r="I4503" s="12"/>
      <c r="J4503" s="12"/>
    </row>
    <row r="4504" spans="5:10" x14ac:dyDescent="0.25">
      <c r="E4504"/>
      <c r="F4504"/>
      <c r="G4504" s="12"/>
      <c r="H4504" s="12"/>
      <c r="I4504" s="12"/>
      <c r="J4504" s="12"/>
    </row>
    <row r="4505" spans="5:10" x14ac:dyDescent="0.25">
      <c r="E4505"/>
      <c r="F4505"/>
      <c r="G4505" s="12"/>
      <c r="H4505" s="12"/>
      <c r="I4505" s="12"/>
      <c r="J4505" s="12"/>
    </row>
    <row r="4506" spans="5:10" x14ac:dyDescent="0.25">
      <c r="E4506"/>
      <c r="F4506"/>
      <c r="G4506" s="12"/>
      <c r="H4506" s="12"/>
      <c r="I4506" s="12"/>
      <c r="J4506" s="12"/>
    </row>
    <row r="4507" spans="5:10" x14ac:dyDescent="0.25">
      <c r="E4507"/>
      <c r="F4507"/>
      <c r="G4507" s="12"/>
      <c r="H4507" s="12"/>
      <c r="I4507" s="12"/>
      <c r="J4507" s="12"/>
    </row>
    <row r="4508" spans="5:10" x14ac:dyDescent="0.25">
      <c r="E4508"/>
      <c r="F4508"/>
      <c r="G4508" s="12"/>
      <c r="H4508" s="12"/>
      <c r="I4508" s="12"/>
      <c r="J4508" s="12"/>
    </row>
    <row r="4509" spans="5:10" x14ac:dyDescent="0.25">
      <c r="E4509"/>
      <c r="F4509"/>
      <c r="G4509" s="12"/>
      <c r="H4509" s="12"/>
      <c r="I4509" s="12"/>
      <c r="J4509" s="12"/>
    </row>
    <row r="4510" spans="5:10" x14ac:dyDescent="0.25">
      <c r="E4510"/>
      <c r="F4510"/>
      <c r="G4510" s="12"/>
      <c r="H4510" s="12"/>
      <c r="I4510" s="12"/>
      <c r="J4510" s="12"/>
    </row>
    <row r="4511" spans="5:10" x14ac:dyDescent="0.25">
      <c r="E4511"/>
      <c r="F4511"/>
      <c r="G4511" s="12"/>
      <c r="H4511" s="12"/>
      <c r="I4511" s="12"/>
      <c r="J4511" s="12"/>
    </row>
    <row r="4512" spans="5:10" x14ac:dyDescent="0.25">
      <c r="E4512"/>
      <c r="F4512"/>
      <c r="G4512" s="12"/>
      <c r="H4512" s="12"/>
      <c r="I4512" s="12"/>
      <c r="J4512" s="12"/>
    </row>
    <row r="4513" spans="5:10" x14ac:dyDescent="0.25">
      <c r="E4513"/>
      <c r="F4513"/>
      <c r="G4513" s="12"/>
      <c r="H4513" s="12"/>
      <c r="I4513" s="12"/>
      <c r="J4513" s="12"/>
    </row>
    <row r="4514" spans="5:10" x14ac:dyDescent="0.25">
      <c r="E4514"/>
      <c r="F4514"/>
      <c r="G4514" s="12"/>
      <c r="H4514" s="12"/>
      <c r="I4514" s="12"/>
      <c r="J4514" s="12"/>
    </row>
    <row r="4515" spans="5:10" x14ac:dyDescent="0.25">
      <c r="E4515"/>
      <c r="F4515"/>
      <c r="G4515" s="12"/>
      <c r="H4515" s="12"/>
      <c r="I4515" s="12"/>
      <c r="J4515" s="12"/>
    </row>
    <row r="4516" spans="5:10" x14ac:dyDescent="0.25">
      <c r="E4516"/>
      <c r="F4516"/>
      <c r="G4516" s="12"/>
      <c r="H4516" s="12"/>
      <c r="I4516" s="12"/>
      <c r="J4516" s="12"/>
    </row>
    <row r="4517" spans="5:10" x14ac:dyDescent="0.25">
      <c r="E4517"/>
      <c r="F4517"/>
      <c r="G4517" s="12"/>
      <c r="H4517" s="12"/>
      <c r="I4517" s="12"/>
      <c r="J4517" s="12"/>
    </row>
    <row r="4518" spans="5:10" x14ac:dyDescent="0.25">
      <c r="E4518"/>
      <c r="F4518"/>
      <c r="G4518" s="12"/>
      <c r="H4518" s="12"/>
      <c r="I4518" s="12"/>
      <c r="J4518" s="12"/>
    </row>
    <row r="4519" spans="5:10" x14ac:dyDescent="0.25">
      <c r="E4519"/>
      <c r="F4519"/>
      <c r="G4519" s="12"/>
      <c r="H4519" s="12"/>
      <c r="I4519" s="12"/>
      <c r="J4519" s="12"/>
    </row>
    <row r="4520" spans="5:10" x14ac:dyDescent="0.25">
      <c r="E4520"/>
      <c r="F4520"/>
      <c r="G4520" s="12"/>
      <c r="H4520" s="12"/>
      <c r="I4520" s="12"/>
      <c r="J4520" s="12"/>
    </row>
    <row r="4521" spans="5:10" x14ac:dyDescent="0.25">
      <c r="E4521"/>
      <c r="F4521"/>
      <c r="G4521" s="12"/>
      <c r="H4521" s="12"/>
      <c r="I4521" s="12"/>
      <c r="J4521" s="12"/>
    </row>
    <row r="4522" spans="5:10" x14ac:dyDescent="0.25">
      <c r="E4522"/>
      <c r="F4522"/>
      <c r="G4522" s="12"/>
      <c r="H4522" s="12"/>
      <c r="I4522" s="12"/>
      <c r="J4522" s="12"/>
    </row>
    <row r="4523" spans="5:10" x14ac:dyDescent="0.25">
      <c r="E4523"/>
      <c r="F4523"/>
      <c r="G4523" s="12"/>
      <c r="H4523" s="12"/>
      <c r="I4523" s="12"/>
      <c r="J4523" s="12"/>
    </row>
    <row r="4524" spans="5:10" x14ac:dyDescent="0.25">
      <c r="E4524"/>
      <c r="F4524"/>
      <c r="G4524" s="12"/>
      <c r="H4524" s="12"/>
      <c r="I4524" s="12"/>
      <c r="J4524" s="12"/>
    </row>
    <row r="4525" spans="5:10" x14ac:dyDescent="0.25">
      <c r="E4525"/>
      <c r="F4525"/>
      <c r="G4525" s="12"/>
      <c r="H4525" s="12"/>
      <c r="I4525" s="12"/>
      <c r="J4525" s="12"/>
    </row>
    <row r="4526" spans="5:10" x14ac:dyDescent="0.25">
      <c r="E4526"/>
      <c r="F4526"/>
      <c r="G4526" s="12"/>
      <c r="H4526" s="12"/>
      <c r="I4526" s="12"/>
      <c r="J4526" s="12"/>
    </row>
    <row r="4527" spans="5:10" x14ac:dyDescent="0.25">
      <c r="E4527"/>
      <c r="F4527"/>
      <c r="G4527" s="12"/>
      <c r="H4527" s="12"/>
      <c r="I4527" s="12"/>
      <c r="J4527" s="12"/>
    </row>
    <row r="4528" spans="5:10" x14ac:dyDescent="0.25">
      <c r="E4528"/>
      <c r="F4528"/>
      <c r="G4528" s="12"/>
      <c r="H4528" s="12"/>
      <c r="I4528" s="12"/>
      <c r="J4528" s="12"/>
    </row>
    <row r="4529" spans="5:10" x14ac:dyDescent="0.25">
      <c r="E4529"/>
      <c r="F4529"/>
      <c r="G4529" s="12"/>
      <c r="H4529" s="12"/>
      <c r="I4529" s="12"/>
      <c r="J4529" s="12"/>
    </row>
    <row r="4530" spans="5:10" x14ac:dyDescent="0.25">
      <c r="E4530"/>
      <c r="F4530"/>
      <c r="G4530" s="12"/>
      <c r="H4530" s="12"/>
      <c r="I4530" s="12"/>
      <c r="J4530" s="12"/>
    </row>
    <row r="4531" spans="5:10" x14ac:dyDescent="0.25">
      <c r="E4531"/>
      <c r="F4531"/>
      <c r="G4531" s="12"/>
      <c r="H4531" s="12"/>
      <c r="I4531" s="12"/>
      <c r="J4531" s="12"/>
    </row>
    <row r="4532" spans="5:10" x14ac:dyDescent="0.25">
      <c r="E4532"/>
      <c r="F4532"/>
      <c r="G4532" s="12"/>
      <c r="H4532" s="12"/>
      <c r="I4532" s="12"/>
      <c r="J4532" s="12"/>
    </row>
    <row r="4533" spans="5:10" x14ac:dyDescent="0.25">
      <c r="E4533"/>
      <c r="F4533"/>
      <c r="G4533" s="12"/>
      <c r="H4533" s="12"/>
      <c r="I4533" s="12"/>
      <c r="J4533" s="12"/>
    </row>
    <row r="4534" spans="5:10" x14ac:dyDescent="0.25">
      <c r="E4534"/>
      <c r="F4534"/>
      <c r="G4534" s="12"/>
      <c r="H4534" s="12"/>
      <c r="I4534" s="12"/>
      <c r="J4534" s="12"/>
    </row>
    <row r="4535" spans="5:10" x14ac:dyDescent="0.25">
      <c r="E4535"/>
      <c r="F4535"/>
      <c r="G4535" s="12"/>
      <c r="H4535" s="12"/>
      <c r="I4535" s="12"/>
      <c r="J4535" s="12"/>
    </row>
    <row r="4536" spans="5:10" x14ac:dyDescent="0.25">
      <c r="E4536"/>
      <c r="F4536"/>
      <c r="G4536" s="12"/>
      <c r="H4536" s="12"/>
      <c r="I4536" s="12"/>
      <c r="J4536" s="12"/>
    </row>
    <row r="4537" spans="5:10" x14ac:dyDescent="0.25">
      <c r="E4537"/>
      <c r="F4537"/>
      <c r="G4537" s="12"/>
      <c r="H4537" s="12"/>
      <c r="I4537" s="12"/>
      <c r="J4537" s="12"/>
    </row>
    <row r="4538" spans="5:10" x14ac:dyDescent="0.25">
      <c r="E4538"/>
      <c r="F4538"/>
      <c r="G4538" s="12"/>
      <c r="H4538" s="12"/>
      <c r="I4538" s="12"/>
      <c r="J4538" s="12"/>
    </row>
    <row r="4539" spans="5:10" x14ac:dyDescent="0.25">
      <c r="E4539"/>
      <c r="F4539"/>
      <c r="G4539" s="12"/>
      <c r="H4539" s="12"/>
      <c r="I4539" s="12"/>
      <c r="J4539" s="12"/>
    </row>
    <row r="4540" spans="5:10" x14ac:dyDescent="0.25">
      <c r="E4540"/>
      <c r="F4540"/>
      <c r="G4540" s="12"/>
      <c r="H4540" s="12"/>
      <c r="I4540" s="12"/>
      <c r="J4540" s="12"/>
    </row>
    <row r="4541" spans="5:10" x14ac:dyDescent="0.25">
      <c r="E4541"/>
      <c r="F4541"/>
      <c r="G4541" s="12"/>
      <c r="H4541" s="12"/>
      <c r="I4541" s="12"/>
      <c r="J4541" s="12"/>
    </row>
    <row r="4542" spans="5:10" x14ac:dyDescent="0.25">
      <c r="E4542"/>
      <c r="F4542"/>
      <c r="G4542" s="12"/>
      <c r="H4542" s="12"/>
      <c r="I4542" s="12"/>
      <c r="J4542" s="12"/>
    </row>
    <row r="4543" spans="5:10" x14ac:dyDescent="0.25">
      <c r="E4543"/>
      <c r="F4543"/>
      <c r="G4543" s="12"/>
      <c r="H4543" s="12"/>
      <c r="I4543" s="12"/>
      <c r="J4543" s="12"/>
    </row>
    <row r="4544" spans="5:10" x14ac:dyDescent="0.25">
      <c r="E4544"/>
      <c r="F4544"/>
      <c r="G4544" s="12"/>
      <c r="H4544" s="12"/>
      <c r="I4544" s="12"/>
      <c r="J4544" s="12"/>
    </row>
    <row r="4545" spans="5:10" x14ac:dyDescent="0.25">
      <c r="E4545"/>
      <c r="F4545"/>
      <c r="G4545" s="12"/>
      <c r="H4545" s="12"/>
      <c r="I4545" s="12"/>
      <c r="J4545" s="12"/>
    </row>
    <row r="4546" spans="5:10" x14ac:dyDescent="0.25">
      <c r="E4546"/>
      <c r="F4546"/>
      <c r="G4546" s="12"/>
      <c r="H4546" s="12"/>
      <c r="I4546" s="12"/>
      <c r="J4546" s="12"/>
    </row>
    <row r="4547" spans="5:10" x14ac:dyDescent="0.25">
      <c r="E4547"/>
      <c r="F4547"/>
      <c r="G4547" s="12"/>
      <c r="H4547" s="12"/>
      <c r="I4547" s="12"/>
      <c r="J4547" s="12"/>
    </row>
    <row r="4548" spans="5:10" x14ac:dyDescent="0.25">
      <c r="E4548"/>
      <c r="F4548"/>
      <c r="G4548" s="12"/>
      <c r="H4548" s="12"/>
      <c r="I4548" s="12"/>
      <c r="J4548" s="12"/>
    </row>
    <row r="4549" spans="5:10" x14ac:dyDescent="0.25">
      <c r="E4549"/>
      <c r="F4549"/>
      <c r="G4549" s="12"/>
      <c r="H4549" s="12"/>
      <c r="I4549" s="12"/>
      <c r="J4549" s="12"/>
    </row>
    <row r="4550" spans="5:10" x14ac:dyDescent="0.25">
      <c r="E4550"/>
      <c r="F4550"/>
      <c r="G4550" s="12"/>
      <c r="H4550" s="12"/>
      <c r="I4550" s="12"/>
      <c r="J4550" s="12"/>
    </row>
    <row r="4551" spans="5:10" x14ac:dyDescent="0.25">
      <c r="E4551"/>
      <c r="F4551"/>
      <c r="G4551" s="12"/>
      <c r="H4551" s="12"/>
      <c r="I4551" s="12"/>
      <c r="J4551" s="12"/>
    </row>
    <row r="4552" spans="5:10" x14ac:dyDescent="0.25">
      <c r="E4552"/>
      <c r="F4552"/>
      <c r="G4552" s="12"/>
      <c r="H4552" s="12"/>
      <c r="I4552" s="12"/>
      <c r="J4552" s="12"/>
    </row>
    <row r="4553" spans="5:10" x14ac:dyDescent="0.25">
      <c r="E4553"/>
      <c r="F4553"/>
      <c r="G4553" s="12"/>
      <c r="H4553" s="12"/>
      <c r="I4553" s="12"/>
      <c r="J4553" s="12"/>
    </row>
    <row r="4554" spans="5:10" x14ac:dyDescent="0.25">
      <c r="E4554"/>
      <c r="F4554"/>
      <c r="G4554" s="12"/>
      <c r="H4554" s="12"/>
      <c r="I4554" s="12"/>
      <c r="J4554" s="12"/>
    </row>
    <row r="4555" spans="5:10" x14ac:dyDescent="0.25">
      <c r="E4555"/>
      <c r="F4555"/>
      <c r="G4555" s="12"/>
      <c r="H4555" s="12"/>
      <c r="I4555" s="12"/>
      <c r="J4555" s="12"/>
    </row>
    <row r="4556" spans="5:10" x14ac:dyDescent="0.25">
      <c r="E4556"/>
      <c r="F4556"/>
      <c r="G4556" s="12"/>
      <c r="H4556" s="12"/>
      <c r="I4556" s="12"/>
      <c r="J4556" s="12"/>
    </row>
    <row r="4557" spans="5:10" x14ac:dyDescent="0.25">
      <c r="E4557"/>
      <c r="F4557"/>
      <c r="G4557" s="12"/>
      <c r="H4557" s="12"/>
      <c r="I4557" s="12"/>
      <c r="J4557" s="12"/>
    </row>
    <row r="4558" spans="5:10" x14ac:dyDescent="0.25">
      <c r="E4558"/>
      <c r="F4558"/>
      <c r="G4558" s="12"/>
      <c r="H4558" s="12"/>
      <c r="I4558" s="12"/>
      <c r="J4558" s="12"/>
    </row>
    <row r="4559" spans="5:10" x14ac:dyDescent="0.25">
      <c r="E4559"/>
      <c r="F4559"/>
      <c r="G4559" s="12"/>
      <c r="H4559" s="12"/>
      <c r="I4559" s="12"/>
      <c r="J4559" s="12"/>
    </row>
    <row r="4560" spans="5:10" x14ac:dyDescent="0.25">
      <c r="E4560"/>
      <c r="F4560"/>
      <c r="G4560" s="12"/>
      <c r="H4560" s="12"/>
      <c r="I4560" s="12"/>
      <c r="J4560" s="12"/>
    </row>
    <row r="4561" spans="5:10" x14ac:dyDescent="0.25">
      <c r="E4561"/>
      <c r="F4561"/>
      <c r="G4561" s="12"/>
      <c r="H4561" s="12"/>
      <c r="I4561" s="12"/>
      <c r="J4561" s="12"/>
    </row>
    <row r="4562" spans="5:10" x14ac:dyDescent="0.25">
      <c r="E4562"/>
      <c r="F4562"/>
      <c r="G4562" s="12"/>
      <c r="H4562" s="12"/>
      <c r="I4562" s="12"/>
      <c r="J4562" s="12"/>
    </row>
    <row r="4563" spans="5:10" x14ac:dyDescent="0.25">
      <c r="E4563"/>
      <c r="F4563"/>
      <c r="G4563" s="12"/>
      <c r="H4563" s="12"/>
      <c r="I4563" s="12"/>
      <c r="J4563" s="12"/>
    </row>
    <row r="4564" spans="5:10" x14ac:dyDescent="0.25">
      <c r="E4564"/>
      <c r="F4564"/>
      <c r="G4564" s="12"/>
      <c r="H4564" s="12"/>
      <c r="I4564" s="12"/>
      <c r="J4564" s="12"/>
    </row>
    <row r="4565" spans="5:10" x14ac:dyDescent="0.25">
      <c r="E4565"/>
      <c r="F4565"/>
      <c r="G4565" s="12"/>
      <c r="H4565" s="12"/>
      <c r="I4565" s="12"/>
      <c r="J4565" s="12"/>
    </row>
    <row r="4566" spans="5:10" x14ac:dyDescent="0.25">
      <c r="E4566"/>
      <c r="F4566"/>
      <c r="G4566" s="12"/>
      <c r="H4566" s="12"/>
      <c r="I4566" s="12"/>
      <c r="J4566" s="12"/>
    </row>
    <row r="4567" spans="5:10" x14ac:dyDescent="0.25">
      <c r="E4567"/>
      <c r="F4567"/>
      <c r="G4567" s="12"/>
      <c r="H4567" s="12"/>
      <c r="I4567" s="12"/>
      <c r="J4567" s="12"/>
    </row>
    <row r="4568" spans="5:10" x14ac:dyDescent="0.25">
      <c r="E4568"/>
      <c r="F4568"/>
      <c r="G4568" s="12"/>
      <c r="H4568" s="12"/>
      <c r="I4568" s="12"/>
      <c r="J4568" s="12"/>
    </row>
    <row r="4569" spans="5:10" x14ac:dyDescent="0.25">
      <c r="E4569"/>
      <c r="F4569"/>
      <c r="G4569" s="12"/>
      <c r="H4569" s="12"/>
      <c r="I4569" s="12"/>
      <c r="J4569" s="12"/>
    </row>
    <row r="4570" spans="5:10" x14ac:dyDescent="0.25">
      <c r="E4570"/>
      <c r="F4570"/>
      <c r="G4570" s="12"/>
      <c r="H4570" s="12"/>
      <c r="I4570" s="12"/>
      <c r="J4570" s="12"/>
    </row>
    <row r="4571" spans="5:10" x14ac:dyDescent="0.25">
      <c r="E4571"/>
      <c r="F4571"/>
      <c r="G4571" s="12"/>
      <c r="H4571" s="12"/>
      <c r="I4571" s="12"/>
      <c r="J4571" s="12"/>
    </row>
    <row r="4572" spans="5:10" x14ac:dyDescent="0.25">
      <c r="E4572"/>
      <c r="F4572"/>
      <c r="G4572" s="12"/>
      <c r="H4572" s="12"/>
      <c r="I4572" s="12"/>
      <c r="J4572" s="12"/>
    </row>
    <row r="4573" spans="5:10" x14ac:dyDescent="0.25">
      <c r="E4573"/>
      <c r="F4573"/>
      <c r="G4573" s="12"/>
      <c r="H4573" s="12"/>
      <c r="I4573" s="12"/>
      <c r="J4573" s="12"/>
    </row>
    <row r="4574" spans="5:10" x14ac:dyDescent="0.25">
      <c r="E4574"/>
      <c r="F4574"/>
      <c r="G4574" s="12"/>
      <c r="H4574" s="12"/>
      <c r="I4574" s="12"/>
      <c r="J4574" s="12"/>
    </row>
    <row r="4575" spans="5:10" x14ac:dyDescent="0.25">
      <c r="E4575"/>
      <c r="F4575"/>
      <c r="G4575" s="12"/>
      <c r="H4575" s="12"/>
      <c r="I4575" s="12"/>
      <c r="J4575" s="12"/>
    </row>
    <row r="4576" spans="5:10" x14ac:dyDescent="0.25">
      <c r="E4576"/>
      <c r="F4576"/>
      <c r="G4576" s="12"/>
      <c r="H4576" s="12"/>
      <c r="I4576" s="12"/>
      <c r="J4576" s="12"/>
    </row>
    <row r="4577" spans="5:10" x14ac:dyDescent="0.25">
      <c r="E4577"/>
      <c r="F4577"/>
      <c r="G4577" s="12"/>
      <c r="H4577" s="12"/>
      <c r="I4577" s="12"/>
      <c r="J4577" s="12"/>
    </row>
    <row r="4578" spans="5:10" x14ac:dyDescent="0.25">
      <c r="E4578"/>
      <c r="F4578"/>
      <c r="G4578" s="12"/>
      <c r="H4578" s="12"/>
      <c r="I4578" s="12"/>
      <c r="J4578" s="12"/>
    </row>
    <row r="4579" spans="5:10" x14ac:dyDescent="0.25">
      <c r="E4579"/>
      <c r="F4579"/>
      <c r="G4579" s="12"/>
      <c r="H4579" s="12"/>
      <c r="I4579" s="12"/>
      <c r="J4579" s="12"/>
    </row>
    <row r="4580" spans="5:10" x14ac:dyDescent="0.25">
      <c r="E4580"/>
      <c r="F4580"/>
      <c r="G4580" s="12"/>
      <c r="H4580" s="12"/>
      <c r="I4580" s="12"/>
      <c r="J4580" s="12"/>
    </row>
    <row r="4581" spans="5:10" x14ac:dyDescent="0.25">
      <c r="E4581"/>
      <c r="F4581"/>
      <c r="G4581" s="12"/>
      <c r="H4581" s="12"/>
      <c r="I4581" s="12"/>
      <c r="J4581" s="12"/>
    </row>
    <row r="4582" spans="5:10" x14ac:dyDescent="0.25">
      <c r="E4582"/>
      <c r="F4582"/>
      <c r="G4582" s="12"/>
      <c r="H4582" s="12"/>
      <c r="I4582" s="12"/>
      <c r="J4582" s="12"/>
    </row>
    <row r="4583" spans="5:10" x14ac:dyDescent="0.25">
      <c r="E4583"/>
      <c r="F4583"/>
      <c r="G4583" s="12"/>
      <c r="H4583" s="12"/>
      <c r="I4583" s="12"/>
      <c r="J4583" s="12"/>
    </row>
    <row r="4584" spans="5:10" x14ac:dyDescent="0.25">
      <c r="E4584"/>
      <c r="F4584"/>
      <c r="G4584" s="12"/>
      <c r="H4584" s="12"/>
      <c r="I4584" s="12"/>
      <c r="J4584" s="12"/>
    </row>
    <row r="4585" spans="5:10" x14ac:dyDescent="0.25">
      <c r="E4585"/>
      <c r="F4585"/>
      <c r="G4585" s="12"/>
      <c r="H4585" s="12"/>
      <c r="I4585" s="12"/>
      <c r="J4585" s="12"/>
    </row>
    <row r="4586" spans="5:10" x14ac:dyDescent="0.25">
      <c r="E4586"/>
      <c r="F4586"/>
      <c r="G4586" s="12"/>
      <c r="H4586" s="12"/>
      <c r="I4586" s="12"/>
      <c r="J4586" s="12"/>
    </row>
    <row r="4587" spans="5:10" x14ac:dyDescent="0.25">
      <c r="E4587"/>
      <c r="F4587"/>
      <c r="G4587" s="12"/>
      <c r="H4587" s="12"/>
      <c r="I4587" s="12"/>
      <c r="J4587" s="12"/>
    </row>
    <row r="4588" spans="5:10" x14ac:dyDescent="0.25">
      <c r="E4588"/>
      <c r="F4588"/>
      <c r="G4588" s="12"/>
      <c r="H4588" s="12"/>
      <c r="I4588" s="12"/>
      <c r="J4588" s="12"/>
    </row>
    <row r="4589" spans="5:10" x14ac:dyDescent="0.25">
      <c r="E4589"/>
      <c r="F4589"/>
      <c r="G4589" s="12"/>
      <c r="H4589" s="12"/>
      <c r="I4589" s="12"/>
      <c r="J4589" s="12"/>
    </row>
    <row r="4590" spans="5:10" x14ac:dyDescent="0.25">
      <c r="E4590"/>
      <c r="F4590"/>
      <c r="G4590" s="12"/>
      <c r="H4590" s="12"/>
      <c r="I4590" s="12"/>
      <c r="J4590" s="12"/>
    </row>
    <row r="4591" spans="5:10" x14ac:dyDescent="0.25">
      <c r="E4591"/>
      <c r="F4591"/>
      <c r="G4591" s="12"/>
      <c r="H4591" s="12"/>
      <c r="I4591" s="12"/>
      <c r="J4591" s="12"/>
    </row>
    <row r="4592" spans="5:10" x14ac:dyDescent="0.25">
      <c r="E4592"/>
      <c r="F4592"/>
      <c r="G4592" s="12"/>
      <c r="H4592" s="12"/>
      <c r="I4592" s="12"/>
      <c r="J4592" s="12"/>
    </row>
    <row r="4593" spans="5:10" x14ac:dyDescent="0.25">
      <c r="E4593"/>
      <c r="F4593"/>
      <c r="G4593" s="12"/>
      <c r="H4593" s="12"/>
      <c r="I4593" s="12"/>
      <c r="J4593" s="12"/>
    </row>
    <row r="4594" spans="5:10" x14ac:dyDescent="0.25">
      <c r="E4594"/>
      <c r="F4594"/>
      <c r="G4594" s="12"/>
      <c r="H4594" s="12"/>
      <c r="I4594" s="12"/>
      <c r="J4594" s="12"/>
    </row>
    <row r="4595" spans="5:10" x14ac:dyDescent="0.25">
      <c r="E4595"/>
      <c r="F4595"/>
      <c r="G4595" s="12"/>
      <c r="H4595" s="12"/>
      <c r="I4595" s="12"/>
      <c r="J4595" s="12"/>
    </row>
    <row r="4596" spans="5:10" x14ac:dyDescent="0.25">
      <c r="E4596"/>
      <c r="F4596"/>
      <c r="G4596" s="12"/>
      <c r="H4596" s="12"/>
      <c r="I4596" s="12"/>
      <c r="J4596" s="12"/>
    </row>
    <row r="4597" spans="5:10" x14ac:dyDescent="0.25">
      <c r="E4597"/>
      <c r="F4597"/>
      <c r="G4597" s="12"/>
      <c r="H4597" s="12"/>
      <c r="I4597" s="12"/>
      <c r="J4597" s="12"/>
    </row>
    <row r="4598" spans="5:10" x14ac:dyDescent="0.25">
      <c r="E4598"/>
      <c r="F4598"/>
      <c r="G4598" s="12"/>
      <c r="H4598" s="12"/>
      <c r="I4598" s="12"/>
      <c r="J4598" s="12"/>
    </row>
    <row r="4599" spans="5:10" x14ac:dyDescent="0.25">
      <c r="E4599"/>
      <c r="F4599"/>
      <c r="G4599" s="12"/>
      <c r="H4599" s="12"/>
      <c r="I4599" s="12"/>
      <c r="J4599" s="12"/>
    </row>
    <row r="4600" spans="5:10" x14ac:dyDescent="0.25">
      <c r="E4600"/>
      <c r="F4600"/>
      <c r="G4600" s="12"/>
      <c r="H4600" s="12"/>
      <c r="I4600" s="12"/>
      <c r="J4600" s="12"/>
    </row>
    <row r="4601" spans="5:10" x14ac:dyDescent="0.25">
      <c r="E4601"/>
      <c r="F4601"/>
      <c r="G4601" s="12"/>
      <c r="H4601" s="12"/>
      <c r="I4601" s="12"/>
      <c r="J4601" s="12"/>
    </row>
    <row r="4602" spans="5:10" x14ac:dyDescent="0.25">
      <c r="E4602"/>
      <c r="F4602"/>
      <c r="G4602" s="12"/>
      <c r="H4602" s="12"/>
      <c r="I4602" s="12"/>
      <c r="J4602" s="12"/>
    </row>
    <row r="4603" spans="5:10" x14ac:dyDescent="0.25">
      <c r="E4603"/>
      <c r="F4603"/>
      <c r="G4603" s="12"/>
      <c r="H4603" s="12"/>
      <c r="I4603" s="12"/>
      <c r="J4603" s="12"/>
    </row>
    <row r="4604" spans="5:10" x14ac:dyDescent="0.25">
      <c r="E4604"/>
      <c r="F4604"/>
      <c r="G4604" s="12"/>
      <c r="H4604" s="12"/>
      <c r="I4604" s="12"/>
      <c r="J4604" s="12"/>
    </row>
    <row r="4605" spans="5:10" x14ac:dyDescent="0.25">
      <c r="E4605"/>
      <c r="F4605"/>
      <c r="G4605" s="12"/>
      <c r="H4605" s="12"/>
      <c r="I4605" s="12"/>
      <c r="J4605" s="12"/>
    </row>
    <row r="4606" spans="5:10" x14ac:dyDescent="0.25">
      <c r="E4606"/>
      <c r="F4606"/>
      <c r="G4606" s="12"/>
      <c r="H4606" s="12"/>
      <c r="I4606" s="12"/>
      <c r="J4606" s="12"/>
    </row>
    <row r="4607" spans="5:10" x14ac:dyDescent="0.25">
      <c r="E4607"/>
      <c r="F4607"/>
      <c r="G4607" s="12"/>
      <c r="H4607" s="12"/>
      <c r="I4607" s="12"/>
      <c r="J4607" s="12"/>
    </row>
    <row r="4608" spans="5:10" x14ac:dyDescent="0.25">
      <c r="E4608"/>
      <c r="F4608"/>
      <c r="G4608" s="12"/>
      <c r="H4608" s="12"/>
      <c r="I4608" s="12"/>
      <c r="J4608" s="12"/>
    </row>
    <row r="4609" spans="5:10" x14ac:dyDescent="0.25">
      <c r="E4609"/>
      <c r="F4609"/>
      <c r="G4609" s="12"/>
      <c r="H4609" s="12"/>
      <c r="I4609" s="12"/>
      <c r="J4609" s="12"/>
    </row>
    <row r="4610" spans="5:10" x14ac:dyDescent="0.25">
      <c r="E4610"/>
      <c r="F4610"/>
      <c r="G4610" s="12"/>
      <c r="H4610" s="12"/>
      <c r="I4610" s="12"/>
      <c r="J4610" s="12"/>
    </row>
    <row r="4611" spans="5:10" x14ac:dyDescent="0.25">
      <c r="E4611"/>
      <c r="F4611"/>
      <c r="G4611" s="12"/>
      <c r="H4611" s="12"/>
      <c r="I4611" s="12"/>
      <c r="J4611" s="12"/>
    </row>
    <row r="4612" spans="5:10" x14ac:dyDescent="0.25">
      <c r="E4612"/>
      <c r="F4612"/>
      <c r="G4612" s="12"/>
      <c r="H4612" s="12"/>
      <c r="I4612" s="12"/>
      <c r="J4612" s="12"/>
    </row>
    <row r="4613" spans="5:10" x14ac:dyDescent="0.25">
      <c r="E4613"/>
      <c r="F4613"/>
      <c r="G4613" s="12"/>
      <c r="H4613" s="12"/>
      <c r="I4613" s="12"/>
      <c r="J4613" s="12"/>
    </row>
    <row r="4614" spans="5:10" x14ac:dyDescent="0.25">
      <c r="E4614"/>
      <c r="F4614"/>
      <c r="G4614" s="12"/>
      <c r="H4614" s="12"/>
      <c r="I4614" s="12"/>
      <c r="J4614" s="12"/>
    </row>
    <row r="4615" spans="5:10" x14ac:dyDescent="0.25">
      <c r="E4615"/>
      <c r="F4615"/>
      <c r="G4615" s="12"/>
      <c r="H4615" s="12"/>
      <c r="I4615" s="12"/>
      <c r="J4615" s="12"/>
    </row>
    <row r="4616" spans="5:10" x14ac:dyDescent="0.25">
      <c r="E4616"/>
      <c r="F4616"/>
      <c r="G4616" s="12"/>
      <c r="H4616" s="12"/>
      <c r="I4616" s="12"/>
      <c r="J4616" s="12"/>
    </row>
    <row r="4617" spans="5:10" x14ac:dyDescent="0.25">
      <c r="E4617"/>
      <c r="F4617"/>
      <c r="G4617" s="12"/>
      <c r="H4617" s="12"/>
      <c r="I4617" s="12"/>
      <c r="J4617" s="12"/>
    </row>
    <row r="4618" spans="5:10" x14ac:dyDescent="0.25">
      <c r="E4618"/>
      <c r="F4618"/>
      <c r="G4618" s="12"/>
      <c r="H4618" s="12"/>
      <c r="I4618" s="12"/>
      <c r="J4618" s="12"/>
    </row>
    <row r="4619" spans="5:10" x14ac:dyDescent="0.25">
      <c r="E4619"/>
      <c r="F4619"/>
      <c r="G4619" s="12"/>
      <c r="H4619" s="12"/>
      <c r="I4619" s="12"/>
      <c r="J4619" s="12"/>
    </row>
    <row r="4620" spans="5:10" x14ac:dyDescent="0.25">
      <c r="E4620"/>
      <c r="F4620"/>
      <c r="G4620" s="12"/>
      <c r="H4620" s="12"/>
      <c r="I4620" s="12"/>
      <c r="J4620" s="12"/>
    </row>
    <row r="4621" spans="5:10" x14ac:dyDescent="0.25">
      <c r="E4621"/>
      <c r="F4621"/>
      <c r="G4621" s="12"/>
      <c r="H4621" s="12"/>
      <c r="I4621" s="12"/>
      <c r="J4621" s="12"/>
    </row>
    <row r="4622" spans="5:10" x14ac:dyDescent="0.25">
      <c r="E4622"/>
      <c r="F4622"/>
      <c r="G4622" s="12"/>
      <c r="H4622" s="12"/>
      <c r="I4622" s="12"/>
      <c r="J4622" s="12"/>
    </row>
    <row r="4623" spans="5:10" x14ac:dyDescent="0.25">
      <c r="E4623"/>
      <c r="F4623"/>
      <c r="G4623" s="12"/>
      <c r="H4623" s="12"/>
      <c r="I4623" s="12"/>
      <c r="J4623" s="12"/>
    </row>
    <row r="4624" spans="5:10" x14ac:dyDescent="0.25">
      <c r="E4624"/>
      <c r="F4624"/>
      <c r="G4624" s="12"/>
      <c r="H4624" s="12"/>
      <c r="I4624" s="12"/>
      <c r="J4624" s="12"/>
    </row>
    <row r="4625" spans="5:10" x14ac:dyDescent="0.25">
      <c r="E4625"/>
      <c r="F4625"/>
      <c r="G4625" s="12"/>
      <c r="H4625" s="12"/>
      <c r="I4625" s="12"/>
      <c r="J4625" s="12"/>
    </row>
    <row r="4626" spans="5:10" x14ac:dyDescent="0.25">
      <c r="E4626"/>
      <c r="F4626"/>
      <c r="G4626" s="12"/>
      <c r="H4626" s="12"/>
      <c r="I4626" s="12"/>
      <c r="J4626" s="12"/>
    </row>
    <row r="4627" spans="5:10" x14ac:dyDescent="0.25">
      <c r="E4627"/>
      <c r="F4627"/>
      <c r="G4627" s="12"/>
      <c r="H4627" s="12"/>
      <c r="I4627" s="12"/>
      <c r="J4627" s="12"/>
    </row>
    <row r="4628" spans="5:10" x14ac:dyDescent="0.25">
      <c r="E4628"/>
      <c r="F4628"/>
      <c r="G4628" s="12"/>
      <c r="H4628" s="12"/>
      <c r="I4628" s="12"/>
      <c r="J4628" s="12"/>
    </row>
    <row r="4629" spans="5:10" x14ac:dyDescent="0.25">
      <c r="E4629"/>
      <c r="F4629"/>
      <c r="G4629" s="12"/>
      <c r="H4629" s="12"/>
      <c r="I4629" s="12"/>
      <c r="J4629" s="12"/>
    </row>
    <row r="4630" spans="5:10" x14ac:dyDescent="0.25">
      <c r="E4630"/>
      <c r="F4630"/>
      <c r="G4630" s="12"/>
      <c r="H4630" s="12"/>
      <c r="I4630" s="12"/>
      <c r="J4630" s="12"/>
    </row>
    <row r="4631" spans="5:10" x14ac:dyDescent="0.25">
      <c r="E4631"/>
      <c r="F4631"/>
      <c r="G4631" s="12"/>
      <c r="H4631" s="12"/>
      <c r="I4631" s="12"/>
      <c r="J4631" s="12"/>
    </row>
    <row r="4632" spans="5:10" x14ac:dyDescent="0.25">
      <c r="E4632"/>
      <c r="F4632"/>
      <c r="G4632" s="12"/>
      <c r="H4632" s="12"/>
      <c r="I4632" s="12"/>
      <c r="J4632" s="12"/>
    </row>
    <row r="4633" spans="5:10" x14ac:dyDescent="0.25">
      <c r="E4633"/>
      <c r="F4633"/>
      <c r="G4633" s="12"/>
      <c r="H4633" s="12"/>
      <c r="I4633" s="12"/>
      <c r="J4633" s="12"/>
    </row>
    <row r="4634" spans="5:10" x14ac:dyDescent="0.25">
      <c r="E4634"/>
      <c r="F4634"/>
      <c r="G4634" s="12"/>
      <c r="H4634" s="12"/>
      <c r="I4634" s="12"/>
      <c r="J4634" s="12"/>
    </row>
    <row r="4635" spans="5:10" x14ac:dyDescent="0.25">
      <c r="E4635"/>
      <c r="F4635"/>
      <c r="G4635" s="12"/>
      <c r="H4635" s="12"/>
      <c r="I4635" s="12"/>
      <c r="J4635" s="12"/>
    </row>
    <row r="4636" spans="5:10" x14ac:dyDescent="0.25">
      <c r="E4636"/>
      <c r="F4636"/>
      <c r="G4636" s="12"/>
      <c r="H4636" s="12"/>
      <c r="I4636" s="12"/>
      <c r="J4636" s="12"/>
    </row>
    <row r="4637" spans="5:10" x14ac:dyDescent="0.25">
      <c r="E4637"/>
      <c r="F4637"/>
      <c r="G4637" s="12"/>
      <c r="H4637" s="12"/>
      <c r="I4637" s="12"/>
      <c r="J4637" s="12"/>
    </row>
    <row r="4638" spans="5:10" x14ac:dyDescent="0.25">
      <c r="E4638"/>
      <c r="F4638"/>
      <c r="G4638" s="12"/>
      <c r="H4638" s="12"/>
      <c r="I4638" s="12"/>
      <c r="J4638" s="12"/>
    </row>
    <row r="4639" spans="5:10" x14ac:dyDescent="0.25">
      <c r="E4639"/>
      <c r="F4639"/>
      <c r="G4639" s="12"/>
      <c r="H4639" s="12"/>
      <c r="I4639" s="12"/>
      <c r="J4639" s="12"/>
    </row>
    <row r="4640" spans="5:10" x14ac:dyDescent="0.25">
      <c r="E4640"/>
      <c r="F4640"/>
      <c r="G4640" s="12"/>
      <c r="H4640" s="12"/>
      <c r="I4640" s="12"/>
      <c r="J4640" s="12"/>
    </row>
    <row r="4641" spans="5:10" x14ac:dyDescent="0.25">
      <c r="E4641"/>
      <c r="F4641"/>
      <c r="G4641" s="12"/>
      <c r="H4641" s="12"/>
      <c r="I4641" s="12"/>
      <c r="J4641" s="12"/>
    </row>
    <row r="4642" spans="5:10" x14ac:dyDescent="0.25">
      <c r="E4642"/>
      <c r="F4642"/>
      <c r="G4642" s="12"/>
      <c r="H4642" s="12"/>
      <c r="I4642" s="12"/>
      <c r="J4642" s="12"/>
    </row>
    <row r="4643" spans="5:10" x14ac:dyDescent="0.25">
      <c r="E4643"/>
      <c r="F4643"/>
      <c r="G4643" s="12"/>
      <c r="H4643" s="12"/>
      <c r="I4643" s="12"/>
      <c r="J4643" s="12"/>
    </row>
    <row r="4644" spans="5:10" x14ac:dyDescent="0.25">
      <c r="E4644"/>
      <c r="F4644"/>
      <c r="G4644" s="12"/>
      <c r="H4644" s="12"/>
      <c r="I4644" s="12"/>
      <c r="J4644" s="12"/>
    </row>
    <row r="4645" spans="5:10" x14ac:dyDescent="0.25">
      <c r="E4645"/>
      <c r="F4645"/>
      <c r="G4645" s="12"/>
      <c r="H4645" s="12"/>
      <c r="I4645" s="12"/>
      <c r="J4645" s="12"/>
    </row>
    <row r="4646" spans="5:10" x14ac:dyDescent="0.25">
      <c r="E4646"/>
      <c r="F4646"/>
      <c r="G4646" s="12"/>
      <c r="H4646" s="12"/>
      <c r="I4646" s="12"/>
      <c r="J4646" s="12"/>
    </row>
    <row r="4647" spans="5:10" x14ac:dyDescent="0.25">
      <c r="E4647"/>
      <c r="F4647"/>
      <c r="G4647" s="12"/>
      <c r="H4647" s="12"/>
      <c r="I4647" s="12"/>
      <c r="J4647" s="12"/>
    </row>
    <row r="4648" spans="5:10" x14ac:dyDescent="0.25">
      <c r="E4648"/>
      <c r="F4648"/>
      <c r="G4648" s="12"/>
      <c r="H4648" s="12"/>
      <c r="I4648" s="12"/>
      <c r="J4648" s="12"/>
    </row>
    <row r="4649" spans="5:10" x14ac:dyDescent="0.25">
      <c r="E4649"/>
      <c r="F4649"/>
      <c r="G4649" s="12"/>
      <c r="H4649" s="12"/>
      <c r="I4649" s="12"/>
      <c r="J4649" s="12"/>
    </row>
    <row r="4650" spans="5:10" x14ac:dyDescent="0.25">
      <c r="E4650"/>
      <c r="F4650"/>
      <c r="G4650" s="12"/>
      <c r="H4650" s="12"/>
      <c r="I4650" s="12"/>
      <c r="J4650" s="12"/>
    </row>
    <row r="4651" spans="5:10" x14ac:dyDescent="0.25">
      <c r="E4651"/>
      <c r="F4651"/>
      <c r="G4651" s="12"/>
      <c r="H4651" s="12"/>
      <c r="I4651" s="12"/>
      <c r="J4651" s="12"/>
    </row>
    <row r="4652" spans="5:10" x14ac:dyDescent="0.25">
      <c r="E4652"/>
      <c r="F4652"/>
      <c r="G4652" s="12"/>
      <c r="H4652" s="12"/>
      <c r="I4652" s="12"/>
      <c r="J4652" s="12"/>
    </row>
    <row r="4653" spans="5:10" x14ac:dyDescent="0.25">
      <c r="E4653"/>
      <c r="F4653"/>
      <c r="G4653" s="12"/>
      <c r="H4653" s="12"/>
      <c r="I4653" s="12"/>
      <c r="J4653" s="12"/>
    </row>
    <row r="4654" spans="5:10" x14ac:dyDescent="0.25">
      <c r="E4654"/>
      <c r="F4654"/>
      <c r="G4654" s="12"/>
      <c r="H4654" s="12"/>
      <c r="I4654" s="12"/>
      <c r="J4654" s="12"/>
    </row>
    <row r="4655" spans="5:10" x14ac:dyDescent="0.25">
      <c r="E4655"/>
      <c r="F4655"/>
      <c r="G4655" s="12"/>
      <c r="H4655" s="12"/>
      <c r="I4655" s="12"/>
      <c r="J4655" s="12"/>
    </row>
    <row r="4656" spans="5:10" x14ac:dyDescent="0.25">
      <c r="E4656"/>
      <c r="F4656"/>
      <c r="G4656" s="12"/>
      <c r="H4656" s="12"/>
      <c r="I4656" s="12"/>
      <c r="J4656" s="12"/>
    </row>
    <row r="4657" spans="5:10" x14ac:dyDescent="0.25">
      <c r="E4657"/>
      <c r="F4657"/>
      <c r="G4657" s="12"/>
      <c r="H4657" s="12"/>
      <c r="I4657" s="12"/>
      <c r="J4657" s="12"/>
    </row>
    <row r="4658" spans="5:10" x14ac:dyDescent="0.25">
      <c r="E4658"/>
      <c r="F4658"/>
      <c r="G4658" s="12"/>
      <c r="H4658" s="12"/>
      <c r="I4658" s="12"/>
      <c r="J4658" s="12"/>
    </row>
    <row r="4659" spans="5:10" x14ac:dyDescent="0.25">
      <c r="E4659"/>
      <c r="F4659"/>
      <c r="G4659" s="12"/>
      <c r="H4659" s="12"/>
      <c r="I4659" s="12"/>
      <c r="J4659" s="12"/>
    </row>
    <row r="4660" spans="5:10" x14ac:dyDescent="0.25">
      <c r="E4660"/>
      <c r="F4660"/>
      <c r="G4660" s="12"/>
      <c r="H4660" s="12"/>
      <c r="I4660" s="12"/>
      <c r="J4660" s="12"/>
    </row>
    <row r="4661" spans="5:10" x14ac:dyDescent="0.25">
      <c r="E4661"/>
      <c r="F4661"/>
      <c r="G4661" s="12"/>
      <c r="H4661" s="12"/>
      <c r="I4661" s="12"/>
      <c r="J4661" s="12"/>
    </row>
    <row r="4662" spans="5:10" x14ac:dyDescent="0.25">
      <c r="E4662"/>
      <c r="F4662"/>
      <c r="G4662" s="12"/>
      <c r="H4662" s="12"/>
      <c r="I4662" s="12"/>
      <c r="J4662" s="12"/>
    </row>
    <row r="4663" spans="5:10" x14ac:dyDescent="0.25">
      <c r="E4663"/>
      <c r="F4663"/>
      <c r="G4663" s="12"/>
      <c r="H4663" s="12"/>
      <c r="I4663" s="12"/>
      <c r="J4663" s="12"/>
    </row>
    <row r="4664" spans="5:10" x14ac:dyDescent="0.25">
      <c r="E4664"/>
      <c r="F4664"/>
      <c r="G4664" s="12"/>
      <c r="H4664" s="12"/>
      <c r="I4664" s="12"/>
      <c r="J4664" s="12"/>
    </row>
    <row r="4665" spans="5:10" x14ac:dyDescent="0.25">
      <c r="E4665"/>
      <c r="F4665"/>
      <c r="G4665" s="12"/>
      <c r="H4665" s="12"/>
      <c r="I4665" s="12"/>
      <c r="J4665" s="12"/>
    </row>
    <row r="4666" spans="5:10" x14ac:dyDescent="0.25">
      <c r="E4666"/>
      <c r="F4666"/>
      <c r="G4666" s="12"/>
      <c r="H4666" s="12"/>
      <c r="I4666" s="12"/>
      <c r="J4666" s="12"/>
    </row>
    <row r="4667" spans="5:10" x14ac:dyDescent="0.25">
      <c r="E4667"/>
      <c r="F4667"/>
      <c r="G4667" s="12"/>
      <c r="H4667" s="12"/>
      <c r="I4667" s="12"/>
      <c r="J4667" s="12"/>
    </row>
    <row r="4668" spans="5:10" x14ac:dyDescent="0.25">
      <c r="E4668"/>
      <c r="F4668"/>
      <c r="G4668" s="12"/>
      <c r="H4668" s="12"/>
      <c r="I4668" s="12"/>
      <c r="J4668" s="12"/>
    </row>
    <row r="4669" spans="5:10" x14ac:dyDescent="0.25">
      <c r="E4669"/>
      <c r="F4669"/>
      <c r="G4669" s="12"/>
      <c r="H4669" s="12"/>
      <c r="I4669" s="12"/>
      <c r="J4669" s="12"/>
    </row>
    <row r="4670" spans="5:10" x14ac:dyDescent="0.25">
      <c r="E4670"/>
      <c r="F4670"/>
      <c r="G4670" s="12"/>
      <c r="H4670" s="12"/>
      <c r="I4670" s="12"/>
      <c r="J4670" s="12"/>
    </row>
    <row r="4671" spans="5:10" x14ac:dyDescent="0.25">
      <c r="E4671"/>
      <c r="F4671"/>
      <c r="G4671" s="12"/>
      <c r="H4671" s="12"/>
      <c r="I4671" s="12"/>
      <c r="J4671" s="12"/>
    </row>
    <row r="4672" spans="5:10" x14ac:dyDescent="0.25">
      <c r="E4672"/>
      <c r="F4672"/>
      <c r="G4672" s="12"/>
      <c r="H4672" s="12"/>
      <c r="I4672" s="12"/>
      <c r="J4672" s="12"/>
    </row>
    <row r="4673" spans="5:10" x14ac:dyDescent="0.25">
      <c r="E4673"/>
      <c r="F4673"/>
      <c r="G4673" s="12"/>
      <c r="H4673" s="12"/>
      <c r="I4673" s="12"/>
      <c r="J4673" s="12"/>
    </row>
    <row r="4674" spans="5:10" x14ac:dyDescent="0.25">
      <c r="E4674"/>
      <c r="F4674"/>
      <c r="G4674" s="12"/>
      <c r="H4674" s="12"/>
      <c r="I4674" s="12"/>
      <c r="J4674" s="12"/>
    </row>
    <row r="4675" spans="5:10" x14ac:dyDescent="0.25">
      <c r="E4675"/>
      <c r="F4675"/>
      <c r="G4675" s="12"/>
      <c r="H4675" s="12"/>
      <c r="I4675" s="12"/>
      <c r="J4675" s="12"/>
    </row>
    <row r="4676" spans="5:10" x14ac:dyDescent="0.25">
      <c r="E4676"/>
      <c r="F4676"/>
      <c r="G4676" s="12"/>
      <c r="H4676" s="12"/>
      <c r="I4676" s="12"/>
      <c r="J4676" s="12"/>
    </row>
    <row r="4677" spans="5:10" x14ac:dyDescent="0.25">
      <c r="E4677"/>
      <c r="F4677"/>
      <c r="G4677" s="12"/>
      <c r="H4677" s="12"/>
      <c r="I4677" s="12"/>
      <c r="J4677" s="12"/>
    </row>
    <row r="4678" spans="5:10" x14ac:dyDescent="0.25">
      <c r="E4678"/>
      <c r="F4678"/>
      <c r="G4678" s="12"/>
      <c r="H4678" s="12"/>
      <c r="I4678" s="12"/>
      <c r="J4678" s="12"/>
    </row>
    <row r="4679" spans="5:10" x14ac:dyDescent="0.25">
      <c r="E4679"/>
      <c r="F4679"/>
      <c r="G4679" s="12"/>
      <c r="H4679" s="12"/>
      <c r="I4679" s="12"/>
      <c r="J4679" s="12"/>
    </row>
    <row r="4680" spans="5:10" x14ac:dyDescent="0.25">
      <c r="E4680"/>
      <c r="F4680"/>
      <c r="G4680" s="12"/>
      <c r="H4680" s="12"/>
      <c r="I4680" s="12"/>
      <c r="J4680" s="12"/>
    </row>
    <row r="4681" spans="5:10" x14ac:dyDescent="0.25">
      <c r="E4681"/>
      <c r="F4681"/>
      <c r="G4681" s="12"/>
      <c r="H4681" s="12"/>
      <c r="I4681" s="12"/>
      <c r="J4681" s="12"/>
    </row>
    <row r="4682" spans="5:10" x14ac:dyDescent="0.25">
      <c r="E4682"/>
      <c r="F4682"/>
      <c r="G4682" s="12"/>
      <c r="H4682" s="12"/>
      <c r="I4682" s="12"/>
      <c r="J4682" s="12"/>
    </row>
    <row r="4683" spans="5:10" x14ac:dyDescent="0.25">
      <c r="E4683"/>
      <c r="F4683"/>
      <c r="G4683" s="12"/>
      <c r="H4683" s="12"/>
      <c r="I4683" s="12"/>
      <c r="J4683" s="12"/>
    </row>
    <row r="4684" spans="5:10" x14ac:dyDescent="0.25">
      <c r="E4684"/>
      <c r="F4684"/>
      <c r="G4684" s="12"/>
      <c r="H4684" s="12"/>
      <c r="I4684" s="12"/>
      <c r="J4684" s="12"/>
    </row>
    <row r="4685" spans="5:10" x14ac:dyDescent="0.25">
      <c r="E4685"/>
      <c r="F4685"/>
      <c r="G4685" s="12"/>
      <c r="H4685" s="12"/>
      <c r="I4685" s="12"/>
      <c r="J4685" s="12"/>
    </row>
    <row r="4686" spans="5:10" x14ac:dyDescent="0.25">
      <c r="E4686"/>
      <c r="F4686"/>
      <c r="G4686" s="12"/>
      <c r="H4686" s="12"/>
      <c r="I4686" s="12"/>
      <c r="J4686" s="12"/>
    </row>
    <row r="4687" spans="5:10" x14ac:dyDescent="0.25">
      <c r="E4687"/>
      <c r="F4687"/>
      <c r="G4687" s="12"/>
      <c r="H4687" s="12"/>
      <c r="I4687" s="12"/>
      <c r="J4687" s="12"/>
    </row>
    <row r="4688" spans="5:10" x14ac:dyDescent="0.25">
      <c r="E4688"/>
      <c r="F4688"/>
      <c r="G4688" s="12"/>
      <c r="H4688" s="12"/>
      <c r="I4688" s="12"/>
      <c r="J4688" s="12"/>
    </row>
    <row r="4689" spans="5:10" x14ac:dyDescent="0.25">
      <c r="E4689"/>
      <c r="F4689"/>
      <c r="G4689" s="12"/>
      <c r="H4689" s="12"/>
      <c r="I4689" s="12"/>
      <c r="J4689" s="12"/>
    </row>
    <row r="4690" spans="5:10" x14ac:dyDescent="0.25">
      <c r="E4690"/>
      <c r="F4690"/>
      <c r="G4690" s="12"/>
      <c r="H4690" s="12"/>
      <c r="I4690" s="12"/>
      <c r="J4690" s="12"/>
    </row>
    <row r="4691" spans="5:10" x14ac:dyDescent="0.25">
      <c r="E4691"/>
      <c r="F4691"/>
      <c r="G4691" s="12"/>
      <c r="H4691" s="12"/>
      <c r="I4691" s="12"/>
      <c r="J4691" s="12"/>
    </row>
    <row r="4692" spans="5:10" x14ac:dyDescent="0.25">
      <c r="E4692"/>
      <c r="F4692"/>
      <c r="G4692" s="12"/>
      <c r="H4692" s="12"/>
      <c r="I4692" s="12"/>
      <c r="J4692" s="12"/>
    </row>
    <row r="4693" spans="5:10" x14ac:dyDescent="0.25">
      <c r="E4693"/>
      <c r="F4693"/>
      <c r="G4693" s="12"/>
      <c r="H4693" s="12"/>
      <c r="I4693" s="12"/>
      <c r="J4693" s="12"/>
    </row>
    <row r="4694" spans="5:10" x14ac:dyDescent="0.25">
      <c r="E4694"/>
      <c r="F4694"/>
      <c r="G4694" s="12"/>
      <c r="H4694" s="12"/>
      <c r="I4694" s="12"/>
      <c r="J4694" s="12"/>
    </row>
    <row r="4695" spans="5:10" x14ac:dyDescent="0.25">
      <c r="E4695"/>
      <c r="F4695"/>
      <c r="G4695" s="12"/>
      <c r="H4695" s="12"/>
      <c r="I4695" s="12"/>
      <c r="J4695" s="12"/>
    </row>
    <row r="4696" spans="5:10" x14ac:dyDescent="0.25">
      <c r="E4696"/>
      <c r="F4696"/>
      <c r="G4696" s="12"/>
      <c r="H4696" s="12"/>
      <c r="I4696" s="12"/>
      <c r="J4696" s="12"/>
    </row>
    <row r="4697" spans="5:10" x14ac:dyDescent="0.25">
      <c r="E4697"/>
      <c r="F4697"/>
      <c r="G4697" s="12"/>
      <c r="H4697" s="12"/>
      <c r="I4697" s="12"/>
      <c r="J4697" s="12"/>
    </row>
    <row r="4698" spans="5:10" x14ac:dyDescent="0.25">
      <c r="E4698"/>
      <c r="F4698"/>
      <c r="G4698" s="12"/>
      <c r="H4698" s="12"/>
      <c r="I4698" s="12"/>
      <c r="J4698" s="12"/>
    </row>
    <row r="4699" spans="5:10" x14ac:dyDescent="0.25">
      <c r="E4699"/>
      <c r="F4699"/>
      <c r="G4699" s="12"/>
      <c r="H4699" s="12"/>
      <c r="I4699" s="12"/>
      <c r="J4699" s="12"/>
    </row>
    <row r="4700" spans="5:10" x14ac:dyDescent="0.25">
      <c r="E4700"/>
      <c r="F4700"/>
      <c r="G4700" s="12"/>
      <c r="H4700" s="12"/>
      <c r="I4700" s="12"/>
      <c r="J4700" s="12"/>
    </row>
    <row r="4701" spans="5:10" x14ac:dyDescent="0.25">
      <c r="E4701"/>
      <c r="F4701"/>
      <c r="G4701" s="12"/>
      <c r="H4701" s="12"/>
      <c r="I4701" s="12"/>
      <c r="J4701" s="12"/>
    </row>
    <row r="4702" spans="5:10" x14ac:dyDescent="0.25">
      <c r="E4702"/>
      <c r="F4702"/>
      <c r="G4702" s="12"/>
      <c r="H4702" s="12"/>
      <c r="I4702" s="12"/>
      <c r="J4702" s="12"/>
    </row>
    <row r="4703" spans="5:10" x14ac:dyDescent="0.25">
      <c r="E4703"/>
      <c r="F4703"/>
      <c r="G4703" s="12"/>
      <c r="H4703" s="12"/>
      <c r="I4703" s="12"/>
      <c r="J4703" s="12"/>
    </row>
    <row r="4704" spans="5:10" x14ac:dyDescent="0.25">
      <c r="E4704"/>
      <c r="F4704"/>
      <c r="G4704" s="12"/>
      <c r="H4704" s="12"/>
      <c r="I4704" s="12"/>
      <c r="J4704" s="12"/>
    </row>
    <row r="4705" spans="5:10" x14ac:dyDescent="0.25">
      <c r="E4705"/>
      <c r="F4705"/>
      <c r="G4705" s="12"/>
      <c r="H4705" s="12"/>
      <c r="I4705" s="12"/>
      <c r="J4705" s="12"/>
    </row>
    <row r="4706" spans="5:10" x14ac:dyDescent="0.25">
      <c r="E4706"/>
      <c r="F4706"/>
      <c r="G4706" s="12"/>
      <c r="H4706" s="12"/>
      <c r="I4706" s="12"/>
      <c r="J4706" s="12"/>
    </row>
    <row r="4707" spans="5:10" x14ac:dyDescent="0.25">
      <c r="E4707"/>
      <c r="F4707"/>
      <c r="G4707" s="12"/>
      <c r="H4707" s="12"/>
      <c r="I4707" s="12"/>
      <c r="J4707" s="12"/>
    </row>
    <row r="4708" spans="5:10" x14ac:dyDescent="0.25">
      <c r="E4708"/>
      <c r="F4708"/>
      <c r="G4708" s="12"/>
      <c r="H4708" s="12"/>
      <c r="I4708" s="12"/>
      <c r="J4708" s="12"/>
    </row>
    <row r="4709" spans="5:10" x14ac:dyDescent="0.25">
      <c r="E4709"/>
      <c r="F4709"/>
      <c r="G4709" s="12"/>
      <c r="H4709" s="12"/>
      <c r="I4709" s="12"/>
      <c r="J4709" s="12"/>
    </row>
    <row r="4710" spans="5:10" x14ac:dyDescent="0.25">
      <c r="E4710"/>
      <c r="F4710"/>
      <c r="G4710" s="12"/>
      <c r="H4710" s="12"/>
      <c r="I4710" s="12"/>
      <c r="J4710" s="12"/>
    </row>
    <row r="4711" spans="5:10" x14ac:dyDescent="0.25">
      <c r="E4711"/>
      <c r="F4711"/>
      <c r="G4711" s="12"/>
      <c r="H4711" s="12"/>
      <c r="I4711" s="12"/>
      <c r="J4711" s="12"/>
    </row>
    <row r="4712" spans="5:10" x14ac:dyDescent="0.25">
      <c r="E4712"/>
      <c r="F4712"/>
      <c r="G4712" s="12"/>
      <c r="H4712" s="12"/>
      <c r="I4712" s="12"/>
      <c r="J4712" s="12"/>
    </row>
    <row r="4713" spans="5:10" x14ac:dyDescent="0.25">
      <c r="E4713"/>
      <c r="F4713"/>
      <c r="G4713" s="12"/>
      <c r="H4713" s="12"/>
      <c r="I4713" s="12"/>
      <c r="J4713" s="12"/>
    </row>
    <row r="4714" spans="5:10" x14ac:dyDescent="0.25">
      <c r="E4714"/>
      <c r="F4714"/>
      <c r="G4714" s="12"/>
      <c r="H4714" s="12"/>
      <c r="I4714" s="12"/>
      <c r="J4714" s="12"/>
    </row>
    <row r="4715" spans="5:10" x14ac:dyDescent="0.25">
      <c r="E4715"/>
      <c r="F4715"/>
      <c r="G4715" s="12"/>
      <c r="H4715" s="12"/>
      <c r="I4715" s="12"/>
      <c r="J4715" s="12"/>
    </row>
    <row r="4716" spans="5:10" x14ac:dyDescent="0.25">
      <c r="E4716"/>
      <c r="F4716"/>
      <c r="G4716" s="12"/>
      <c r="H4716" s="12"/>
      <c r="I4716" s="12"/>
      <c r="J4716" s="12"/>
    </row>
    <row r="4717" spans="5:10" x14ac:dyDescent="0.25">
      <c r="E4717"/>
      <c r="F4717"/>
      <c r="G4717" s="12"/>
      <c r="H4717" s="12"/>
      <c r="I4717" s="12"/>
      <c r="J4717" s="12"/>
    </row>
    <row r="4718" spans="5:10" x14ac:dyDescent="0.25">
      <c r="E4718"/>
      <c r="F4718"/>
      <c r="G4718" s="12"/>
      <c r="H4718" s="12"/>
      <c r="I4718" s="12"/>
      <c r="J4718" s="12"/>
    </row>
    <row r="4719" spans="5:10" x14ac:dyDescent="0.25">
      <c r="E4719"/>
      <c r="F4719"/>
      <c r="G4719" s="12"/>
      <c r="H4719" s="12"/>
      <c r="I4719" s="12"/>
      <c r="J4719" s="12"/>
    </row>
    <row r="4720" spans="5:10" x14ac:dyDescent="0.25">
      <c r="E4720"/>
      <c r="F4720"/>
      <c r="G4720" s="12"/>
      <c r="H4720" s="12"/>
      <c r="I4720" s="12"/>
      <c r="J4720" s="12"/>
    </row>
    <row r="4721" spans="5:10" x14ac:dyDescent="0.25">
      <c r="E4721"/>
      <c r="F4721"/>
      <c r="G4721" s="12"/>
      <c r="H4721" s="12"/>
      <c r="I4721" s="12"/>
      <c r="J4721" s="12"/>
    </row>
    <row r="4722" spans="5:10" x14ac:dyDescent="0.25">
      <c r="E4722"/>
      <c r="F4722"/>
      <c r="G4722" s="12"/>
      <c r="H4722" s="12"/>
      <c r="I4722" s="12"/>
      <c r="J4722" s="12"/>
    </row>
    <row r="4723" spans="5:10" x14ac:dyDescent="0.25">
      <c r="E4723"/>
      <c r="F4723"/>
      <c r="G4723" s="12"/>
      <c r="H4723" s="12"/>
      <c r="I4723" s="12"/>
      <c r="J4723" s="12"/>
    </row>
    <row r="4724" spans="5:10" x14ac:dyDescent="0.25">
      <c r="E4724"/>
      <c r="F4724"/>
      <c r="G4724" s="12"/>
      <c r="H4724" s="12"/>
      <c r="I4724" s="12"/>
      <c r="J4724" s="12"/>
    </row>
    <row r="4725" spans="5:10" x14ac:dyDescent="0.25">
      <c r="E4725"/>
      <c r="F4725"/>
      <c r="G4725" s="12"/>
      <c r="H4725" s="12"/>
      <c r="I4725" s="12"/>
      <c r="J4725" s="12"/>
    </row>
    <row r="4726" spans="5:10" x14ac:dyDescent="0.25">
      <c r="E4726"/>
      <c r="F4726"/>
      <c r="G4726" s="12"/>
      <c r="H4726" s="12"/>
      <c r="I4726" s="12"/>
      <c r="J4726" s="12"/>
    </row>
    <row r="4727" spans="5:10" x14ac:dyDescent="0.25">
      <c r="E4727"/>
      <c r="F4727"/>
      <c r="G4727" s="12"/>
      <c r="H4727" s="12"/>
      <c r="I4727" s="12"/>
      <c r="J4727" s="12"/>
    </row>
    <row r="4728" spans="5:10" x14ac:dyDescent="0.25">
      <c r="E4728"/>
      <c r="F4728"/>
      <c r="G4728" s="12"/>
      <c r="H4728" s="12"/>
      <c r="I4728" s="12"/>
      <c r="J4728" s="12"/>
    </row>
    <row r="4729" spans="5:10" x14ac:dyDescent="0.25">
      <c r="E4729"/>
      <c r="F4729"/>
      <c r="G4729" s="12"/>
      <c r="H4729" s="12"/>
      <c r="I4729" s="12"/>
      <c r="J4729" s="12"/>
    </row>
    <row r="4730" spans="5:10" x14ac:dyDescent="0.25">
      <c r="E4730"/>
      <c r="F4730"/>
      <c r="G4730" s="12"/>
      <c r="H4730" s="12"/>
      <c r="I4730" s="12"/>
      <c r="J4730" s="12"/>
    </row>
    <row r="4731" spans="5:10" x14ac:dyDescent="0.25">
      <c r="E4731"/>
      <c r="F4731"/>
      <c r="G4731" s="12"/>
      <c r="H4731" s="12"/>
      <c r="I4731" s="12"/>
      <c r="J4731" s="12"/>
    </row>
    <row r="4732" spans="5:10" x14ac:dyDescent="0.25">
      <c r="E4732"/>
      <c r="F4732"/>
      <c r="G4732" s="12"/>
      <c r="H4732" s="12"/>
      <c r="I4732" s="12"/>
      <c r="J4732" s="12"/>
    </row>
    <row r="4733" spans="5:10" x14ac:dyDescent="0.25">
      <c r="E4733"/>
      <c r="F4733"/>
      <c r="G4733" s="12"/>
      <c r="H4733" s="12"/>
      <c r="I4733" s="12"/>
      <c r="J4733" s="12"/>
    </row>
    <row r="4734" spans="5:10" x14ac:dyDescent="0.25">
      <c r="E4734"/>
      <c r="F4734"/>
      <c r="G4734" s="12"/>
      <c r="H4734" s="12"/>
      <c r="I4734" s="12"/>
      <c r="J4734" s="12"/>
    </row>
    <row r="4735" spans="5:10" x14ac:dyDescent="0.25">
      <c r="E4735"/>
      <c r="F4735"/>
      <c r="G4735" s="12"/>
      <c r="H4735" s="12"/>
      <c r="I4735" s="12"/>
      <c r="J4735" s="12"/>
    </row>
    <row r="4736" spans="5:10" x14ac:dyDescent="0.25">
      <c r="E4736"/>
      <c r="F4736"/>
      <c r="G4736" s="12"/>
      <c r="H4736" s="12"/>
      <c r="I4736" s="12"/>
      <c r="J4736" s="12"/>
    </row>
    <row r="4737" spans="5:10" x14ac:dyDescent="0.25">
      <c r="E4737"/>
      <c r="F4737"/>
      <c r="G4737" s="12"/>
      <c r="H4737" s="12"/>
      <c r="I4737" s="12"/>
      <c r="J4737" s="12"/>
    </row>
    <row r="4738" spans="5:10" x14ac:dyDescent="0.25">
      <c r="E4738"/>
      <c r="F4738"/>
      <c r="G4738" s="12"/>
      <c r="H4738" s="12"/>
      <c r="I4738" s="12"/>
      <c r="J4738" s="12"/>
    </row>
    <row r="4739" spans="5:10" x14ac:dyDescent="0.25">
      <c r="E4739"/>
      <c r="F4739"/>
      <c r="G4739" s="12"/>
      <c r="H4739" s="12"/>
      <c r="I4739" s="12"/>
      <c r="J4739" s="12"/>
    </row>
    <row r="4740" spans="5:10" x14ac:dyDescent="0.25">
      <c r="E4740"/>
      <c r="F4740"/>
      <c r="G4740" s="12"/>
      <c r="H4740" s="12"/>
      <c r="I4740" s="12"/>
      <c r="J4740" s="12"/>
    </row>
    <row r="4741" spans="5:10" x14ac:dyDescent="0.25">
      <c r="E4741"/>
      <c r="F4741"/>
      <c r="G4741" s="12"/>
      <c r="H4741" s="12"/>
      <c r="I4741" s="12"/>
      <c r="J4741" s="12"/>
    </row>
    <row r="4742" spans="5:10" x14ac:dyDescent="0.25">
      <c r="E4742"/>
      <c r="F4742"/>
      <c r="G4742" s="12"/>
      <c r="H4742" s="12"/>
      <c r="I4742" s="12"/>
      <c r="J4742" s="12"/>
    </row>
    <row r="4743" spans="5:10" x14ac:dyDescent="0.25">
      <c r="E4743"/>
      <c r="F4743"/>
      <c r="G4743" s="12"/>
      <c r="H4743" s="12"/>
      <c r="I4743" s="12"/>
      <c r="J4743" s="12"/>
    </row>
    <row r="4744" spans="5:10" x14ac:dyDescent="0.25">
      <c r="E4744"/>
      <c r="F4744"/>
      <c r="G4744" s="12"/>
      <c r="H4744" s="12"/>
      <c r="I4744" s="12"/>
      <c r="J4744" s="12"/>
    </row>
    <row r="4745" spans="5:10" x14ac:dyDescent="0.25">
      <c r="E4745"/>
      <c r="F4745"/>
      <c r="G4745" s="12"/>
      <c r="H4745" s="12"/>
      <c r="I4745" s="12"/>
      <c r="J4745" s="12"/>
    </row>
    <row r="4746" spans="5:10" x14ac:dyDescent="0.25">
      <c r="E4746"/>
      <c r="F4746"/>
      <c r="G4746" s="12"/>
      <c r="H4746" s="12"/>
      <c r="I4746" s="12"/>
      <c r="J4746" s="12"/>
    </row>
    <row r="4747" spans="5:10" x14ac:dyDescent="0.25">
      <c r="E4747"/>
      <c r="F4747"/>
      <c r="G4747" s="12"/>
      <c r="H4747" s="12"/>
      <c r="I4747" s="12"/>
      <c r="J4747" s="12"/>
    </row>
    <row r="4748" spans="5:10" x14ac:dyDescent="0.25">
      <c r="E4748"/>
      <c r="F4748"/>
      <c r="G4748" s="12"/>
      <c r="H4748" s="12"/>
      <c r="I4748" s="12"/>
      <c r="J4748" s="12"/>
    </row>
    <row r="4749" spans="5:10" x14ac:dyDescent="0.25">
      <c r="E4749"/>
      <c r="F4749"/>
      <c r="G4749" s="12"/>
      <c r="H4749" s="12"/>
      <c r="I4749" s="12"/>
      <c r="J4749" s="12"/>
    </row>
    <row r="4750" spans="5:10" x14ac:dyDescent="0.25">
      <c r="E4750"/>
      <c r="F4750"/>
      <c r="G4750" s="12"/>
      <c r="H4750" s="12"/>
      <c r="I4750" s="12"/>
      <c r="J4750" s="12"/>
    </row>
    <row r="4751" spans="5:10" x14ac:dyDescent="0.25">
      <c r="E4751"/>
      <c r="F4751"/>
      <c r="G4751" s="12"/>
      <c r="H4751" s="12"/>
      <c r="I4751" s="12"/>
      <c r="J4751" s="12"/>
    </row>
    <row r="4752" spans="5:10" x14ac:dyDescent="0.25">
      <c r="E4752"/>
      <c r="F4752"/>
      <c r="G4752" s="12"/>
      <c r="H4752" s="12"/>
      <c r="I4752" s="12"/>
      <c r="J4752" s="12"/>
    </row>
    <row r="4753" spans="5:10" x14ac:dyDescent="0.25">
      <c r="E4753"/>
      <c r="F4753"/>
      <c r="G4753" s="12"/>
      <c r="H4753" s="12"/>
      <c r="I4753" s="12"/>
      <c r="J4753" s="12"/>
    </row>
    <row r="4754" spans="5:10" x14ac:dyDescent="0.25">
      <c r="E4754"/>
      <c r="F4754"/>
      <c r="G4754" s="12"/>
      <c r="H4754" s="12"/>
      <c r="I4754" s="12"/>
      <c r="J4754" s="12"/>
    </row>
    <row r="4755" spans="5:10" x14ac:dyDescent="0.25">
      <c r="E4755"/>
      <c r="F4755"/>
      <c r="G4755" s="12"/>
      <c r="H4755" s="12"/>
      <c r="I4755" s="12"/>
      <c r="J4755" s="12"/>
    </row>
    <row r="4756" spans="5:10" x14ac:dyDescent="0.25">
      <c r="E4756"/>
      <c r="F4756"/>
      <c r="G4756" s="12"/>
      <c r="H4756" s="12"/>
      <c r="I4756" s="12"/>
      <c r="J4756" s="12"/>
    </row>
    <row r="4757" spans="5:10" x14ac:dyDescent="0.25">
      <c r="E4757"/>
      <c r="F4757"/>
      <c r="G4757" s="12"/>
      <c r="H4757" s="12"/>
      <c r="I4757" s="12"/>
      <c r="J4757" s="12"/>
    </row>
    <row r="4758" spans="5:10" x14ac:dyDescent="0.25">
      <c r="E4758"/>
      <c r="F4758"/>
      <c r="G4758" s="12"/>
      <c r="H4758" s="12"/>
      <c r="I4758" s="12"/>
      <c r="J4758" s="12"/>
    </row>
    <row r="4759" spans="5:10" x14ac:dyDescent="0.25">
      <c r="E4759"/>
      <c r="F4759"/>
      <c r="G4759" s="12"/>
      <c r="H4759" s="12"/>
      <c r="I4759" s="12"/>
      <c r="J4759" s="12"/>
    </row>
    <row r="4760" spans="5:10" x14ac:dyDescent="0.25">
      <c r="E4760"/>
      <c r="F4760"/>
      <c r="G4760" s="12"/>
      <c r="H4760" s="12"/>
      <c r="I4760" s="12"/>
      <c r="J4760" s="12"/>
    </row>
    <row r="4761" spans="5:10" x14ac:dyDescent="0.25">
      <c r="E4761"/>
      <c r="F4761"/>
      <c r="G4761" s="12"/>
      <c r="H4761" s="12"/>
      <c r="I4761" s="12"/>
      <c r="J4761" s="12"/>
    </row>
    <row r="4762" spans="5:10" x14ac:dyDescent="0.25">
      <c r="E4762"/>
      <c r="F4762"/>
      <c r="G4762" s="12"/>
      <c r="H4762" s="12"/>
      <c r="I4762" s="12"/>
      <c r="J4762" s="12"/>
    </row>
    <row r="4763" spans="5:10" x14ac:dyDescent="0.25">
      <c r="E4763"/>
      <c r="F4763"/>
      <c r="G4763" s="12"/>
      <c r="H4763" s="12"/>
      <c r="I4763" s="12"/>
      <c r="J4763" s="12"/>
    </row>
    <row r="4764" spans="5:10" x14ac:dyDescent="0.25">
      <c r="E4764"/>
      <c r="F4764"/>
      <c r="G4764" s="12"/>
      <c r="H4764" s="12"/>
      <c r="I4764" s="12"/>
      <c r="J4764" s="12"/>
    </row>
    <row r="4765" spans="5:10" x14ac:dyDescent="0.25">
      <c r="E4765"/>
      <c r="F4765"/>
      <c r="G4765" s="12"/>
      <c r="H4765" s="12"/>
      <c r="I4765" s="12"/>
      <c r="J4765" s="12"/>
    </row>
    <row r="4766" spans="5:10" x14ac:dyDescent="0.25">
      <c r="E4766"/>
      <c r="F4766"/>
      <c r="G4766" s="12"/>
      <c r="H4766" s="12"/>
      <c r="I4766" s="12"/>
      <c r="J4766" s="12"/>
    </row>
    <row r="4767" spans="5:10" x14ac:dyDescent="0.25">
      <c r="E4767"/>
      <c r="F4767"/>
      <c r="G4767" s="12"/>
      <c r="H4767" s="12"/>
      <c r="I4767" s="12"/>
      <c r="J4767" s="12"/>
    </row>
    <row r="4768" spans="5:10" x14ac:dyDescent="0.25">
      <c r="E4768"/>
      <c r="F4768"/>
      <c r="G4768" s="12"/>
      <c r="H4768" s="12"/>
      <c r="I4768" s="12"/>
      <c r="J4768" s="12"/>
    </row>
    <row r="4769" spans="5:10" x14ac:dyDescent="0.25">
      <c r="E4769"/>
      <c r="F4769"/>
      <c r="G4769" s="12"/>
      <c r="H4769" s="12"/>
      <c r="I4769" s="12"/>
      <c r="J4769" s="12"/>
    </row>
    <row r="4770" spans="5:10" x14ac:dyDescent="0.25">
      <c r="E4770"/>
      <c r="F4770"/>
      <c r="G4770" s="12"/>
      <c r="H4770" s="12"/>
      <c r="I4770" s="12"/>
      <c r="J4770" s="12"/>
    </row>
    <row r="4771" spans="5:10" x14ac:dyDescent="0.25">
      <c r="E4771"/>
      <c r="F4771"/>
      <c r="G4771" s="12"/>
      <c r="H4771" s="12"/>
      <c r="I4771" s="12"/>
      <c r="J4771" s="12"/>
    </row>
    <row r="4772" spans="5:10" x14ac:dyDescent="0.25">
      <c r="E4772"/>
      <c r="F4772"/>
      <c r="G4772" s="12"/>
      <c r="H4772" s="12"/>
      <c r="I4772" s="12"/>
      <c r="J4772" s="12"/>
    </row>
    <row r="4773" spans="5:10" x14ac:dyDescent="0.25">
      <c r="E4773"/>
      <c r="F4773"/>
      <c r="G4773" s="12"/>
      <c r="H4773" s="12"/>
      <c r="I4773" s="12"/>
      <c r="J4773" s="12"/>
    </row>
    <row r="4774" spans="5:10" x14ac:dyDescent="0.25">
      <c r="E4774"/>
      <c r="F4774"/>
      <c r="G4774" s="12"/>
      <c r="H4774" s="12"/>
      <c r="I4774" s="12"/>
      <c r="J4774" s="12"/>
    </row>
    <row r="4775" spans="5:10" x14ac:dyDescent="0.25">
      <c r="E4775"/>
      <c r="F4775"/>
      <c r="G4775" s="12"/>
      <c r="H4775" s="12"/>
      <c r="I4775" s="12"/>
      <c r="J4775" s="12"/>
    </row>
    <row r="4776" spans="5:10" x14ac:dyDescent="0.25">
      <c r="E4776"/>
      <c r="F4776"/>
      <c r="G4776" s="12"/>
      <c r="H4776" s="12"/>
      <c r="I4776" s="12"/>
      <c r="J4776" s="12"/>
    </row>
    <row r="4777" spans="5:10" x14ac:dyDescent="0.25">
      <c r="E4777"/>
      <c r="F4777"/>
      <c r="G4777" s="12"/>
      <c r="H4777" s="12"/>
      <c r="I4777" s="12"/>
      <c r="J4777" s="12"/>
    </row>
    <row r="4778" spans="5:10" x14ac:dyDescent="0.25">
      <c r="E4778"/>
      <c r="F4778"/>
      <c r="G4778" s="12"/>
      <c r="H4778" s="12"/>
      <c r="I4778" s="12"/>
      <c r="J4778" s="12"/>
    </row>
    <row r="4779" spans="5:10" x14ac:dyDescent="0.25">
      <c r="E4779"/>
      <c r="F4779"/>
      <c r="G4779" s="12"/>
      <c r="H4779" s="12"/>
      <c r="I4779" s="12"/>
      <c r="J4779" s="12"/>
    </row>
    <row r="4780" spans="5:10" x14ac:dyDescent="0.25">
      <c r="E4780"/>
      <c r="F4780"/>
      <c r="G4780" s="12"/>
      <c r="H4780" s="12"/>
      <c r="I4780" s="12"/>
      <c r="J4780" s="12"/>
    </row>
    <row r="4781" spans="5:10" x14ac:dyDescent="0.25">
      <c r="E4781"/>
      <c r="F4781"/>
      <c r="G4781" s="12"/>
      <c r="H4781" s="12"/>
      <c r="I4781" s="12"/>
      <c r="J4781" s="12"/>
    </row>
    <row r="4782" spans="5:10" x14ac:dyDescent="0.25">
      <c r="E4782"/>
      <c r="F4782"/>
      <c r="G4782" s="12"/>
      <c r="H4782" s="12"/>
      <c r="I4782" s="12"/>
      <c r="J4782" s="12"/>
    </row>
    <row r="4783" spans="5:10" x14ac:dyDescent="0.25">
      <c r="E4783"/>
      <c r="F4783"/>
      <c r="G4783" s="12"/>
      <c r="H4783" s="12"/>
      <c r="I4783" s="12"/>
      <c r="J4783" s="12"/>
    </row>
    <row r="4784" spans="5:10" x14ac:dyDescent="0.25">
      <c r="E4784"/>
      <c r="F4784"/>
      <c r="G4784" s="12"/>
      <c r="H4784" s="12"/>
      <c r="I4784" s="12"/>
      <c r="J4784" s="12"/>
    </row>
    <row r="4785" spans="5:10" x14ac:dyDescent="0.25">
      <c r="E4785"/>
      <c r="F4785"/>
      <c r="G4785" s="12"/>
      <c r="H4785" s="12"/>
      <c r="I4785" s="12"/>
      <c r="J4785" s="12"/>
    </row>
    <row r="4786" spans="5:10" x14ac:dyDescent="0.25">
      <c r="E4786"/>
      <c r="F4786"/>
      <c r="G4786" s="12"/>
      <c r="H4786" s="12"/>
      <c r="I4786" s="12"/>
      <c r="J4786" s="12"/>
    </row>
    <row r="4787" spans="5:10" x14ac:dyDescent="0.25">
      <c r="E4787"/>
      <c r="F4787"/>
      <c r="G4787" s="12"/>
      <c r="H4787" s="12"/>
      <c r="I4787" s="12"/>
      <c r="J4787" s="12"/>
    </row>
    <row r="4788" spans="5:10" x14ac:dyDescent="0.25">
      <c r="E4788"/>
      <c r="F4788"/>
      <c r="G4788" s="12"/>
      <c r="H4788" s="12"/>
      <c r="I4788" s="12"/>
      <c r="J4788" s="12"/>
    </row>
    <row r="4789" spans="5:10" x14ac:dyDescent="0.25">
      <c r="E4789"/>
      <c r="F4789"/>
      <c r="G4789" s="12"/>
      <c r="H4789" s="12"/>
      <c r="I4789" s="12"/>
      <c r="J4789" s="12"/>
    </row>
    <row r="4790" spans="5:10" x14ac:dyDescent="0.25">
      <c r="E4790"/>
      <c r="F4790"/>
      <c r="G4790" s="12"/>
      <c r="H4790" s="12"/>
      <c r="I4790" s="12"/>
      <c r="J4790" s="12"/>
    </row>
    <row r="4791" spans="5:10" x14ac:dyDescent="0.25">
      <c r="E4791"/>
      <c r="F4791"/>
      <c r="G4791" s="12"/>
      <c r="H4791" s="12"/>
      <c r="I4791" s="12"/>
      <c r="J4791" s="12"/>
    </row>
    <row r="4792" spans="5:10" x14ac:dyDescent="0.25">
      <c r="E4792"/>
      <c r="F4792"/>
      <c r="G4792" s="12"/>
      <c r="H4792" s="12"/>
      <c r="I4792" s="12"/>
      <c r="J4792" s="12"/>
    </row>
    <row r="4793" spans="5:10" x14ac:dyDescent="0.25">
      <c r="E4793"/>
      <c r="F4793"/>
      <c r="G4793" s="12"/>
      <c r="H4793" s="12"/>
      <c r="I4793" s="12"/>
      <c r="J4793" s="12"/>
    </row>
    <row r="4794" spans="5:10" x14ac:dyDescent="0.25">
      <c r="E4794"/>
      <c r="F4794"/>
      <c r="G4794" s="12"/>
      <c r="H4794" s="12"/>
      <c r="I4794" s="12"/>
      <c r="J4794" s="12"/>
    </row>
    <row r="4795" spans="5:10" x14ac:dyDescent="0.25">
      <c r="E4795"/>
      <c r="F4795"/>
      <c r="G4795" s="12"/>
      <c r="H4795" s="12"/>
      <c r="I4795" s="12"/>
      <c r="J4795" s="12"/>
    </row>
    <row r="4796" spans="5:10" x14ac:dyDescent="0.25">
      <c r="E4796"/>
      <c r="F4796"/>
      <c r="G4796" s="12"/>
      <c r="H4796" s="12"/>
      <c r="I4796" s="12"/>
      <c r="J4796" s="12"/>
    </row>
    <row r="4797" spans="5:10" x14ac:dyDescent="0.25">
      <c r="E4797"/>
      <c r="F4797"/>
      <c r="G4797" s="12"/>
      <c r="H4797" s="12"/>
      <c r="I4797" s="12"/>
      <c r="J4797" s="12"/>
    </row>
    <row r="4798" spans="5:10" x14ac:dyDescent="0.25">
      <c r="E4798"/>
      <c r="F4798"/>
      <c r="G4798" s="12"/>
      <c r="H4798" s="12"/>
      <c r="I4798" s="12"/>
      <c r="J4798" s="12"/>
    </row>
    <row r="4799" spans="5:10" x14ac:dyDescent="0.25">
      <c r="E4799"/>
      <c r="F4799"/>
      <c r="G4799" s="12"/>
      <c r="H4799" s="12"/>
      <c r="I4799" s="12"/>
      <c r="J4799" s="12"/>
    </row>
    <row r="4800" spans="5:10" x14ac:dyDescent="0.25">
      <c r="E4800"/>
      <c r="F4800"/>
      <c r="G4800" s="12"/>
      <c r="H4800" s="12"/>
      <c r="I4800" s="12"/>
      <c r="J4800" s="12"/>
    </row>
    <row r="4801" spans="5:10" x14ac:dyDescent="0.25">
      <c r="E4801"/>
      <c r="F4801"/>
      <c r="G4801" s="12"/>
      <c r="H4801" s="12"/>
      <c r="I4801" s="12"/>
      <c r="J4801" s="12"/>
    </row>
    <row r="4802" spans="5:10" x14ac:dyDescent="0.25">
      <c r="E4802"/>
      <c r="F4802"/>
      <c r="G4802" s="12"/>
      <c r="H4802" s="12"/>
      <c r="I4802" s="12"/>
      <c r="J4802" s="12"/>
    </row>
    <row r="4803" spans="5:10" x14ac:dyDescent="0.25">
      <c r="E4803"/>
      <c r="F4803"/>
      <c r="G4803" s="12"/>
      <c r="H4803" s="12"/>
      <c r="I4803" s="12"/>
      <c r="J4803" s="12"/>
    </row>
    <row r="4804" spans="5:10" x14ac:dyDescent="0.25">
      <c r="E4804"/>
      <c r="F4804"/>
      <c r="G4804" s="12"/>
      <c r="H4804" s="12"/>
      <c r="I4804" s="12"/>
      <c r="J4804" s="12"/>
    </row>
    <row r="4805" spans="5:10" x14ac:dyDescent="0.25">
      <c r="E4805"/>
      <c r="F4805"/>
      <c r="G4805" s="12"/>
      <c r="H4805" s="12"/>
      <c r="I4805" s="12"/>
      <c r="J4805" s="12"/>
    </row>
    <row r="4806" spans="5:10" x14ac:dyDescent="0.25">
      <c r="E4806"/>
      <c r="F4806"/>
      <c r="G4806" s="12"/>
      <c r="H4806" s="12"/>
      <c r="I4806" s="12"/>
      <c r="J4806" s="12"/>
    </row>
    <row r="4807" spans="5:10" x14ac:dyDescent="0.25">
      <c r="E4807"/>
      <c r="F4807"/>
      <c r="G4807" s="12"/>
      <c r="H4807" s="12"/>
      <c r="I4807" s="12"/>
      <c r="J4807" s="12"/>
    </row>
    <row r="4808" spans="5:10" x14ac:dyDescent="0.25">
      <c r="E4808"/>
      <c r="F4808"/>
      <c r="G4808" s="12"/>
      <c r="H4808" s="12"/>
      <c r="I4808" s="12"/>
      <c r="J4808" s="12"/>
    </row>
    <row r="4809" spans="5:10" x14ac:dyDescent="0.25">
      <c r="E4809"/>
      <c r="F4809"/>
      <c r="G4809" s="12"/>
      <c r="H4809" s="12"/>
      <c r="I4809" s="12"/>
      <c r="J4809" s="12"/>
    </row>
    <row r="4810" spans="5:10" x14ac:dyDescent="0.25">
      <c r="E4810"/>
      <c r="F4810"/>
      <c r="G4810" s="12"/>
      <c r="H4810" s="12"/>
      <c r="I4810" s="12"/>
      <c r="J4810" s="12"/>
    </row>
    <row r="4811" spans="5:10" x14ac:dyDescent="0.25">
      <c r="E4811"/>
      <c r="F4811"/>
      <c r="G4811" s="12"/>
      <c r="H4811" s="12"/>
      <c r="I4811" s="12"/>
      <c r="J4811" s="12"/>
    </row>
    <row r="4812" spans="5:10" x14ac:dyDescent="0.25">
      <c r="E4812"/>
      <c r="F4812"/>
      <c r="G4812" s="12"/>
      <c r="H4812" s="12"/>
      <c r="I4812" s="12"/>
      <c r="J4812" s="12"/>
    </row>
    <row r="4813" spans="5:10" x14ac:dyDescent="0.25">
      <c r="E4813"/>
      <c r="F4813"/>
      <c r="G4813" s="12"/>
      <c r="H4813" s="12"/>
      <c r="I4813" s="12"/>
      <c r="J4813" s="12"/>
    </row>
    <row r="4814" spans="5:10" x14ac:dyDescent="0.25">
      <c r="E4814"/>
      <c r="F4814"/>
      <c r="G4814" s="12"/>
      <c r="H4814" s="12"/>
      <c r="I4814" s="12"/>
      <c r="J4814" s="12"/>
    </row>
    <row r="4815" spans="5:10" x14ac:dyDescent="0.25">
      <c r="E4815"/>
      <c r="F4815"/>
      <c r="G4815" s="12"/>
      <c r="H4815" s="12"/>
      <c r="I4815" s="12"/>
      <c r="J4815" s="12"/>
    </row>
    <row r="4816" spans="5:10" x14ac:dyDescent="0.25">
      <c r="E4816"/>
      <c r="F4816"/>
      <c r="G4816" s="12"/>
      <c r="H4816" s="12"/>
      <c r="I4816" s="12"/>
      <c r="J4816" s="12"/>
    </row>
    <row r="4817" spans="5:10" x14ac:dyDescent="0.25">
      <c r="E4817"/>
      <c r="F4817"/>
      <c r="G4817" s="12"/>
      <c r="H4817" s="12"/>
      <c r="I4817" s="12"/>
      <c r="J4817" s="12"/>
    </row>
    <row r="4818" spans="5:10" x14ac:dyDescent="0.25">
      <c r="E4818"/>
      <c r="F4818"/>
      <c r="G4818" s="12"/>
      <c r="H4818" s="12"/>
      <c r="I4818" s="12"/>
      <c r="J4818" s="12"/>
    </row>
    <row r="4819" spans="5:10" x14ac:dyDescent="0.25">
      <c r="E4819"/>
      <c r="F4819"/>
      <c r="G4819" s="12"/>
      <c r="H4819" s="12"/>
      <c r="I4819" s="12"/>
      <c r="J4819" s="12"/>
    </row>
    <row r="4820" spans="5:10" x14ac:dyDescent="0.25">
      <c r="E4820"/>
      <c r="F4820"/>
      <c r="G4820" s="12"/>
      <c r="H4820" s="12"/>
      <c r="I4820" s="12"/>
      <c r="J4820" s="12"/>
    </row>
    <row r="4821" spans="5:10" x14ac:dyDescent="0.25">
      <c r="E4821"/>
      <c r="F4821"/>
      <c r="G4821" s="12"/>
      <c r="H4821" s="12"/>
      <c r="I4821" s="12"/>
      <c r="J4821" s="12"/>
    </row>
    <row r="4822" spans="5:10" x14ac:dyDescent="0.25">
      <c r="E4822"/>
      <c r="F4822"/>
      <c r="G4822" s="12"/>
      <c r="H4822" s="12"/>
      <c r="I4822" s="12"/>
      <c r="J4822" s="12"/>
    </row>
    <row r="4823" spans="5:10" x14ac:dyDescent="0.25">
      <c r="E4823"/>
      <c r="F4823"/>
      <c r="G4823" s="12"/>
      <c r="H4823" s="12"/>
      <c r="I4823" s="12"/>
      <c r="J4823" s="12"/>
    </row>
    <row r="4824" spans="5:10" x14ac:dyDescent="0.25">
      <c r="E4824"/>
      <c r="F4824"/>
      <c r="G4824" s="12"/>
      <c r="H4824" s="12"/>
      <c r="I4824" s="12"/>
      <c r="J4824" s="12"/>
    </row>
    <row r="4825" spans="5:10" x14ac:dyDescent="0.25">
      <c r="E4825"/>
      <c r="F4825"/>
      <c r="G4825" s="12"/>
      <c r="H4825" s="12"/>
      <c r="I4825" s="12"/>
      <c r="J4825" s="12"/>
    </row>
    <row r="4826" spans="5:10" x14ac:dyDescent="0.25">
      <c r="E4826"/>
      <c r="F4826"/>
      <c r="G4826" s="12"/>
      <c r="H4826" s="12"/>
      <c r="I4826" s="12"/>
      <c r="J4826" s="12"/>
    </row>
    <row r="4827" spans="5:10" x14ac:dyDescent="0.25">
      <c r="E4827"/>
      <c r="F4827"/>
      <c r="G4827" s="12"/>
      <c r="H4827" s="12"/>
      <c r="I4827" s="12"/>
      <c r="J4827" s="12"/>
    </row>
    <row r="4828" spans="5:10" x14ac:dyDescent="0.25">
      <c r="E4828"/>
      <c r="F4828"/>
      <c r="G4828" s="12"/>
      <c r="H4828" s="12"/>
      <c r="I4828" s="12"/>
      <c r="J4828" s="12"/>
    </row>
    <row r="4829" spans="5:10" x14ac:dyDescent="0.25">
      <c r="E4829"/>
      <c r="F4829"/>
      <c r="G4829" s="12"/>
      <c r="H4829" s="12"/>
      <c r="I4829" s="12"/>
      <c r="J4829" s="12"/>
    </row>
    <row r="4830" spans="5:10" x14ac:dyDescent="0.25">
      <c r="E4830"/>
      <c r="F4830"/>
      <c r="G4830" s="12"/>
      <c r="H4830" s="12"/>
      <c r="I4830" s="12"/>
      <c r="J4830" s="12"/>
    </row>
    <row r="4831" spans="5:10" x14ac:dyDescent="0.25">
      <c r="E4831"/>
      <c r="F4831"/>
      <c r="G4831" s="12"/>
      <c r="H4831" s="12"/>
      <c r="I4831" s="12"/>
      <c r="J4831" s="12"/>
    </row>
    <row r="4832" spans="5:10" x14ac:dyDescent="0.25">
      <c r="E4832"/>
      <c r="F4832"/>
      <c r="G4832" s="12"/>
      <c r="H4832" s="12"/>
      <c r="I4832" s="12"/>
      <c r="J4832" s="12"/>
    </row>
    <row r="4833" spans="5:10" x14ac:dyDescent="0.25">
      <c r="E4833"/>
      <c r="F4833"/>
      <c r="G4833" s="12"/>
      <c r="H4833" s="12"/>
      <c r="I4833" s="12"/>
      <c r="J4833" s="12"/>
    </row>
    <row r="4834" spans="5:10" x14ac:dyDescent="0.25">
      <c r="E4834"/>
      <c r="F4834"/>
      <c r="G4834" s="12"/>
      <c r="H4834" s="12"/>
      <c r="I4834" s="12"/>
      <c r="J4834" s="12"/>
    </row>
    <row r="4835" spans="5:10" x14ac:dyDescent="0.25">
      <c r="E4835"/>
      <c r="F4835"/>
      <c r="G4835" s="12"/>
      <c r="H4835" s="12"/>
      <c r="I4835" s="12"/>
      <c r="J4835" s="12"/>
    </row>
    <row r="4836" spans="5:10" x14ac:dyDescent="0.25">
      <c r="E4836"/>
      <c r="F4836"/>
      <c r="G4836" s="12"/>
      <c r="H4836" s="12"/>
      <c r="I4836" s="12"/>
      <c r="J4836" s="12"/>
    </row>
    <row r="4837" spans="5:10" x14ac:dyDescent="0.25">
      <c r="E4837"/>
      <c r="F4837"/>
      <c r="G4837" s="12"/>
      <c r="H4837" s="12"/>
      <c r="I4837" s="12"/>
      <c r="J4837" s="12"/>
    </row>
    <row r="4838" spans="5:10" x14ac:dyDescent="0.25">
      <c r="E4838"/>
      <c r="F4838"/>
      <c r="G4838" s="12"/>
      <c r="H4838" s="12"/>
      <c r="I4838" s="12"/>
      <c r="J4838" s="12"/>
    </row>
    <row r="4839" spans="5:10" x14ac:dyDescent="0.25">
      <c r="E4839"/>
      <c r="F4839"/>
      <c r="G4839" s="12"/>
      <c r="H4839" s="12"/>
      <c r="I4839" s="12"/>
      <c r="J4839" s="12"/>
    </row>
    <row r="4840" spans="5:10" x14ac:dyDescent="0.25">
      <c r="E4840"/>
      <c r="F4840"/>
      <c r="G4840" s="12"/>
      <c r="H4840" s="12"/>
      <c r="I4840" s="12"/>
      <c r="J4840" s="12"/>
    </row>
    <row r="4841" spans="5:10" x14ac:dyDescent="0.25">
      <c r="E4841"/>
      <c r="F4841"/>
      <c r="G4841" s="12"/>
      <c r="H4841" s="12"/>
      <c r="I4841" s="12"/>
      <c r="J4841" s="12"/>
    </row>
    <row r="4842" spans="5:10" x14ac:dyDescent="0.25">
      <c r="E4842"/>
      <c r="F4842"/>
      <c r="G4842" s="12"/>
      <c r="H4842" s="12"/>
      <c r="I4842" s="12"/>
      <c r="J4842" s="12"/>
    </row>
    <row r="4843" spans="5:10" x14ac:dyDescent="0.25">
      <c r="E4843"/>
      <c r="F4843"/>
      <c r="G4843" s="12"/>
      <c r="H4843" s="12"/>
      <c r="I4843" s="12"/>
      <c r="J4843" s="12"/>
    </row>
    <row r="4844" spans="5:10" x14ac:dyDescent="0.25">
      <c r="E4844"/>
      <c r="F4844"/>
      <c r="G4844" s="12"/>
      <c r="H4844" s="12"/>
      <c r="I4844" s="12"/>
      <c r="J4844" s="12"/>
    </row>
    <row r="4845" spans="5:10" x14ac:dyDescent="0.25">
      <c r="E4845"/>
      <c r="F4845"/>
      <c r="G4845" s="12"/>
      <c r="H4845" s="12"/>
      <c r="I4845" s="12"/>
      <c r="J4845" s="12"/>
    </row>
    <row r="4846" spans="5:10" x14ac:dyDescent="0.25">
      <c r="E4846"/>
      <c r="F4846"/>
      <c r="G4846" s="12"/>
      <c r="H4846" s="12"/>
      <c r="I4846" s="12"/>
      <c r="J4846" s="12"/>
    </row>
    <row r="4847" spans="5:10" x14ac:dyDescent="0.25">
      <c r="E4847"/>
      <c r="F4847"/>
      <c r="G4847" s="12"/>
      <c r="H4847" s="12"/>
      <c r="I4847" s="12"/>
      <c r="J4847" s="12"/>
    </row>
    <row r="4848" spans="5:10" x14ac:dyDescent="0.25">
      <c r="E4848"/>
      <c r="F4848"/>
      <c r="G4848" s="12"/>
      <c r="H4848" s="12"/>
      <c r="I4848" s="12"/>
      <c r="J4848" s="12"/>
    </row>
    <row r="4849" spans="5:10" x14ac:dyDescent="0.25">
      <c r="E4849"/>
      <c r="F4849"/>
      <c r="G4849" s="12"/>
      <c r="H4849" s="12"/>
      <c r="I4849" s="12"/>
      <c r="J4849" s="12"/>
    </row>
    <row r="4850" spans="5:10" x14ac:dyDescent="0.25">
      <c r="E4850"/>
      <c r="F4850"/>
      <c r="G4850" s="12"/>
      <c r="H4850" s="12"/>
      <c r="I4850" s="12"/>
      <c r="J4850" s="12"/>
    </row>
    <row r="4851" spans="5:10" x14ac:dyDescent="0.25">
      <c r="E4851"/>
      <c r="F4851"/>
      <c r="G4851" s="12"/>
      <c r="H4851" s="12"/>
      <c r="I4851" s="12"/>
      <c r="J4851" s="12"/>
    </row>
    <row r="4852" spans="5:10" x14ac:dyDescent="0.25">
      <c r="E4852"/>
      <c r="F4852"/>
      <c r="G4852" s="12"/>
      <c r="H4852" s="12"/>
      <c r="I4852" s="12"/>
      <c r="J4852" s="12"/>
    </row>
    <row r="4853" spans="5:10" x14ac:dyDescent="0.25">
      <c r="E4853"/>
      <c r="F4853"/>
      <c r="G4853" s="12"/>
      <c r="H4853" s="12"/>
      <c r="I4853" s="12"/>
      <c r="J4853" s="12"/>
    </row>
    <row r="4854" spans="5:10" x14ac:dyDescent="0.25">
      <c r="E4854"/>
      <c r="F4854"/>
      <c r="G4854" s="12"/>
      <c r="H4854" s="12"/>
      <c r="I4854" s="12"/>
      <c r="J4854" s="12"/>
    </row>
    <row r="4855" spans="5:10" x14ac:dyDescent="0.25">
      <c r="E4855"/>
      <c r="F4855"/>
      <c r="G4855" s="12"/>
      <c r="H4855" s="12"/>
      <c r="I4855" s="12"/>
      <c r="J4855" s="12"/>
    </row>
    <row r="4856" spans="5:10" x14ac:dyDescent="0.25">
      <c r="E4856"/>
      <c r="F4856"/>
      <c r="G4856" s="12"/>
      <c r="H4856" s="12"/>
      <c r="I4856" s="12"/>
      <c r="J4856" s="12"/>
    </row>
    <row r="4857" spans="5:10" x14ac:dyDescent="0.25">
      <c r="E4857"/>
      <c r="F4857"/>
      <c r="G4857" s="12"/>
      <c r="H4857" s="12"/>
      <c r="I4857" s="12"/>
      <c r="J4857" s="12"/>
    </row>
    <row r="4858" spans="5:10" x14ac:dyDescent="0.25">
      <c r="E4858"/>
      <c r="F4858"/>
      <c r="G4858" s="12"/>
      <c r="H4858" s="12"/>
      <c r="I4858" s="12"/>
      <c r="J4858" s="12"/>
    </row>
    <row r="4859" spans="5:10" x14ac:dyDescent="0.25">
      <c r="E4859"/>
      <c r="F4859"/>
      <c r="G4859" s="12"/>
      <c r="H4859" s="12"/>
      <c r="I4859" s="12"/>
      <c r="J4859" s="12"/>
    </row>
    <row r="4860" spans="5:10" x14ac:dyDescent="0.25">
      <c r="E4860"/>
      <c r="F4860"/>
      <c r="G4860" s="12"/>
      <c r="H4860" s="12"/>
      <c r="I4860" s="12"/>
      <c r="J4860" s="12"/>
    </row>
    <row r="4861" spans="5:10" x14ac:dyDescent="0.25">
      <c r="E4861"/>
      <c r="F4861"/>
      <c r="G4861" s="12"/>
      <c r="H4861" s="12"/>
      <c r="I4861" s="12"/>
      <c r="J4861" s="12"/>
    </row>
    <row r="4862" spans="5:10" x14ac:dyDescent="0.25">
      <c r="E4862"/>
      <c r="F4862"/>
      <c r="G4862" s="12"/>
      <c r="H4862" s="12"/>
      <c r="I4862" s="12"/>
      <c r="J4862" s="12"/>
    </row>
    <row r="4863" spans="5:10" x14ac:dyDescent="0.25">
      <c r="E4863"/>
      <c r="F4863"/>
      <c r="G4863" s="12"/>
      <c r="H4863" s="12"/>
      <c r="I4863" s="12"/>
      <c r="J4863" s="12"/>
    </row>
    <row r="4864" spans="5:10" x14ac:dyDescent="0.25">
      <c r="E4864"/>
      <c r="F4864"/>
      <c r="G4864" s="12"/>
      <c r="H4864" s="12"/>
      <c r="I4864" s="12"/>
      <c r="J4864" s="12"/>
    </row>
    <row r="4865" spans="5:10" x14ac:dyDescent="0.25">
      <c r="E4865"/>
      <c r="F4865"/>
      <c r="G4865" s="12"/>
      <c r="H4865" s="12"/>
      <c r="I4865" s="12"/>
      <c r="J4865" s="12"/>
    </row>
    <row r="4866" spans="5:10" x14ac:dyDescent="0.25">
      <c r="E4866"/>
      <c r="F4866"/>
      <c r="G4866" s="12"/>
      <c r="H4866" s="12"/>
      <c r="I4866" s="12"/>
      <c r="J4866" s="12"/>
    </row>
    <row r="4867" spans="5:10" x14ac:dyDescent="0.25">
      <c r="E4867"/>
      <c r="F4867"/>
      <c r="G4867" s="12"/>
      <c r="H4867" s="12"/>
      <c r="I4867" s="12"/>
      <c r="J4867" s="12"/>
    </row>
    <row r="4868" spans="5:10" x14ac:dyDescent="0.25">
      <c r="E4868"/>
      <c r="F4868"/>
      <c r="G4868" s="12"/>
      <c r="H4868" s="12"/>
      <c r="I4868" s="12"/>
      <c r="J4868" s="12"/>
    </row>
    <row r="4869" spans="5:10" x14ac:dyDescent="0.25">
      <c r="E4869"/>
      <c r="F4869"/>
      <c r="G4869" s="12"/>
      <c r="H4869" s="12"/>
      <c r="I4869" s="12"/>
      <c r="J4869" s="12"/>
    </row>
    <row r="4870" spans="5:10" x14ac:dyDescent="0.25">
      <c r="E4870"/>
      <c r="F4870"/>
      <c r="G4870" s="12"/>
      <c r="H4870" s="12"/>
      <c r="I4870" s="12"/>
      <c r="J4870" s="12"/>
    </row>
    <row r="4871" spans="5:10" x14ac:dyDescent="0.25">
      <c r="E4871"/>
      <c r="F4871"/>
      <c r="G4871" s="12"/>
      <c r="H4871" s="12"/>
      <c r="I4871" s="12"/>
      <c r="J4871" s="12"/>
    </row>
    <row r="4872" spans="5:10" x14ac:dyDescent="0.25">
      <c r="E4872"/>
      <c r="F4872"/>
      <c r="G4872" s="12"/>
      <c r="H4872" s="12"/>
      <c r="I4872" s="12"/>
      <c r="J4872" s="12"/>
    </row>
    <row r="4873" spans="5:10" x14ac:dyDescent="0.25">
      <c r="E4873"/>
      <c r="F4873"/>
      <c r="G4873" s="12"/>
      <c r="H4873" s="12"/>
      <c r="I4873" s="12"/>
      <c r="J4873" s="12"/>
    </row>
    <row r="4874" spans="5:10" x14ac:dyDescent="0.25">
      <c r="E4874"/>
      <c r="F4874"/>
      <c r="G4874" s="12"/>
      <c r="H4874" s="12"/>
      <c r="I4874" s="12"/>
      <c r="J4874" s="12"/>
    </row>
    <row r="4875" spans="5:10" x14ac:dyDescent="0.25">
      <c r="E4875"/>
      <c r="F4875"/>
      <c r="G4875" s="12"/>
      <c r="H4875" s="12"/>
      <c r="I4875" s="12"/>
      <c r="J4875" s="12"/>
    </row>
    <row r="4876" spans="5:10" x14ac:dyDescent="0.25">
      <c r="E4876"/>
      <c r="F4876"/>
      <c r="G4876" s="12"/>
      <c r="H4876" s="12"/>
      <c r="I4876" s="12"/>
      <c r="J4876" s="12"/>
    </row>
    <row r="4877" spans="5:10" x14ac:dyDescent="0.25">
      <c r="E4877"/>
      <c r="F4877"/>
      <c r="G4877" s="12"/>
      <c r="H4877" s="12"/>
      <c r="I4877" s="12"/>
      <c r="J4877" s="12"/>
    </row>
    <row r="4878" spans="5:10" x14ac:dyDescent="0.25">
      <c r="E4878"/>
      <c r="F4878"/>
      <c r="G4878" s="12"/>
      <c r="H4878" s="12"/>
      <c r="I4878" s="12"/>
      <c r="J4878" s="12"/>
    </row>
    <row r="4879" spans="5:10" x14ac:dyDescent="0.25">
      <c r="E4879"/>
      <c r="F4879"/>
      <c r="G4879" s="12"/>
      <c r="H4879" s="12"/>
      <c r="I4879" s="12"/>
      <c r="J4879" s="12"/>
    </row>
    <row r="4880" spans="5:10" x14ac:dyDescent="0.25">
      <c r="E4880"/>
      <c r="F4880"/>
      <c r="G4880" s="12"/>
      <c r="H4880" s="12"/>
      <c r="I4880" s="12"/>
      <c r="J4880" s="12"/>
    </row>
    <row r="4881" spans="5:10" x14ac:dyDescent="0.25">
      <c r="E4881"/>
      <c r="F4881"/>
      <c r="G4881" s="12"/>
      <c r="H4881" s="12"/>
      <c r="I4881" s="12"/>
      <c r="J4881" s="12"/>
    </row>
    <row r="4882" spans="5:10" x14ac:dyDescent="0.25">
      <c r="E4882"/>
      <c r="F4882"/>
      <c r="G4882" s="12"/>
      <c r="H4882" s="12"/>
      <c r="I4882" s="12"/>
      <c r="J4882" s="12"/>
    </row>
    <row r="4883" spans="5:10" x14ac:dyDescent="0.25">
      <c r="E4883"/>
      <c r="F4883"/>
      <c r="G4883" s="12"/>
      <c r="H4883" s="12"/>
      <c r="I4883" s="12"/>
      <c r="J4883" s="12"/>
    </row>
    <row r="4884" spans="5:10" x14ac:dyDescent="0.25">
      <c r="E4884"/>
      <c r="F4884"/>
      <c r="G4884" s="12"/>
      <c r="H4884" s="12"/>
      <c r="I4884" s="12"/>
      <c r="J4884" s="12"/>
    </row>
    <row r="4885" spans="5:10" x14ac:dyDescent="0.25">
      <c r="E4885"/>
      <c r="F4885"/>
      <c r="G4885" s="12"/>
      <c r="H4885" s="12"/>
      <c r="I4885" s="12"/>
      <c r="J4885" s="12"/>
    </row>
    <row r="4886" spans="5:10" x14ac:dyDescent="0.25">
      <c r="E4886"/>
      <c r="F4886"/>
      <c r="G4886" s="12"/>
      <c r="H4886" s="12"/>
      <c r="I4886" s="12"/>
      <c r="J4886" s="12"/>
    </row>
    <row r="4887" spans="5:10" x14ac:dyDescent="0.25">
      <c r="E4887"/>
      <c r="F4887"/>
      <c r="G4887" s="12"/>
      <c r="H4887" s="12"/>
      <c r="I4887" s="12"/>
      <c r="J4887" s="12"/>
    </row>
    <row r="4888" spans="5:10" x14ac:dyDescent="0.25">
      <c r="E4888"/>
      <c r="F4888"/>
      <c r="G4888" s="12"/>
      <c r="H4888" s="12"/>
      <c r="I4888" s="12"/>
      <c r="J4888" s="12"/>
    </row>
    <row r="4889" spans="5:10" x14ac:dyDescent="0.25">
      <c r="E4889"/>
      <c r="F4889"/>
      <c r="G4889" s="12"/>
      <c r="H4889" s="12"/>
      <c r="I4889" s="12"/>
      <c r="J4889" s="12"/>
    </row>
    <row r="4890" spans="5:10" x14ac:dyDescent="0.25">
      <c r="E4890"/>
      <c r="F4890"/>
      <c r="G4890" s="12"/>
      <c r="H4890" s="12"/>
      <c r="I4890" s="12"/>
      <c r="J4890" s="12"/>
    </row>
    <row r="4891" spans="5:10" x14ac:dyDescent="0.25">
      <c r="E4891"/>
      <c r="F4891"/>
      <c r="G4891" s="12"/>
      <c r="H4891" s="12"/>
      <c r="I4891" s="12"/>
      <c r="J4891" s="12"/>
    </row>
    <row r="4892" spans="5:10" x14ac:dyDescent="0.25">
      <c r="E4892"/>
      <c r="F4892"/>
      <c r="G4892" s="12"/>
      <c r="H4892" s="12"/>
      <c r="I4892" s="12"/>
      <c r="J4892" s="12"/>
    </row>
    <row r="4893" spans="5:10" x14ac:dyDescent="0.25">
      <c r="E4893"/>
      <c r="F4893"/>
      <c r="G4893" s="12"/>
      <c r="H4893" s="12"/>
      <c r="I4893" s="12"/>
      <c r="J4893" s="12"/>
    </row>
    <row r="4894" spans="5:10" x14ac:dyDescent="0.25">
      <c r="E4894"/>
      <c r="F4894"/>
      <c r="G4894" s="12"/>
      <c r="H4894" s="12"/>
      <c r="I4894" s="12"/>
      <c r="J4894" s="12"/>
    </row>
    <row r="4895" spans="5:10" x14ac:dyDescent="0.25">
      <c r="E4895"/>
      <c r="F4895"/>
      <c r="G4895" s="12"/>
      <c r="H4895" s="12"/>
      <c r="I4895" s="12"/>
      <c r="J4895" s="12"/>
    </row>
    <row r="4896" spans="5:10" x14ac:dyDescent="0.25">
      <c r="E4896"/>
      <c r="F4896"/>
      <c r="G4896" s="12"/>
      <c r="H4896" s="12"/>
      <c r="I4896" s="12"/>
      <c r="J4896" s="12"/>
    </row>
    <row r="4897" spans="5:10" x14ac:dyDescent="0.25">
      <c r="E4897"/>
      <c r="F4897"/>
      <c r="G4897" s="12"/>
      <c r="H4897" s="12"/>
      <c r="I4897" s="12"/>
      <c r="J4897" s="12"/>
    </row>
    <row r="4898" spans="5:10" x14ac:dyDescent="0.25">
      <c r="E4898"/>
      <c r="F4898"/>
      <c r="G4898" s="12"/>
      <c r="H4898" s="12"/>
      <c r="I4898" s="12"/>
      <c r="J4898" s="12"/>
    </row>
    <row r="4899" spans="5:10" x14ac:dyDescent="0.25">
      <c r="E4899"/>
      <c r="F4899"/>
      <c r="G4899" s="12"/>
      <c r="H4899" s="12"/>
      <c r="I4899" s="12"/>
      <c r="J4899" s="12"/>
    </row>
    <row r="4900" spans="5:10" x14ac:dyDescent="0.25">
      <c r="E4900"/>
      <c r="F4900"/>
      <c r="G4900" s="12"/>
      <c r="H4900" s="12"/>
      <c r="I4900" s="12"/>
      <c r="J4900" s="12"/>
    </row>
    <row r="4901" spans="5:10" x14ac:dyDescent="0.25">
      <c r="E4901"/>
      <c r="F4901"/>
      <c r="G4901" s="12"/>
      <c r="H4901" s="12"/>
      <c r="I4901" s="12"/>
      <c r="J4901" s="12"/>
    </row>
    <row r="4902" spans="5:10" x14ac:dyDescent="0.25">
      <c r="E4902"/>
      <c r="F4902"/>
      <c r="G4902" s="12"/>
      <c r="H4902" s="12"/>
      <c r="I4902" s="12"/>
      <c r="J4902" s="12"/>
    </row>
    <row r="4903" spans="5:10" x14ac:dyDescent="0.25">
      <c r="E4903"/>
      <c r="F4903"/>
      <c r="G4903" s="12"/>
      <c r="H4903" s="12"/>
      <c r="I4903" s="12"/>
      <c r="J4903" s="12"/>
    </row>
    <row r="4904" spans="5:10" x14ac:dyDescent="0.25">
      <c r="E4904"/>
      <c r="F4904"/>
      <c r="G4904" s="12"/>
      <c r="H4904" s="12"/>
      <c r="I4904" s="12"/>
      <c r="J4904" s="12"/>
    </row>
    <row r="4905" spans="5:10" x14ac:dyDescent="0.25">
      <c r="E4905"/>
      <c r="F4905"/>
      <c r="G4905" s="12"/>
      <c r="H4905" s="12"/>
      <c r="I4905" s="12"/>
      <c r="J4905" s="12"/>
    </row>
    <row r="4906" spans="5:10" x14ac:dyDescent="0.25">
      <c r="E4906"/>
      <c r="F4906"/>
      <c r="G4906" s="12"/>
      <c r="H4906" s="12"/>
      <c r="I4906" s="12"/>
      <c r="J4906" s="12"/>
    </row>
    <row r="4907" spans="5:10" x14ac:dyDescent="0.25">
      <c r="E4907"/>
      <c r="F4907"/>
      <c r="G4907" s="12"/>
      <c r="H4907" s="12"/>
      <c r="I4907" s="12"/>
      <c r="J4907" s="12"/>
    </row>
    <row r="4908" spans="5:10" x14ac:dyDescent="0.25">
      <c r="E4908"/>
      <c r="F4908"/>
      <c r="G4908" s="12"/>
      <c r="H4908" s="12"/>
      <c r="I4908" s="12"/>
      <c r="J4908" s="12"/>
    </row>
    <row r="4909" spans="5:10" x14ac:dyDescent="0.25">
      <c r="E4909"/>
      <c r="F4909"/>
      <c r="G4909" s="12"/>
      <c r="H4909" s="12"/>
      <c r="I4909" s="12"/>
      <c r="J4909" s="12"/>
    </row>
    <row r="4910" spans="5:10" x14ac:dyDescent="0.25">
      <c r="E4910"/>
      <c r="F4910"/>
      <c r="G4910" s="12"/>
      <c r="H4910" s="12"/>
      <c r="I4910" s="12"/>
      <c r="J4910" s="12"/>
    </row>
    <row r="4911" spans="5:10" x14ac:dyDescent="0.25">
      <c r="E4911"/>
      <c r="F4911"/>
      <c r="G4911" s="12"/>
      <c r="H4911" s="12"/>
      <c r="I4911" s="12"/>
      <c r="J4911" s="12"/>
    </row>
    <row r="4912" spans="5:10" x14ac:dyDescent="0.25">
      <c r="E4912"/>
      <c r="F4912"/>
      <c r="G4912" s="12"/>
      <c r="H4912" s="12"/>
      <c r="I4912" s="12"/>
      <c r="J4912" s="12"/>
    </row>
    <row r="4913" spans="5:10" x14ac:dyDescent="0.25">
      <c r="E4913"/>
      <c r="F4913"/>
      <c r="G4913" s="12"/>
      <c r="H4913" s="12"/>
      <c r="I4913" s="12"/>
      <c r="J4913" s="12"/>
    </row>
    <row r="4914" spans="5:10" x14ac:dyDescent="0.25">
      <c r="E4914"/>
      <c r="F4914"/>
      <c r="G4914" s="12"/>
      <c r="H4914" s="12"/>
      <c r="I4914" s="12"/>
      <c r="J4914" s="12"/>
    </row>
    <row r="4915" spans="5:10" x14ac:dyDescent="0.25">
      <c r="E4915"/>
      <c r="F4915"/>
      <c r="G4915" s="12"/>
      <c r="H4915" s="12"/>
      <c r="I4915" s="12"/>
      <c r="J4915" s="12"/>
    </row>
    <row r="4916" spans="5:10" x14ac:dyDescent="0.25">
      <c r="E4916"/>
      <c r="F4916"/>
      <c r="G4916" s="12"/>
      <c r="H4916" s="12"/>
      <c r="I4916" s="12"/>
      <c r="J4916" s="12"/>
    </row>
    <row r="4917" spans="5:10" x14ac:dyDescent="0.25">
      <c r="E4917"/>
      <c r="F4917"/>
      <c r="G4917" s="12"/>
      <c r="H4917" s="12"/>
      <c r="I4917" s="12"/>
      <c r="J4917" s="12"/>
    </row>
    <row r="4918" spans="5:10" x14ac:dyDescent="0.25">
      <c r="E4918"/>
      <c r="F4918"/>
      <c r="G4918" s="12"/>
      <c r="H4918" s="12"/>
      <c r="I4918" s="12"/>
      <c r="J4918" s="12"/>
    </row>
    <row r="4919" spans="5:10" x14ac:dyDescent="0.25">
      <c r="E4919"/>
      <c r="F4919"/>
      <c r="G4919" s="12"/>
      <c r="H4919" s="12"/>
      <c r="I4919" s="12"/>
      <c r="J4919" s="12"/>
    </row>
    <row r="4920" spans="5:10" x14ac:dyDescent="0.25">
      <c r="E4920"/>
      <c r="F4920"/>
      <c r="G4920" s="12"/>
      <c r="H4920" s="12"/>
      <c r="I4920" s="12"/>
      <c r="J4920" s="12"/>
    </row>
    <row r="4921" spans="5:10" x14ac:dyDescent="0.25">
      <c r="E4921"/>
      <c r="F4921"/>
      <c r="G4921" s="12"/>
      <c r="H4921" s="12"/>
      <c r="I4921" s="12"/>
      <c r="J4921" s="12"/>
    </row>
    <row r="4922" spans="5:10" x14ac:dyDescent="0.25">
      <c r="E4922"/>
      <c r="F4922"/>
      <c r="G4922" s="12"/>
      <c r="H4922" s="12"/>
      <c r="I4922" s="12"/>
      <c r="J4922" s="12"/>
    </row>
    <row r="4923" spans="5:10" x14ac:dyDescent="0.25">
      <c r="E4923"/>
      <c r="F4923"/>
      <c r="G4923" s="12"/>
      <c r="H4923" s="12"/>
      <c r="I4923" s="12"/>
      <c r="J4923" s="12"/>
    </row>
    <row r="4924" spans="5:10" x14ac:dyDescent="0.25">
      <c r="E4924"/>
      <c r="F4924"/>
      <c r="G4924" s="12"/>
      <c r="H4924" s="12"/>
      <c r="I4924" s="12"/>
      <c r="J4924" s="12"/>
    </row>
    <row r="4925" spans="5:10" x14ac:dyDescent="0.25">
      <c r="E4925"/>
      <c r="F4925"/>
      <c r="G4925" s="12"/>
      <c r="H4925" s="12"/>
      <c r="I4925" s="12"/>
      <c r="J4925" s="12"/>
    </row>
    <row r="4926" spans="5:10" x14ac:dyDescent="0.25">
      <c r="E4926"/>
      <c r="F4926"/>
      <c r="G4926" s="12"/>
      <c r="H4926" s="12"/>
      <c r="I4926" s="12"/>
      <c r="J4926" s="12"/>
    </row>
    <row r="4927" spans="5:10" x14ac:dyDescent="0.25">
      <c r="E4927"/>
      <c r="F4927"/>
      <c r="G4927" s="12"/>
      <c r="H4927" s="12"/>
      <c r="I4927" s="12"/>
      <c r="J4927" s="12"/>
    </row>
    <row r="4928" spans="5:10" x14ac:dyDescent="0.25">
      <c r="E4928"/>
      <c r="F4928"/>
      <c r="G4928" s="12"/>
      <c r="H4928" s="12"/>
      <c r="I4928" s="12"/>
      <c r="J4928" s="12"/>
    </row>
    <row r="4929" spans="5:10" x14ac:dyDescent="0.25">
      <c r="E4929"/>
      <c r="F4929"/>
      <c r="G4929" s="12"/>
      <c r="H4929" s="12"/>
      <c r="I4929" s="12"/>
      <c r="J4929" s="12"/>
    </row>
    <row r="4930" spans="5:10" x14ac:dyDescent="0.25">
      <c r="E4930"/>
      <c r="F4930"/>
      <c r="G4930" s="12"/>
      <c r="H4930" s="12"/>
      <c r="I4930" s="12"/>
      <c r="J4930" s="12"/>
    </row>
    <row r="4931" spans="5:10" x14ac:dyDescent="0.25">
      <c r="E4931"/>
      <c r="F4931"/>
      <c r="G4931" s="12"/>
      <c r="H4931" s="12"/>
      <c r="I4931" s="12"/>
      <c r="J4931" s="12"/>
    </row>
    <row r="4932" spans="5:10" x14ac:dyDescent="0.25">
      <c r="E4932"/>
      <c r="F4932"/>
      <c r="G4932" s="12"/>
      <c r="H4932" s="12"/>
      <c r="I4932" s="12"/>
      <c r="J4932" s="12"/>
    </row>
    <row r="4933" spans="5:10" x14ac:dyDescent="0.25">
      <c r="E4933"/>
      <c r="F4933"/>
      <c r="G4933" s="12"/>
      <c r="H4933" s="12"/>
      <c r="I4933" s="12"/>
      <c r="J4933" s="12"/>
    </row>
    <row r="4934" spans="5:10" x14ac:dyDescent="0.25">
      <c r="E4934"/>
      <c r="F4934"/>
      <c r="G4934" s="12"/>
      <c r="H4934" s="12"/>
      <c r="I4934" s="12"/>
      <c r="J4934" s="12"/>
    </row>
    <row r="4935" spans="5:10" x14ac:dyDescent="0.25">
      <c r="E4935"/>
      <c r="F4935"/>
      <c r="G4935" s="12"/>
      <c r="H4935" s="12"/>
      <c r="I4935" s="12"/>
      <c r="J4935" s="12"/>
    </row>
    <row r="4936" spans="5:10" x14ac:dyDescent="0.25">
      <c r="E4936"/>
      <c r="F4936"/>
      <c r="G4936" s="12"/>
      <c r="H4936" s="12"/>
      <c r="I4936" s="12"/>
      <c r="J4936" s="12"/>
    </row>
    <row r="4937" spans="5:10" x14ac:dyDescent="0.25">
      <c r="E4937"/>
      <c r="F4937"/>
      <c r="G4937" s="12"/>
      <c r="H4937" s="12"/>
      <c r="I4937" s="12"/>
      <c r="J4937" s="12"/>
    </row>
    <row r="4938" spans="5:10" x14ac:dyDescent="0.25">
      <c r="E4938"/>
      <c r="F4938"/>
      <c r="G4938" s="12"/>
      <c r="H4938" s="12"/>
      <c r="I4938" s="12"/>
      <c r="J4938" s="12"/>
    </row>
    <row r="4939" spans="5:10" x14ac:dyDescent="0.25">
      <c r="E4939"/>
      <c r="F4939"/>
      <c r="G4939" s="12"/>
      <c r="H4939" s="12"/>
      <c r="I4939" s="12"/>
      <c r="J4939" s="12"/>
    </row>
    <row r="4940" spans="5:10" x14ac:dyDescent="0.25">
      <c r="E4940"/>
      <c r="F4940"/>
      <c r="G4940" s="12"/>
      <c r="H4940" s="12"/>
      <c r="I4940" s="12"/>
      <c r="J4940" s="12"/>
    </row>
    <row r="4941" spans="5:10" x14ac:dyDescent="0.25">
      <c r="E4941"/>
      <c r="F4941"/>
      <c r="G4941" s="12"/>
      <c r="H4941" s="12"/>
      <c r="I4941" s="12"/>
      <c r="J4941" s="12"/>
    </row>
    <row r="4942" spans="5:10" x14ac:dyDescent="0.25">
      <c r="E4942"/>
      <c r="F4942"/>
      <c r="G4942" s="12"/>
      <c r="H4942" s="12"/>
      <c r="I4942" s="12"/>
      <c r="J4942" s="12"/>
    </row>
    <row r="4943" spans="5:10" x14ac:dyDescent="0.25">
      <c r="E4943"/>
      <c r="F4943"/>
      <c r="G4943" s="12"/>
      <c r="H4943" s="12"/>
      <c r="I4943" s="12"/>
      <c r="J4943" s="12"/>
    </row>
    <row r="4944" spans="5:10" x14ac:dyDescent="0.25">
      <c r="E4944"/>
      <c r="F4944"/>
      <c r="G4944" s="12"/>
      <c r="H4944" s="12"/>
      <c r="I4944" s="12"/>
      <c r="J4944" s="12"/>
    </row>
    <row r="4945" spans="5:10" x14ac:dyDescent="0.25">
      <c r="E4945"/>
      <c r="F4945"/>
      <c r="G4945" s="12"/>
      <c r="H4945" s="12"/>
      <c r="I4945" s="12"/>
      <c r="J4945" s="12"/>
    </row>
    <row r="4946" spans="5:10" x14ac:dyDescent="0.25">
      <c r="E4946"/>
      <c r="F4946"/>
      <c r="G4946" s="12"/>
      <c r="H4946" s="12"/>
      <c r="I4946" s="12"/>
      <c r="J4946" s="12"/>
    </row>
    <row r="4947" spans="5:10" x14ac:dyDescent="0.25">
      <c r="E4947"/>
      <c r="F4947"/>
      <c r="G4947" s="12"/>
      <c r="H4947" s="12"/>
      <c r="I4947" s="12"/>
      <c r="J4947" s="12"/>
    </row>
    <row r="4948" spans="5:10" x14ac:dyDescent="0.25">
      <c r="E4948"/>
      <c r="F4948"/>
      <c r="G4948" s="12"/>
      <c r="H4948" s="12"/>
      <c r="I4948" s="12"/>
      <c r="J4948" s="12"/>
    </row>
    <row r="4949" spans="5:10" x14ac:dyDescent="0.25">
      <c r="E4949"/>
      <c r="F4949"/>
      <c r="G4949" s="12"/>
      <c r="H4949" s="12"/>
      <c r="I4949" s="12"/>
      <c r="J4949" s="12"/>
    </row>
    <row r="4950" spans="5:10" x14ac:dyDescent="0.25">
      <c r="E4950"/>
      <c r="F4950"/>
      <c r="G4950" s="12"/>
      <c r="H4950" s="12"/>
      <c r="I4950" s="12"/>
      <c r="J4950" s="12"/>
    </row>
    <row r="4951" spans="5:10" x14ac:dyDescent="0.25">
      <c r="E4951"/>
      <c r="F4951"/>
      <c r="G4951" s="12"/>
      <c r="H4951" s="12"/>
      <c r="I4951" s="12"/>
      <c r="J4951" s="12"/>
    </row>
    <row r="4952" spans="5:10" x14ac:dyDescent="0.25">
      <c r="E4952"/>
      <c r="F4952"/>
      <c r="G4952" s="12"/>
      <c r="H4952" s="12"/>
      <c r="I4952" s="12"/>
      <c r="J4952" s="12"/>
    </row>
    <row r="4953" spans="5:10" x14ac:dyDescent="0.25">
      <c r="E4953"/>
      <c r="F4953"/>
      <c r="G4953" s="12"/>
      <c r="H4953" s="12"/>
      <c r="I4953" s="12"/>
      <c r="J4953" s="12"/>
    </row>
    <row r="4954" spans="5:10" x14ac:dyDescent="0.25">
      <c r="E4954"/>
      <c r="F4954"/>
      <c r="G4954" s="12"/>
      <c r="H4954" s="12"/>
      <c r="I4954" s="12"/>
      <c r="J4954" s="12"/>
    </row>
    <row r="4955" spans="5:10" x14ac:dyDescent="0.25">
      <c r="E4955"/>
      <c r="F4955"/>
      <c r="G4955" s="12"/>
      <c r="H4955" s="12"/>
      <c r="I4955" s="12"/>
      <c r="J4955" s="12"/>
    </row>
    <row r="4956" spans="5:10" x14ac:dyDescent="0.25">
      <c r="E4956"/>
      <c r="F4956"/>
      <c r="G4956" s="12"/>
      <c r="H4956" s="12"/>
      <c r="I4956" s="12"/>
      <c r="J4956" s="12"/>
    </row>
    <row r="4957" spans="5:10" x14ac:dyDescent="0.25">
      <c r="E4957"/>
      <c r="F4957"/>
      <c r="G4957" s="12"/>
      <c r="H4957" s="12"/>
      <c r="I4957" s="12"/>
      <c r="J4957" s="12"/>
    </row>
    <row r="4958" spans="5:10" x14ac:dyDescent="0.25">
      <c r="E4958"/>
      <c r="F4958"/>
      <c r="G4958" s="12"/>
      <c r="H4958" s="12"/>
      <c r="I4958" s="12"/>
      <c r="J4958" s="12"/>
    </row>
    <row r="4959" spans="5:10" x14ac:dyDescent="0.25">
      <c r="E4959"/>
      <c r="F4959"/>
      <c r="G4959" s="12"/>
      <c r="H4959" s="12"/>
      <c r="I4959" s="12"/>
      <c r="J4959" s="12"/>
    </row>
    <row r="4960" spans="5:10" x14ac:dyDescent="0.25">
      <c r="E4960"/>
      <c r="F4960"/>
      <c r="G4960" s="12"/>
      <c r="H4960" s="12"/>
      <c r="I4960" s="12"/>
      <c r="J4960" s="12"/>
    </row>
    <row r="4961" spans="5:10" x14ac:dyDescent="0.25">
      <c r="E4961"/>
      <c r="F4961"/>
      <c r="G4961" s="12"/>
      <c r="H4961" s="12"/>
      <c r="I4961" s="12"/>
      <c r="J4961" s="12"/>
    </row>
    <row r="4962" spans="5:10" x14ac:dyDescent="0.25">
      <c r="E4962"/>
      <c r="F4962"/>
      <c r="G4962" s="12"/>
      <c r="H4962" s="12"/>
      <c r="I4962" s="12"/>
      <c r="J4962" s="12"/>
    </row>
    <row r="4963" spans="5:10" x14ac:dyDescent="0.25">
      <c r="E4963"/>
      <c r="F4963"/>
      <c r="G4963" s="12"/>
      <c r="H4963" s="12"/>
      <c r="I4963" s="12"/>
      <c r="J4963" s="12"/>
    </row>
    <row r="4964" spans="5:10" x14ac:dyDescent="0.25">
      <c r="E4964"/>
      <c r="F4964"/>
      <c r="G4964" s="12"/>
      <c r="H4964" s="12"/>
      <c r="I4964" s="12"/>
      <c r="J4964" s="12"/>
    </row>
    <row r="4965" spans="5:10" x14ac:dyDescent="0.25">
      <c r="E4965"/>
      <c r="F4965"/>
      <c r="G4965" s="12"/>
      <c r="H4965" s="12"/>
      <c r="I4965" s="12"/>
      <c r="J4965" s="12"/>
    </row>
    <row r="4966" spans="5:10" x14ac:dyDescent="0.25">
      <c r="E4966"/>
      <c r="F4966"/>
      <c r="G4966" s="12"/>
      <c r="H4966" s="12"/>
      <c r="I4966" s="12"/>
      <c r="J4966" s="12"/>
    </row>
    <row r="4967" spans="5:10" x14ac:dyDescent="0.25">
      <c r="E4967"/>
      <c r="F4967"/>
      <c r="G4967" s="12"/>
      <c r="H4967" s="12"/>
      <c r="I4967" s="12"/>
      <c r="J4967" s="12"/>
    </row>
    <row r="4968" spans="5:10" x14ac:dyDescent="0.25">
      <c r="E4968"/>
      <c r="F4968"/>
      <c r="G4968" s="12"/>
      <c r="H4968" s="12"/>
      <c r="I4968" s="12"/>
      <c r="J4968" s="12"/>
    </row>
    <row r="4969" spans="5:10" x14ac:dyDescent="0.25">
      <c r="E4969"/>
      <c r="F4969"/>
      <c r="G4969" s="12"/>
      <c r="H4969" s="12"/>
      <c r="I4969" s="12"/>
      <c r="J4969" s="12"/>
    </row>
    <row r="4970" spans="5:10" x14ac:dyDescent="0.25">
      <c r="E4970"/>
      <c r="F4970"/>
      <c r="G4970" s="12"/>
      <c r="H4970" s="12"/>
      <c r="I4970" s="12"/>
      <c r="J4970" s="12"/>
    </row>
    <row r="4971" spans="5:10" x14ac:dyDescent="0.25">
      <c r="E4971"/>
      <c r="F4971"/>
      <c r="G4971" s="12"/>
      <c r="H4971" s="12"/>
      <c r="I4971" s="12"/>
      <c r="J4971" s="12"/>
    </row>
    <row r="4972" spans="5:10" x14ac:dyDescent="0.25">
      <c r="E4972"/>
      <c r="F4972"/>
      <c r="G4972" s="12"/>
      <c r="H4972" s="12"/>
      <c r="I4972" s="12"/>
      <c r="J4972" s="12"/>
    </row>
    <row r="4973" spans="5:10" x14ac:dyDescent="0.25">
      <c r="E4973"/>
      <c r="F4973"/>
      <c r="G4973" s="12"/>
      <c r="H4973" s="12"/>
      <c r="I4973" s="12"/>
      <c r="J4973" s="12"/>
    </row>
    <row r="4974" spans="5:10" x14ac:dyDescent="0.25">
      <c r="E4974"/>
      <c r="F4974"/>
      <c r="G4974" s="12"/>
      <c r="H4974" s="12"/>
      <c r="I4974" s="12"/>
      <c r="J4974" s="12"/>
    </row>
    <row r="4975" spans="5:10" x14ac:dyDescent="0.25">
      <c r="E4975"/>
      <c r="F4975"/>
      <c r="G4975" s="12"/>
      <c r="H4975" s="12"/>
      <c r="I4975" s="12"/>
      <c r="J4975" s="12"/>
    </row>
    <row r="4976" spans="5:10" x14ac:dyDescent="0.25">
      <c r="E4976"/>
      <c r="F4976"/>
      <c r="G4976" s="12"/>
      <c r="H4976" s="12"/>
      <c r="I4976" s="12"/>
      <c r="J4976" s="12"/>
    </row>
    <row r="4977" spans="5:10" x14ac:dyDescent="0.25">
      <c r="E4977"/>
      <c r="F4977"/>
      <c r="G4977" s="12"/>
      <c r="H4977" s="12"/>
      <c r="I4977" s="12"/>
      <c r="J4977" s="12"/>
    </row>
    <row r="4978" spans="5:10" x14ac:dyDescent="0.25">
      <c r="E4978"/>
      <c r="F4978"/>
      <c r="G4978" s="12"/>
      <c r="H4978" s="12"/>
      <c r="I4978" s="12"/>
      <c r="J4978" s="12"/>
    </row>
    <row r="4979" spans="5:10" x14ac:dyDescent="0.25">
      <c r="E4979"/>
      <c r="F4979"/>
      <c r="G4979" s="12"/>
      <c r="H4979" s="12"/>
      <c r="I4979" s="12"/>
      <c r="J4979" s="12"/>
    </row>
    <row r="4980" spans="5:10" x14ac:dyDescent="0.25">
      <c r="E4980"/>
      <c r="F4980"/>
      <c r="G4980" s="12"/>
      <c r="H4980" s="12"/>
      <c r="I4980" s="12"/>
      <c r="J4980" s="12"/>
    </row>
    <row r="4981" spans="5:10" x14ac:dyDescent="0.25">
      <c r="E4981"/>
      <c r="F4981"/>
      <c r="G4981" s="12"/>
      <c r="H4981" s="12"/>
      <c r="I4981" s="12"/>
      <c r="J4981" s="12"/>
    </row>
    <row r="4982" spans="5:10" x14ac:dyDescent="0.25">
      <c r="E4982"/>
      <c r="F4982"/>
      <c r="G4982" s="12"/>
      <c r="H4982" s="12"/>
      <c r="I4982" s="12"/>
      <c r="J4982" s="12"/>
    </row>
    <row r="4983" spans="5:10" x14ac:dyDescent="0.25">
      <c r="E4983"/>
      <c r="F4983"/>
      <c r="G4983" s="12"/>
      <c r="H4983" s="12"/>
      <c r="I4983" s="12"/>
      <c r="J4983" s="12"/>
    </row>
    <row r="4984" spans="5:10" x14ac:dyDescent="0.25">
      <c r="E4984"/>
      <c r="F4984"/>
      <c r="G4984" s="12"/>
      <c r="H4984" s="12"/>
      <c r="I4984" s="12"/>
      <c r="J4984" s="12"/>
    </row>
    <row r="4985" spans="5:10" x14ac:dyDescent="0.25">
      <c r="E4985"/>
      <c r="F4985"/>
      <c r="G4985" s="12"/>
      <c r="H4985" s="12"/>
      <c r="I4985" s="12"/>
      <c r="J4985" s="12"/>
    </row>
    <row r="4986" spans="5:10" x14ac:dyDescent="0.25">
      <c r="E4986"/>
      <c r="F4986"/>
      <c r="G4986" s="12"/>
      <c r="H4986" s="12"/>
      <c r="I4986" s="12"/>
      <c r="J4986" s="12"/>
    </row>
    <row r="4987" spans="5:10" x14ac:dyDescent="0.25">
      <c r="E4987"/>
      <c r="F4987"/>
      <c r="G4987" s="12"/>
      <c r="H4987" s="12"/>
      <c r="I4987" s="12"/>
      <c r="J4987" s="12"/>
    </row>
    <row r="4988" spans="5:10" x14ac:dyDescent="0.25">
      <c r="E4988"/>
      <c r="F4988"/>
      <c r="G4988" s="12"/>
      <c r="H4988" s="12"/>
      <c r="I4988" s="12"/>
      <c r="J4988" s="12"/>
    </row>
    <row r="4989" spans="5:10" x14ac:dyDescent="0.25">
      <c r="E4989"/>
      <c r="F4989"/>
      <c r="G4989" s="12"/>
      <c r="H4989" s="12"/>
      <c r="I4989" s="12"/>
      <c r="J4989" s="12"/>
    </row>
    <row r="4990" spans="5:10" x14ac:dyDescent="0.25">
      <c r="E4990"/>
      <c r="F4990"/>
      <c r="G4990" s="12"/>
      <c r="H4990" s="12"/>
      <c r="I4990" s="12"/>
      <c r="J4990" s="12"/>
    </row>
    <row r="4991" spans="5:10" x14ac:dyDescent="0.25">
      <c r="E4991"/>
      <c r="F4991"/>
      <c r="G4991" s="12"/>
      <c r="H4991" s="12"/>
      <c r="I4991" s="12"/>
      <c r="J4991" s="12"/>
    </row>
    <row r="4992" spans="5:10" x14ac:dyDescent="0.25">
      <c r="E4992"/>
      <c r="F4992"/>
      <c r="G4992" s="12"/>
      <c r="H4992" s="12"/>
      <c r="I4992" s="12"/>
      <c r="J4992" s="12"/>
    </row>
    <row r="4993" spans="5:10" x14ac:dyDescent="0.25">
      <c r="E4993"/>
      <c r="F4993"/>
      <c r="G4993" s="12"/>
      <c r="H4993" s="12"/>
      <c r="I4993" s="12"/>
      <c r="J4993" s="12"/>
    </row>
    <row r="4994" spans="5:10" x14ac:dyDescent="0.25">
      <c r="E4994"/>
      <c r="F4994"/>
      <c r="G4994" s="12"/>
      <c r="H4994" s="12"/>
      <c r="I4994" s="12"/>
      <c r="J4994" s="12"/>
    </row>
    <row r="4995" spans="5:10" x14ac:dyDescent="0.25">
      <c r="E4995"/>
      <c r="F4995"/>
      <c r="G4995" s="12"/>
      <c r="H4995" s="12"/>
      <c r="I4995" s="12"/>
      <c r="J4995" s="12"/>
    </row>
    <row r="4996" spans="5:10" x14ac:dyDescent="0.25">
      <c r="E4996"/>
      <c r="F4996"/>
      <c r="G4996" s="12"/>
      <c r="H4996" s="12"/>
      <c r="I4996" s="12"/>
      <c r="J4996" s="12"/>
    </row>
    <row r="4997" spans="5:10" x14ac:dyDescent="0.25">
      <c r="E4997"/>
      <c r="F4997"/>
      <c r="G4997" s="12"/>
      <c r="H4997" s="12"/>
      <c r="I4997" s="12"/>
      <c r="J4997" s="12"/>
    </row>
    <row r="4998" spans="5:10" x14ac:dyDescent="0.25">
      <c r="E4998"/>
      <c r="F4998"/>
      <c r="G4998" s="12"/>
      <c r="H4998" s="12"/>
      <c r="I4998" s="12"/>
      <c r="J4998" s="12"/>
    </row>
    <row r="4999" spans="5:10" x14ac:dyDescent="0.25">
      <c r="E4999"/>
      <c r="F4999"/>
      <c r="G4999" s="12"/>
      <c r="H4999" s="12"/>
      <c r="I4999" s="12"/>
      <c r="J4999" s="12"/>
    </row>
    <row r="5000" spans="5:10" x14ac:dyDescent="0.25">
      <c r="E5000"/>
      <c r="F5000"/>
      <c r="G5000" s="12"/>
      <c r="H5000" s="12"/>
      <c r="I5000" s="12"/>
      <c r="J5000" s="12"/>
    </row>
    <row r="5001" spans="5:10" x14ac:dyDescent="0.25">
      <c r="E5001"/>
      <c r="F5001"/>
      <c r="G5001" s="12"/>
      <c r="H5001" s="12"/>
      <c r="I5001" s="12"/>
      <c r="J5001" s="12"/>
    </row>
    <row r="5002" spans="5:10" x14ac:dyDescent="0.25">
      <c r="E5002"/>
      <c r="F5002"/>
      <c r="G5002" s="12"/>
      <c r="H5002" s="12"/>
      <c r="I5002" s="12"/>
      <c r="J5002" s="12"/>
    </row>
    <row r="5003" spans="5:10" x14ac:dyDescent="0.25">
      <c r="E5003"/>
      <c r="F5003"/>
      <c r="G5003" s="12"/>
      <c r="H5003" s="12"/>
      <c r="I5003" s="12"/>
      <c r="J5003" s="12"/>
    </row>
    <row r="5004" spans="5:10" x14ac:dyDescent="0.25">
      <c r="E5004"/>
      <c r="F5004"/>
      <c r="G5004" s="12"/>
      <c r="H5004" s="12"/>
      <c r="I5004" s="12"/>
      <c r="J5004" s="12"/>
    </row>
    <row r="5005" spans="5:10" x14ac:dyDescent="0.25">
      <c r="E5005"/>
      <c r="F5005"/>
      <c r="G5005" s="12"/>
      <c r="H5005" s="12"/>
      <c r="I5005" s="12"/>
      <c r="J5005" s="12"/>
    </row>
    <row r="5006" spans="5:10" x14ac:dyDescent="0.25">
      <c r="E5006"/>
      <c r="F5006"/>
      <c r="G5006" s="12"/>
      <c r="H5006" s="12"/>
      <c r="I5006" s="12"/>
      <c r="J5006" s="12"/>
    </row>
    <row r="5007" spans="5:10" x14ac:dyDescent="0.25">
      <c r="E5007"/>
      <c r="F5007"/>
      <c r="G5007" s="12"/>
      <c r="H5007" s="12"/>
      <c r="I5007" s="12"/>
      <c r="J5007" s="12"/>
    </row>
    <row r="5008" spans="5:10" x14ac:dyDescent="0.25">
      <c r="E5008"/>
      <c r="F5008"/>
      <c r="G5008" s="12"/>
      <c r="H5008" s="12"/>
      <c r="I5008" s="12"/>
      <c r="J5008" s="12"/>
    </row>
    <row r="5009" spans="5:10" x14ac:dyDescent="0.25">
      <c r="E5009"/>
      <c r="F5009"/>
      <c r="G5009" s="12"/>
      <c r="H5009" s="12"/>
      <c r="I5009" s="12"/>
      <c r="J5009" s="12"/>
    </row>
    <row r="5010" spans="5:10" x14ac:dyDescent="0.25">
      <c r="E5010"/>
      <c r="F5010"/>
      <c r="G5010" s="12"/>
      <c r="H5010" s="12"/>
      <c r="I5010" s="12"/>
      <c r="J5010" s="12"/>
    </row>
    <row r="5011" spans="5:10" x14ac:dyDescent="0.25">
      <c r="E5011"/>
      <c r="F5011"/>
      <c r="G5011" s="12"/>
      <c r="H5011" s="12"/>
      <c r="I5011" s="12"/>
      <c r="J5011" s="12"/>
    </row>
    <row r="5012" spans="5:10" x14ac:dyDescent="0.25">
      <c r="E5012"/>
      <c r="F5012"/>
      <c r="G5012" s="12"/>
      <c r="H5012" s="12"/>
      <c r="I5012" s="12"/>
      <c r="J5012" s="12"/>
    </row>
    <row r="5013" spans="5:10" x14ac:dyDescent="0.25">
      <c r="E5013"/>
      <c r="F5013"/>
      <c r="G5013" s="12"/>
      <c r="H5013" s="12"/>
      <c r="I5013" s="12"/>
      <c r="J5013" s="12"/>
    </row>
    <row r="5014" spans="5:10" x14ac:dyDescent="0.25">
      <c r="E5014"/>
      <c r="F5014"/>
      <c r="G5014" s="12"/>
      <c r="H5014" s="12"/>
      <c r="I5014" s="12"/>
      <c r="J5014" s="12"/>
    </row>
    <row r="5015" spans="5:10" x14ac:dyDescent="0.25">
      <c r="E5015"/>
      <c r="F5015"/>
      <c r="G5015" s="12"/>
      <c r="H5015" s="12"/>
      <c r="I5015" s="12"/>
      <c r="J5015" s="12"/>
    </row>
    <row r="5016" spans="5:10" x14ac:dyDescent="0.25">
      <c r="E5016"/>
      <c r="F5016"/>
      <c r="G5016" s="12"/>
      <c r="H5016" s="12"/>
      <c r="I5016" s="12"/>
      <c r="J5016" s="12"/>
    </row>
    <row r="5017" spans="5:10" x14ac:dyDescent="0.25">
      <c r="E5017"/>
      <c r="F5017"/>
      <c r="G5017" s="12"/>
      <c r="H5017" s="12"/>
      <c r="I5017" s="12"/>
      <c r="J5017" s="12"/>
    </row>
    <row r="5018" spans="5:10" x14ac:dyDescent="0.25">
      <c r="E5018"/>
      <c r="F5018"/>
      <c r="G5018" s="12"/>
      <c r="H5018" s="12"/>
      <c r="I5018" s="12"/>
      <c r="J5018" s="12"/>
    </row>
    <row r="5019" spans="5:10" x14ac:dyDescent="0.25">
      <c r="E5019"/>
      <c r="F5019"/>
      <c r="G5019" s="12"/>
      <c r="H5019" s="12"/>
      <c r="I5019" s="12"/>
      <c r="J5019" s="12"/>
    </row>
    <row r="5020" spans="5:10" x14ac:dyDescent="0.25">
      <c r="E5020"/>
      <c r="F5020"/>
      <c r="G5020" s="12"/>
      <c r="H5020" s="12"/>
      <c r="I5020" s="12"/>
      <c r="J5020" s="12"/>
    </row>
    <row r="5021" spans="5:10" x14ac:dyDescent="0.25">
      <c r="E5021"/>
      <c r="F5021"/>
      <c r="G5021" s="12"/>
      <c r="H5021" s="12"/>
      <c r="I5021" s="12"/>
      <c r="J5021" s="12"/>
    </row>
    <row r="5022" spans="5:10" x14ac:dyDescent="0.25">
      <c r="E5022"/>
      <c r="F5022"/>
      <c r="G5022" s="12"/>
      <c r="H5022" s="12"/>
      <c r="I5022" s="12"/>
      <c r="J5022" s="12"/>
    </row>
    <row r="5023" spans="5:10" x14ac:dyDescent="0.25">
      <c r="E5023"/>
      <c r="F5023"/>
      <c r="G5023" s="12"/>
      <c r="H5023" s="12"/>
      <c r="I5023" s="12"/>
      <c r="J5023" s="12"/>
    </row>
    <row r="5024" spans="5:10" x14ac:dyDescent="0.25">
      <c r="E5024"/>
      <c r="F5024"/>
      <c r="G5024" s="12"/>
      <c r="H5024" s="12"/>
      <c r="I5024" s="12"/>
      <c r="J5024" s="12"/>
    </row>
    <row r="5025" spans="5:10" x14ac:dyDescent="0.25">
      <c r="E5025"/>
      <c r="F5025"/>
      <c r="G5025" s="12"/>
      <c r="H5025" s="12"/>
      <c r="I5025" s="12"/>
      <c r="J5025" s="12"/>
    </row>
    <row r="5026" spans="5:10" x14ac:dyDescent="0.25">
      <c r="E5026"/>
      <c r="F5026"/>
      <c r="G5026" s="12"/>
      <c r="H5026" s="12"/>
      <c r="I5026" s="12"/>
      <c r="J5026" s="12"/>
    </row>
    <row r="5027" spans="5:10" x14ac:dyDescent="0.25">
      <c r="E5027"/>
      <c r="F5027"/>
      <c r="G5027" s="12"/>
      <c r="H5027" s="12"/>
      <c r="I5027" s="12"/>
      <c r="J5027" s="12"/>
    </row>
    <row r="5028" spans="5:10" x14ac:dyDescent="0.25">
      <c r="E5028"/>
      <c r="F5028"/>
      <c r="G5028" s="12"/>
      <c r="H5028" s="12"/>
      <c r="I5028" s="12"/>
      <c r="J5028" s="12"/>
    </row>
    <row r="5029" spans="5:10" x14ac:dyDescent="0.25">
      <c r="E5029"/>
      <c r="F5029"/>
      <c r="G5029" s="12"/>
      <c r="H5029" s="12"/>
      <c r="I5029" s="12"/>
      <c r="J5029" s="12"/>
    </row>
    <row r="5030" spans="5:10" x14ac:dyDescent="0.25">
      <c r="E5030"/>
      <c r="F5030"/>
      <c r="G5030" s="12"/>
      <c r="H5030" s="12"/>
      <c r="I5030" s="12"/>
      <c r="J5030" s="12"/>
    </row>
    <row r="5031" spans="5:10" x14ac:dyDescent="0.25">
      <c r="E5031"/>
      <c r="F5031"/>
      <c r="G5031" s="12"/>
      <c r="H5031" s="12"/>
      <c r="I5031" s="12"/>
      <c r="J5031" s="12"/>
    </row>
    <row r="5032" spans="5:10" x14ac:dyDescent="0.25">
      <c r="E5032"/>
      <c r="F5032"/>
      <c r="G5032" s="12"/>
      <c r="H5032" s="12"/>
      <c r="I5032" s="12"/>
      <c r="J5032" s="12"/>
    </row>
    <row r="5033" spans="5:10" x14ac:dyDescent="0.25">
      <c r="E5033"/>
      <c r="F5033"/>
      <c r="G5033" s="12"/>
      <c r="H5033" s="12"/>
      <c r="I5033" s="12"/>
      <c r="J5033" s="12"/>
    </row>
    <row r="5034" spans="5:10" x14ac:dyDescent="0.25">
      <c r="E5034"/>
      <c r="F5034"/>
      <c r="G5034" s="12"/>
      <c r="H5034" s="12"/>
      <c r="I5034" s="12"/>
      <c r="J5034" s="12"/>
    </row>
    <row r="5035" spans="5:10" x14ac:dyDescent="0.25">
      <c r="E5035"/>
      <c r="F5035"/>
      <c r="G5035" s="12"/>
      <c r="H5035" s="12"/>
      <c r="I5035" s="12"/>
      <c r="J5035" s="12"/>
    </row>
    <row r="5036" spans="5:10" x14ac:dyDescent="0.25">
      <c r="E5036"/>
      <c r="F5036"/>
      <c r="G5036" s="12"/>
      <c r="H5036" s="12"/>
      <c r="I5036" s="12"/>
      <c r="J5036" s="12"/>
    </row>
    <row r="5037" spans="5:10" x14ac:dyDescent="0.25">
      <c r="E5037"/>
      <c r="F5037"/>
      <c r="G5037" s="12"/>
      <c r="H5037" s="12"/>
      <c r="I5037" s="12"/>
      <c r="J5037" s="12"/>
    </row>
    <row r="5038" spans="5:10" x14ac:dyDescent="0.25">
      <c r="E5038"/>
      <c r="F5038"/>
      <c r="G5038" s="12"/>
      <c r="H5038" s="12"/>
      <c r="I5038" s="12"/>
      <c r="J5038" s="12"/>
    </row>
    <row r="5039" spans="5:10" x14ac:dyDescent="0.25">
      <c r="E5039"/>
      <c r="F5039"/>
      <c r="G5039" s="12"/>
      <c r="H5039" s="12"/>
      <c r="I5039" s="12"/>
      <c r="J5039" s="12"/>
    </row>
    <row r="5040" spans="5:10" x14ac:dyDescent="0.25">
      <c r="E5040"/>
      <c r="F5040"/>
      <c r="G5040" s="12"/>
      <c r="H5040" s="12"/>
      <c r="I5040" s="12"/>
      <c r="J5040" s="12"/>
    </row>
    <row r="5041" spans="5:10" x14ac:dyDescent="0.25">
      <c r="E5041"/>
      <c r="F5041"/>
      <c r="G5041" s="12"/>
      <c r="H5041" s="12"/>
      <c r="I5041" s="12"/>
      <c r="J5041" s="12"/>
    </row>
    <row r="5042" spans="5:10" x14ac:dyDescent="0.25">
      <c r="E5042"/>
      <c r="F5042"/>
      <c r="G5042" s="12"/>
      <c r="H5042" s="12"/>
      <c r="I5042" s="12"/>
      <c r="J5042" s="12"/>
    </row>
    <row r="5043" spans="5:10" x14ac:dyDescent="0.25">
      <c r="E5043"/>
      <c r="F5043"/>
      <c r="G5043" s="12"/>
      <c r="H5043" s="12"/>
      <c r="I5043" s="12"/>
      <c r="J5043" s="12"/>
    </row>
    <row r="5044" spans="5:10" x14ac:dyDescent="0.25">
      <c r="E5044"/>
      <c r="F5044"/>
      <c r="G5044" s="12"/>
      <c r="H5044" s="12"/>
      <c r="I5044" s="12"/>
      <c r="J5044" s="12"/>
    </row>
    <row r="5045" spans="5:10" x14ac:dyDescent="0.25">
      <c r="E5045"/>
      <c r="F5045"/>
      <c r="G5045" s="12"/>
      <c r="H5045" s="12"/>
      <c r="I5045" s="12"/>
      <c r="J5045" s="12"/>
    </row>
    <row r="5046" spans="5:10" x14ac:dyDescent="0.25">
      <c r="E5046"/>
      <c r="F5046"/>
      <c r="G5046" s="12"/>
      <c r="H5046" s="12"/>
      <c r="I5046" s="12"/>
      <c r="J5046" s="12"/>
    </row>
    <row r="5047" spans="5:10" x14ac:dyDescent="0.25">
      <c r="E5047"/>
      <c r="F5047"/>
      <c r="G5047" s="12"/>
      <c r="H5047" s="12"/>
      <c r="I5047" s="12"/>
      <c r="J5047" s="12"/>
    </row>
    <row r="5048" spans="5:10" x14ac:dyDescent="0.25">
      <c r="E5048"/>
      <c r="F5048"/>
      <c r="G5048" s="12"/>
      <c r="H5048" s="12"/>
      <c r="I5048" s="12"/>
      <c r="J5048" s="12"/>
    </row>
    <row r="5049" spans="5:10" x14ac:dyDescent="0.25">
      <c r="E5049"/>
      <c r="F5049"/>
      <c r="G5049" s="12"/>
      <c r="H5049" s="12"/>
      <c r="I5049" s="12"/>
      <c r="J5049" s="12"/>
    </row>
    <row r="5050" spans="5:10" x14ac:dyDescent="0.25">
      <c r="E5050"/>
      <c r="F5050"/>
      <c r="G5050" s="12"/>
      <c r="H5050" s="12"/>
      <c r="I5050" s="12"/>
      <c r="J5050" s="12"/>
    </row>
    <row r="5051" spans="5:10" x14ac:dyDescent="0.25">
      <c r="E5051"/>
      <c r="F5051"/>
      <c r="G5051" s="12"/>
      <c r="H5051" s="12"/>
      <c r="I5051" s="12"/>
      <c r="J5051" s="12"/>
    </row>
    <row r="5052" spans="5:10" x14ac:dyDescent="0.25">
      <c r="E5052"/>
      <c r="F5052"/>
      <c r="G5052" s="12"/>
      <c r="H5052" s="12"/>
      <c r="I5052" s="12"/>
      <c r="J5052" s="12"/>
    </row>
    <row r="5053" spans="5:10" x14ac:dyDescent="0.25">
      <c r="E5053"/>
      <c r="F5053"/>
      <c r="G5053" s="12"/>
      <c r="H5053" s="12"/>
      <c r="I5053" s="12"/>
      <c r="J5053" s="12"/>
    </row>
    <row r="5054" spans="5:10" x14ac:dyDescent="0.25">
      <c r="E5054"/>
      <c r="F5054"/>
      <c r="G5054" s="12"/>
      <c r="H5054" s="12"/>
      <c r="I5054" s="12"/>
      <c r="J5054" s="12"/>
    </row>
    <row r="5055" spans="5:10" x14ac:dyDescent="0.25">
      <c r="E5055"/>
      <c r="F5055"/>
      <c r="G5055" s="12"/>
      <c r="H5055" s="12"/>
      <c r="I5055" s="12"/>
      <c r="J5055" s="12"/>
    </row>
    <row r="5056" spans="5:10" x14ac:dyDescent="0.25">
      <c r="E5056"/>
      <c r="F5056"/>
      <c r="G5056" s="12"/>
      <c r="H5056" s="12"/>
      <c r="I5056" s="12"/>
      <c r="J5056" s="12"/>
    </row>
    <row r="5057" spans="5:10" x14ac:dyDescent="0.25">
      <c r="E5057"/>
      <c r="F5057"/>
      <c r="G5057" s="12"/>
      <c r="H5057" s="12"/>
      <c r="I5057" s="12"/>
      <c r="J5057" s="12"/>
    </row>
    <row r="5058" spans="5:10" x14ac:dyDescent="0.25">
      <c r="E5058"/>
      <c r="F5058"/>
      <c r="G5058" s="12"/>
      <c r="H5058" s="12"/>
      <c r="I5058" s="12"/>
      <c r="J5058" s="12"/>
    </row>
    <row r="5059" spans="5:10" x14ac:dyDescent="0.25">
      <c r="E5059"/>
      <c r="F5059"/>
      <c r="G5059" s="12"/>
      <c r="H5059" s="12"/>
      <c r="I5059" s="12"/>
      <c r="J5059" s="12"/>
    </row>
    <row r="5060" spans="5:10" x14ac:dyDescent="0.25">
      <c r="E5060"/>
      <c r="F5060"/>
      <c r="G5060" s="12"/>
      <c r="H5060" s="12"/>
      <c r="I5060" s="12"/>
      <c r="J5060" s="12"/>
    </row>
    <row r="5061" spans="5:10" x14ac:dyDescent="0.25">
      <c r="E5061"/>
      <c r="F5061"/>
      <c r="G5061" s="12"/>
      <c r="H5061" s="12"/>
      <c r="I5061" s="12"/>
      <c r="J5061" s="12"/>
    </row>
    <row r="5062" spans="5:10" x14ac:dyDescent="0.25">
      <c r="E5062"/>
      <c r="F5062"/>
      <c r="G5062" s="12"/>
      <c r="H5062" s="12"/>
      <c r="I5062" s="12"/>
      <c r="J5062" s="12"/>
    </row>
    <row r="5063" spans="5:10" x14ac:dyDescent="0.25">
      <c r="E5063"/>
      <c r="F5063"/>
      <c r="G5063" s="12"/>
      <c r="H5063" s="12"/>
      <c r="I5063" s="12"/>
      <c r="J5063" s="12"/>
    </row>
    <row r="5064" spans="5:10" x14ac:dyDescent="0.25">
      <c r="E5064"/>
      <c r="F5064"/>
      <c r="G5064" s="12"/>
      <c r="H5064" s="12"/>
      <c r="I5064" s="12"/>
      <c r="J5064" s="12"/>
    </row>
    <row r="5065" spans="5:10" x14ac:dyDescent="0.25">
      <c r="E5065"/>
      <c r="F5065"/>
      <c r="G5065" s="12"/>
      <c r="H5065" s="12"/>
      <c r="I5065" s="12"/>
      <c r="J5065" s="12"/>
    </row>
    <row r="5066" spans="5:10" x14ac:dyDescent="0.25">
      <c r="E5066"/>
      <c r="F5066"/>
      <c r="G5066" s="12"/>
      <c r="H5066" s="12"/>
      <c r="I5066" s="12"/>
      <c r="J5066" s="12"/>
    </row>
    <row r="5067" spans="5:10" x14ac:dyDescent="0.25">
      <c r="E5067"/>
      <c r="F5067"/>
      <c r="G5067" s="12"/>
      <c r="H5067" s="12"/>
      <c r="I5067" s="12"/>
      <c r="J5067" s="12"/>
    </row>
    <row r="5068" spans="5:10" x14ac:dyDescent="0.25">
      <c r="E5068"/>
      <c r="F5068"/>
      <c r="G5068" s="12"/>
      <c r="H5068" s="12"/>
      <c r="I5068" s="12"/>
      <c r="J5068" s="12"/>
    </row>
    <row r="5069" spans="5:10" x14ac:dyDescent="0.25">
      <c r="E5069"/>
      <c r="F5069"/>
      <c r="G5069" s="12"/>
      <c r="H5069" s="12"/>
      <c r="I5069" s="12"/>
      <c r="J5069" s="12"/>
    </row>
    <row r="5070" spans="5:10" x14ac:dyDescent="0.25">
      <c r="E5070"/>
      <c r="F5070"/>
      <c r="G5070" s="12"/>
      <c r="H5070" s="12"/>
      <c r="I5070" s="12"/>
      <c r="J5070" s="12"/>
    </row>
    <row r="5071" spans="5:10" x14ac:dyDescent="0.25">
      <c r="E5071"/>
      <c r="F5071"/>
      <c r="G5071" s="12"/>
      <c r="H5071" s="12"/>
      <c r="I5071" s="12"/>
      <c r="J5071" s="12"/>
    </row>
    <row r="5072" spans="5:10" x14ac:dyDescent="0.25">
      <c r="E5072"/>
      <c r="F5072"/>
      <c r="G5072" s="12"/>
      <c r="H5072" s="12"/>
      <c r="I5072" s="12"/>
      <c r="J5072" s="12"/>
    </row>
    <row r="5073" spans="5:10" x14ac:dyDescent="0.25">
      <c r="E5073"/>
      <c r="F5073"/>
      <c r="G5073" s="12"/>
      <c r="H5073" s="12"/>
      <c r="I5073" s="12"/>
      <c r="J5073" s="12"/>
    </row>
    <row r="5074" spans="5:10" x14ac:dyDescent="0.25">
      <c r="E5074"/>
      <c r="F5074"/>
      <c r="G5074" s="12"/>
      <c r="H5074" s="12"/>
      <c r="I5074" s="12"/>
      <c r="J5074" s="12"/>
    </row>
    <row r="5075" spans="5:10" x14ac:dyDescent="0.25">
      <c r="E5075"/>
      <c r="F5075"/>
      <c r="G5075" s="12"/>
      <c r="H5075" s="12"/>
      <c r="I5075" s="12"/>
      <c r="J5075" s="12"/>
    </row>
    <row r="5076" spans="5:10" x14ac:dyDescent="0.25">
      <c r="E5076"/>
      <c r="F5076"/>
      <c r="G5076" s="12"/>
      <c r="H5076" s="12"/>
      <c r="I5076" s="12"/>
      <c r="J5076" s="12"/>
    </row>
    <row r="5077" spans="5:10" x14ac:dyDescent="0.25">
      <c r="E5077"/>
      <c r="F5077"/>
      <c r="G5077" s="12"/>
      <c r="H5077" s="12"/>
      <c r="I5077" s="12"/>
      <c r="J5077" s="12"/>
    </row>
    <row r="5078" spans="5:10" x14ac:dyDescent="0.25">
      <c r="E5078"/>
      <c r="F5078"/>
      <c r="G5078" s="12"/>
      <c r="H5078" s="12"/>
      <c r="I5078" s="12"/>
      <c r="J5078" s="12"/>
    </row>
    <row r="5079" spans="5:10" x14ac:dyDescent="0.25">
      <c r="E5079"/>
      <c r="F5079"/>
      <c r="G5079" s="12"/>
      <c r="H5079" s="12"/>
      <c r="I5079" s="12"/>
      <c r="J5079" s="12"/>
    </row>
    <row r="5080" spans="5:10" x14ac:dyDescent="0.25">
      <c r="E5080"/>
      <c r="F5080"/>
      <c r="G5080" s="12"/>
      <c r="H5080" s="12"/>
      <c r="I5080" s="12"/>
      <c r="J5080" s="12"/>
    </row>
    <row r="5081" spans="5:10" x14ac:dyDescent="0.25">
      <c r="E5081"/>
      <c r="F5081"/>
      <c r="G5081" s="12"/>
      <c r="H5081" s="12"/>
      <c r="I5081" s="12"/>
      <c r="J5081" s="12"/>
    </row>
    <row r="5082" spans="5:10" x14ac:dyDescent="0.25">
      <c r="E5082"/>
      <c r="F5082"/>
      <c r="G5082" s="12"/>
      <c r="H5082" s="12"/>
      <c r="I5082" s="12"/>
      <c r="J5082" s="12"/>
    </row>
    <row r="5083" spans="5:10" x14ac:dyDescent="0.25">
      <c r="E5083"/>
      <c r="F5083"/>
      <c r="G5083" s="12"/>
      <c r="H5083" s="12"/>
      <c r="I5083" s="12"/>
      <c r="J5083" s="12"/>
    </row>
    <row r="5084" spans="5:10" x14ac:dyDescent="0.25">
      <c r="E5084"/>
      <c r="F5084"/>
      <c r="G5084" s="12"/>
      <c r="H5084" s="12"/>
      <c r="I5084" s="12"/>
      <c r="J5084" s="12"/>
    </row>
    <row r="5085" spans="5:10" x14ac:dyDescent="0.25">
      <c r="E5085"/>
      <c r="F5085"/>
      <c r="G5085" s="12"/>
      <c r="H5085" s="12"/>
      <c r="I5085" s="12"/>
      <c r="J5085" s="12"/>
    </row>
    <row r="5086" spans="5:10" x14ac:dyDescent="0.25">
      <c r="E5086"/>
      <c r="F5086"/>
      <c r="G5086" s="12"/>
      <c r="H5086" s="12"/>
      <c r="I5086" s="12"/>
      <c r="J5086" s="12"/>
    </row>
    <row r="5087" spans="5:10" x14ac:dyDescent="0.25">
      <c r="E5087"/>
      <c r="F5087"/>
      <c r="G5087" s="12"/>
      <c r="H5087" s="12"/>
      <c r="I5087" s="12"/>
      <c r="J5087" s="12"/>
    </row>
    <row r="5088" spans="5:10" x14ac:dyDescent="0.25">
      <c r="E5088"/>
      <c r="F5088"/>
      <c r="G5088" s="12"/>
      <c r="H5088" s="12"/>
      <c r="I5088" s="12"/>
      <c r="J5088" s="12"/>
    </row>
    <row r="5089" spans="5:10" x14ac:dyDescent="0.25">
      <c r="E5089"/>
      <c r="F5089"/>
      <c r="G5089" s="12"/>
      <c r="H5089" s="12"/>
      <c r="I5089" s="12"/>
      <c r="J5089" s="12"/>
    </row>
    <row r="5090" spans="5:10" x14ac:dyDescent="0.25">
      <c r="E5090"/>
      <c r="F5090"/>
      <c r="G5090" s="12"/>
      <c r="H5090" s="12"/>
      <c r="I5090" s="12"/>
      <c r="J5090" s="12"/>
    </row>
    <row r="5091" spans="5:10" x14ac:dyDescent="0.25">
      <c r="E5091"/>
      <c r="F5091"/>
      <c r="G5091" s="12"/>
      <c r="H5091" s="12"/>
      <c r="I5091" s="12"/>
      <c r="J5091" s="12"/>
    </row>
    <row r="5092" spans="5:10" x14ac:dyDescent="0.25">
      <c r="E5092"/>
      <c r="F5092"/>
      <c r="G5092" s="12"/>
      <c r="H5092" s="12"/>
      <c r="I5092" s="12"/>
      <c r="J5092" s="12"/>
    </row>
    <row r="5093" spans="5:10" x14ac:dyDescent="0.25">
      <c r="E5093"/>
      <c r="F5093"/>
      <c r="G5093" s="12"/>
      <c r="H5093" s="12"/>
      <c r="I5093" s="12"/>
      <c r="J5093" s="12"/>
    </row>
    <row r="5094" spans="5:10" x14ac:dyDescent="0.25">
      <c r="E5094"/>
      <c r="F5094"/>
      <c r="G5094" s="12"/>
      <c r="H5094" s="12"/>
      <c r="I5094" s="12"/>
      <c r="J5094" s="12"/>
    </row>
    <row r="5095" spans="5:10" x14ac:dyDescent="0.25">
      <c r="E5095"/>
      <c r="F5095"/>
      <c r="G5095" s="12"/>
      <c r="H5095" s="12"/>
      <c r="I5095" s="12"/>
      <c r="J5095" s="12"/>
    </row>
    <row r="5096" spans="5:10" x14ac:dyDescent="0.25">
      <c r="E5096"/>
      <c r="F5096"/>
      <c r="G5096" s="12"/>
      <c r="H5096" s="12"/>
      <c r="I5096" s="12"/>
      <c r="J5096" s="12"/>
    </row>
    <row r="5097" spans="5:10" x14ac:dyDescent="0.25">
      <c r="E5097"/>
      <c r="F5097"/>
      <c r="G5097" s="12"/>
      <c r="H5097" s="12"/>
      <c r="I5097" s="12"/>
      <c r="J5097" s="12"/>
    </row>
    <row r="5098" spans="5:10" x14ac:dyDescent="0.25">
      <c r="E5098"/>
      <c r="F5098"/>
      <c r="G5098" s="12"/>
      <c r="H5098" s="12"/>
      <c r="I5098" s="12"/>
      <c r="J5098" s="12"/>
    </row>
    <row r="5099" spans="5:10" x14ac:dyDescent="0.25">
      <c r="E5099"/>
      <c r="F5099"/>
      <c r="G5099" s="12"/>
      <c r="H5099" s="12"/>
      <c r="I5099" s="12"/>
      <c r="J5099" s="12"/>
    </row>
    <row r="5100" spans="5:10" x14ac:dyDescent="0.25">
      <c r="E5100"/>
      <c r="F5100"/>
      <c r="G5100" s="12"/>
      <c r="H5100" s="12"/>
      <c r="I5100" s="12"/>
      <c r="J5100" s="12"/>
    </row>
    <row r="5101" spans="5:10" x14ac:dyDescent="0.25">
      <c r="E5101"/>
      <c r="F5101"/>
      <c r="G5101" s="12"/>
      <c r="H5101" s="12"/>
      <c r="I5101" s="12"/>
      <c r="J5101" s="12"/>
    </row>
    <row r="5102" spans="5:10" x14ac:dyDescent="0.25">
      <c r="E5102"/>
      <c r="F5102"/>
      <c r="G5102" s="12"/>
      <c r="H5102" s="12"/>
      <c r="I5102" s="12"/>
      <c r="J5102" s="12"/>
    </row>
    <row r="5103" spans="5:10" x14ac:dyDescent="0.25">
      <c r="E5103"/>
      <c r="F5103"/>
      <c r="G5103" s="12"/>
      <c r="H5103" s="12"/>
      <c r="I5103" s="12"/>
      <c r="J5103" s="12"/>
    </row>
    <row r="5104" spans="5:10" x14ac:dyDescent="0.25">
      <c r="E5104"/>
      <c r="F5104"/>
      <c r="G5104" s="12"/>
      <c r="H5104" s="12"/>
      <c r="I5104" s="12"/>
      <c r="J5104" s="12"/>
    </row>
    <row r="5105" spans="5:10" x14ac:dyDescent="0.25">
      <c r="E5105"/>
      <c r="F5105"/>
      <c r="G5105" s="12"/>
      <c r="H5105" s="12"/>
      <c r="I5105" s="12"/>
      <c r="J5105" s="12"/>
    </row>
    <row r="5106" spans="5:10" x14ac:dyDescent="0.25">
      <c r="E5106"/>
      <c r="F5106"/>
      <c r="G5106" s="12"/>
      <c r="H5106" s="12"/>
      <c r="I5106" s="12"/>
      <c r="J5106" s="12"/>
    </row>
    <row r="5107" spans="5:10" x14ac:dyDescent="0.25">
      <c r="E5107"/>
      <c r="F5107"/>
      <c r="G5107" s="12"/>
      <c r="H5107" s="12"/>
      <c r="I5107" s="12"/>
      <c r="J5107" s="12"/>
    </row>
    <row r="5108" spans="5:10" x14ac:dyDescent="0.25">
      <c r="E5108"/>
      <c r="F5108"/>
      <c r="G5108" s="12"/>
      <c r="H5108" s="12"/>
      <c r="I5108" s="12"/>
      <c r="J5108" s="12"/>
    </row>
    <row r="5109" spans="5:10" x14ac:dyDescent="0.25">
      <c r="E5109"/>
      <c r="F5109"/>
      <c r="G5109" s="12"/>
      <c r="H5109" s="12"/>
      <c r="I5109" s="12"/>
      <c r="J5109" s="12"/>
    </row>
    <row r="5110" spans="5:10" x14ac:dyDescent="0.25">
      <c r="E5110"/>
      <c r="F5110"/>
      <c r="G5110" s="12"/>
      <c r="H5110" s="12"/>
      <c r="I5110" s="12"/>
      <c r="J5110" s="12"/>
    </row>
    <row r="5111" spans="5:10" x14ac:dyDescent="0.25">
      <c r="E5111"/>
      <c r="F5111"/>
      <c r="G5111" s="12"/>
      <c r="H5111" s="12"/>
      <c r="I5111" s="12"/>
      <c r="J5111" s="12"/>
    </row>
    <row r="5112" spans="5:10" x14ac:dyDescent="0.25">
      <c r="E5112"/>
      <c r="F5112"/>
      <c r="G5112" s="12"/>
      <c r="H5112" s="12"/>
      <c r="I5112" s="12"/>
      <c r="J5112" s="12"/>
    </row>
    <row r="5113" spans="5:10" x14ac:dyDescent="0.25">
      <c r="E5113"/>
      <c r="F5113"/>
      <c r="G5113" s="12"/>
      <c r="H5113" s="12"/>
      <c r="I5113" s="12"/>
      <c r="J5113" s="12"/>
    </row>
    <row r="5114" spans="5:10" x14ac:dyDescent="0.25">
      <c r="E5114"/>
      <c r="F5114"/>
      <c r="G5114" s="12"/>
      <c r="H5114" s="12"/>
      <c r="I5114" s="12"/>
      <c r="J5114" s="12"/>
    </row>
    <row r="5115" spans="5:10" x14ac:dyDescent="0.25">
      <c r="E5115"/>
      <c r="F5115"/>
      <c r="G5115" s="12"/>
      <c r="H5115" s="12"/>
      <c r="I5115" s="12"/>
      <c r="J5115" s="12"/>
    </row>
    <row r="5116" spans="5:10" x14ac:dyDescent="0.25">
      <c r="E5116"/>
      <c r="F5116"/>
      <c r="G5116" s="12"/>
      <c r="H5116" s="12"/>
      <c r="I5116" s="12"/>
      <c r="J5116" s="12"/>
    </row>
    <row r="5117" spans="5:10" x14ac:dyDescent="0.25">
      <c r="E5117"/>
      <c r="F5117"/>
      <c r="G5117" s="12"/>
      <c r="H5117" s="12"/>
      <c r="I5117" s="12"/>
      <c r="J5117" s="12"/>
    </row>
    <row r="5118" spans="5:10" x14ac:dyDescent="0.25">
      <c r="E5118"/>
      <c r="F5118"/>
      <c r="G5118" s="12"/>
      <c r="H5118" s="12"/>
      <c r="I5118" s="12"/>
      <c r="J5118" s="12"/>
    </row>
    <row r="5119" spans="5:10" x14ac:dyDescent="0.25">
      <c r="E5119"/>
      <c r="F5119"/>
      <c r="G5119" s="12"/>
      <c r="H5119" s="12"/>
      <c r="I5119" s="12"/>
      <c r="J5119" s="12"/>
    </row>
    <row r="5120" spans="5:10" x14ac:dyDescent="0.25">
      <c r="E5120"/>
      <c r="F5120"/>
      <c r="G5120" s="12"/>
      <c r="H5120" s="12"/>
      <c r="I5120" s="12"/>
      <c r="J5120" s="12"/>
    </row>
    <row r="5121" spans="5:10" x14ac:dyDescent="0.25">
      <c r="E5121"/>
      <c r="F5121"/>
      <c r="G5121" s="12"/>
      <c r="H5121" s="12"/>
      <c r="I5121" s="12"/>
      <c r="J5121" s="12"/>
    </row>
    <row r="5122" spans="5:10" x14ac:dyDescent="0.25">
      <c r="E5122"/>
      <c r="F5122"/>
      <c r="G5122" s="12"/>
      <c r="H5122" s="12"/>
      <c r="I5122" s="12"/>
      <c r="J5122" s="12"/>
    </row>
    <row r="5123" spans="5:10" x14ac:dyDescent="0.25">
      <c r="E5123"/>
      <c r="F5123"/>
      <c r="G5123" s="12"/>
      <c r="H5123" s="12"/>
      <c r="I5123" s="12"/>
      <c r="J5123" s="12"/>
    </row>
    <row r="5124" spans="5:10" x14ac:dyDescent="0.25">
      <c r="E5124"/>
      <c r="F5124"/>
      <c r="G5124" s="12"/>
      <c r="H5124" s="12"/>
      <c r="I5124" s="12"/>
      <c r="J5124" s="12"/>
    </row>
    <row r="5125" spans="5:10" x14ac:dyDescent="0.25">
      <c r="E5125"/>
      <c r="F5125"/>
      <c r="G5125" s="12"/>
      <c r="H5125" s="12"/>
      <c r="I5125" s="12"/>
      <c r="J5125" s="12"/>
    </row>
    <row r="5126" spans="5:10" x14ac:dyDescent="0.25">
      <c r="E5126"/>
      <c r="F5126"/>
      <c r="G5126" s="12"/>
      <c r="H5126" s="12"/>
      <c r="I5126" s="12"/>
      <c r="J5126" s="12"/>
    </row>
    <row r="5127" spans="5:10" x14ac:dyDescent="0.25">
      <c r="E5127"/>
      <c r="F5127"/>
      <c r="G5127" s="12"/>
      <c r="H5127" s="12"/>
      <c r="I5127" s="12"/>
      <c r="J5127" s="12"/>
    </row>
    <row r="5128" spans="5:10" x14ac:dyDescent="0.25">
      <c r="E5128"/>
      <c r="F5128"/>
      <c r="G5128" s="12"/>
      <c r="H5128" s="12"/>
      <c r="I5128" s="12"/>
      <c r="J5128" s="12"/>
    </row>
    <row r="5129" spans="5:10" x14ac:dyDescent="0.25">
      <c r="E5129"/>
      <c r="F5129"/>
      <c r="G5129" s="12"/>
      <c r="H5129" s="12"/>
      <c r="I5129" s="12"/>
      <c r="J5129" s="12"/>
    </row>
    <row r="5130" spans="5:10" x14ac:dyDescent="0.25">
      <c r="E5130"/>
      <c r="F5130"/>
      <c r="G5130" s="12"/>
      <c r="H5130" s="12"/>
      <c r="I5130" s="12"/>
      <c r="J5130" s="12"/>
    </row>
    <row r="5131" spans="5:10" x14ac:dyDescent="0.25">
      <c r="E5131"/>
      <c r="F5131"/>
      <c r="G5131" s="12"/>
      <c r="H5131" s="12"/>
      <c r="I5131" s="12"/>
      <c r="J5131" s="12"/>
    </row>
    <row r="5132" spans="5:10" x14ac:dyDescent="0.25">
      <c r="E5132"/>
      <c r="F5132"/>
      <c r="G5132" s="12"/>
      <c r="H5132" s="12"/>
      <c r="I5132" s="12"/>
      <c r="J5132" s="12"/>
    </row>
    <row r="5133" spans="5:10" x14ac:dyDescent="0.25">
      <c r="E5133"/>
      <c r="F5133"/>
      <c r="G5133" s="12"/>
      <c r="H5133" s="12"/>
      <c r="I5133" s="12"/>
      <c r="J5133" s="12"/>
    </row>
    <row r="5134" spans="5:10" x14ac:dyDescent="0.25">
      <c r="E5134"/>
      <c r="F5134"/>
      <c r="G5134" s="12"/>
      <c r="H5134" s="12"/>
      <c r="I5134" s="12"/>
      <c r="J5134" s="12"/>
    </row>
    <row r="5135" spans="5:10" x14ac:dyDescent="0.25">
      <c r="E5135"/>
      <c r="F5135"/>
      <c r="G5135" s="12"/>
      <c r="H5135" s="12"/>
      <c r="I5135" s="12"/>
      <c r="J5135" s="12"/>
    </row>
    <row r="5136" spans="5:10" x14ac:dyDescent="0.25">
      <c r="E5136"/>
      <c r="F5136"/>
      <c r="G5136" s="12"/>
      <c r="H5136" s="12"/>
      <c r="I5136" s="12"/>
      <c r="J5136" s="12"/>
    </row>
    <row r="5137" spans="5:10" x14ac:dyDescent="0.25">
      <c r="E5137"/>
      <c r="F5137"/>
      <c r="G5137" s="12"/>
      <c r="H5137" s="12"/>
      <c r="I5137" s="12"/>
      <c r="J5137" s="12"/>
    </row>
    <row r="5138" spans="5:10" x14ac:dyDescent="0.25">
      <c r="E5138"/>
      <c r="F5138"/>
      <c r="G5138" s="12"/>
      <c r="H5138" s="12"/>
      <c r="I5138" s="12"/>
      <c r="J5138" s="12"/>
    </row>
    <row r="5139" spans="5:10" x14ac:dyDescent="0.25">
      <c r="E5139"/>
      <c r="F5139"/>
      <c r="G5139" s="12"/>
      <c r="H5139" s="12"/>
      <c r="I5139" s="12"/>
      <c r="J5139" s="12"/>
    </row>
    <row r="5140" spans="5:10" x14ac:dyDescent="0.25">
      <c r="E5140"/>
      <c r="F5140"/>
      <c r="G5140" s="12"/>
      <c r="H5140" s="12"/>
      <c r="I5140" s="12"/>
      <c r="J5140" s="12"/>
    </row>
    <row r="5141" spans="5:10" x14ac:dyDescent="0.25">
      <c r="E5141"/>
      <c r="F5141"/>
      <c r="G5141" s="12"/>
      <c r="H5141" s="12"/>
      <c r="I5141" s="12"/>
      <c r="J5141" s="12"/>
    </row>
    <row r="5142" spans="5:10" x14ac:dyDescent="0.25">
      <c r="E5142"/>
      <c r="F5142"/>
      <c r="G5142" s="12"/>
      <c r="H5142" s="12"/>
      <c r="I5142" s="12"/>
      <c r="J5142" s="12"/>
    </row>
    <row r="5143" spans="5:10" x14ac:dyDescent="0.25">
      <c r="E5143"/>
      <c r="F5143"/>
      <c r="G5143" s="12"/>
      <c r="H5143" s="12"/>
      <c r="I5143" s="12"/>
      <c r="J5143" s="12"/>
    </row>
    <row r="5144" spans="5:10" x14ac:dyDescent="0.25">
      <c r="E5144"/>
      <c r="F5144"/>
      <c r="G5144" s="12"/>
      <c r="H5144" s="12"/>
      <c r="I5144" s="12"/>
      <c r="J5144" s="12"/>
    </row>
    <row r="5145" spans="5:10" x14ac:dyDescent="0.25">
      <c r="E5145"/>
      <c r="F5145"/>
      <c r="G5145" s="12"/>
      <c r="H5145" s="12"/>
      <c r="I5145" s="12"/>
      <c r="J5145" s="12"/>
    </row>
    <row r="5146" spans="5:10" x14ac:dyDescent="0.25">
      <c r="E5146"/>
      <c r="F5146"/>
      <c r="G5146" s="12"/>
      <c r="H5146" s="12"/>
      <c r="I5146" s="12"/>
      <c r="J5146" s="12"/>
    </row>
    <row r="5147" spans="5:10" x14ac:dyDescent="0.25">
      <c r="E5147"/>
      <c r="F5147"/>
      <c r="G5147" s="12"/>
      <c r="H5147" s="12"/>
      <c r="I5147" s="12"/>
      <c r="J5147" s="12"/>
    </row>
    <row r="5148" spans="5:10" x14ac:dyDescent="0.25">
      <c r="E5148"/>
      <c r="F5148"/>
      <c r="G5148" s="12"/>
      <c r="H5148" s="12"/>
      <c r="I5148" s="12"/>
      <c r="J5148" s="12"/>
    </row>
    <row r="5149" spans="5:10" x14ac:dyDescent="0.25">
      <c r="E5149"/>
      <c r="F5149"/>
      <c r="G5149" s="12"/>
      <c r="H5149" s="12"/>
      <c r="I5149" s="12"/>
      <c r="J5149" s="12"/>
    </row>
    <row r="5150" spans="5:10" x14ac:dyDescent="0.25">
      <c r="E5150"/>
      <c r="F5150"/>
      <c r="G5150" s="12"/>
      <c r="H5150" s="12"/>
      <c r="I5150" s="12"/>
      <c r="J5150" s="12"/>
    </row>
    <row r="5151" spans="5:10" x14ac:dyDescent="0.25">
      <c r="E5151"/>
      <c r="F5151"/>
      <c r="G5151" s="12"/>
      <c r="H5151" s="12"/>
      <c r="I5151" s="12"/>
      <c r="J5151" s="12"/>
    </row>
    <row r="5152" spans="5:10" x14ac:dyDescent="0.25">
      <c r="E5152"/>
      <c r="F5152"/>
      <c r="G5152" s="12"/>
      <c r="H5152" s="12"/>
      <c r="I5152" s="12"/>
      <c r="J5152" s="12"/>
    </row>
    <row r="5153" spans="5:10" x14ac:dyDescent="0.25">
      <c r="E5153"/>
      <c r="F5153"/>
      <c r="G5153" s="12"/>
      <c r="H5153" s="12"/>
      <c r="I5153" s="12"/>
      <c r="J5153" s="12"/>
    </row>
    <row r="5154" spans="5:10" x14ac:dyDescent="0.25">
      <c r="E5154"/>
      <c r="F5154"/>
      <c r="G5154" s="12"/>
      <c r="H5154" s="12"/>
      <c r="I5154" s="12"/>
      <c r="J5154" s="12"/>
    </row>
    <row r="5155" spans="5:10" x14ac:dyDescent="0.25">
      <c r="E5155"/>
      <c r="F5155"/>
      <c r="G5155" s="12"/>
      <c r="H5155" s="12"/>
      <c r="I5155" s="12"/>
      <c r="J5155" s="12"/>
    </row>
    <row r="5156" spans="5:10" x14ac:dyDescent="0.25">
      <c r="E5156"/>
      <c r="F5156"/>
      <c r="G5156" s="12"/>
      <c r="H5156" s="12"/>
      <c r="I5156" s="12"/>
      <c r="J5156" s="12"/>
    </row>
    <row r="5157" spans="5:10" x14ac:dyDescent="0.25">
      <c r="E5157"/>
      <c r="F5157"/>
      <c r="G5157" s="12"/>
      <c r="H5157" s="12"/>
      <c r="I5157" s="12"/>
      <c r="J5157" s="12"/>
    </row>
    <row r="5158" spans="5:10" x14ac:dyDescent="0.25">
      <c r="E5158"/>
      <c r="F5158"/>
      <c r="G5158" s="12"/>
      <c r="H5158" s="12"/>
      <c r="I5158" s="12"/>
      <c r="J5158" s="12"/>
    </row>
    <row r="5159" spans="5:10" x14ac:dyDescent="0.25">
      <c r="E5159"/>
      <c r="F5159"/>
      <c r="G5159" s="12"/>
      <c r="H5159" s="12"/>
      <c r="I5159" s="12"/>
      <c r="J5159" s="12"/>
    </row>
    <row r="5160" spans="5:10" x14ac:dyDescent="0.25">
      <c r="E5160"/>
      <c r="F5160"/>
      <c r="G5160" s="12"/>
      <c r="H5160" s="12"/>
      <c r="I5160" s="12"/>
      <c r="J5160" s="12"/>
    </row>
    <row r="5161" spans="5:10" x14ac:dyDescent="0.25">
      <c r="E5161"/>
      <c r="F5161"/>
      <c r="G5161" s="12"/>
      <c r="H5161" s="12"/>
      <c r="I5161" s="12"/>
      <c r="J5161" s="12"/>
    </row>
    <row r="5162" spans="5:10" x14ac:dyDescent="0.25">
      <c r="E5162"/>
      <c r="F5162"/>
      <c r="G5162" s="12"/>
      <c r="H5162" s="12"/>
      <c r="I5162" s="12"/>
      <c r="J5162" s="12"/>
    </row>
    <row r="5163" spans="5:10" x14ac:dyDescent="0.25">
      <c r="E5163"/>
      <c r="F5163"/>
      <c r="G5163" s="12"/>
      <c r="H5163" s="12"/>
      <c r="I5163" s="12"/>
      <c r="J5163" s="12"/>
    </row>
    <row r="5164" spans="5:10" x14ac:dyDescent="0.25">
      <c r="E5164"/>
      <c r="F5164"/>
      <c r="G5164" s="12"/>
      <c r="H5164" s="12"/>
      <c r="I5164" s="12"/>
      <c r="J5164" s="12"/>
    </row>
    <row r="5165" spans="5:10" x14ac:dyDescent="0.25">
      <c r="E5165"/>
      <c r="F5165"/>
      <c r="G5165" s="12"/>
      <c r="H5165" s="12"/>
      <c r="I5165" s="12"/>
      <c r="J5165" s="12"/>
    </row>
    <row r="5166" spans="5:10" x14ac:dyDescent="0.25">
      <c r="E5166"/>
      <c r="F5166"/>
      <c r="G5166" s="12"/>
      <c r="H5166" s="12"/>
      <c r="I5166" s="12"/>
      <c r="J5166" s="12"/>
    </row>
    <row r="5167" spans="5:10" x14ac:dyDescent="0.25">
      <c r="E5167"/>
      <c r="F5167"/>
      <c r="G5167" s="12"/>
      <c r="H5167" s="12"/>
      <c r="I5167" s="12"/>
      <c r="J5167" s="12"/>
    </row>
    <row r="5168" spans="5:10" x14ac:dyDescent="0.25">
      <c r="E5168"/>
      <c r="F5168"/>
      <c r="G5168" s="12"/>
      <c r="H5168" s="12"/>
      <c r="I5168" s="12"/>
      <c r="J5168" s="12"/>
    </row>
    <row r="5169" spans="5:10" x14ac:dyDescent="0.25">
      <c r="E5169"/>
      <c r="F5169"/>
      <c r="G5169" s="12"/>
      <c r="H5169" s="12"/>
      <c r="I5169" s="12"/>
      <c r="J5169" s="12"/>
    </row>
    <row r="5170" spans="5:10" x14ac:dyDescent="0.25">
      <c r="E5170"/>
      <c r="F5170"/>
      <c r="G5170" s="12"/>
      <c r="H5170" s="12"/>
      <c r="I5170" s="12"/>
      <c r="J5170" s="12"/>
    </row>
    <row r="5171" spans="5:10" x14ac:dyDescent="0.25">
      <c r="E5171"/>
      <c r="F5171"/>
      <c r="G5171" s="12"/>
      <c r="H5171" s="12"/>
      <c r="I5171" s="12"/>
      <c r="J5171" s="12"/>
    </row>
    <row r="5172" spans="5:10" x14ac:dyDescent="0.25">
      <c r="E5172"/>
      <c r="F5172"/>
      <c r="G5172" s="12"/>
      <c r="H5172" s="12"/>
      <c r="I5172" s="12"/>
      <c r="J5172" s="12"/>
    </row>
    <row r="5173" spans="5:10" x14ac:dyDescent="0.25">
      <c r="E5173"/>
      <c r="F5173"/>
      <c r="G5173" s="12"/>
      <c r="H5173" s="12"/>
      <c r="I5173" s="12"/>
      <c r="J5173" s="12"/>
    </row>
    <row r="5174" spans="5:10" x14ac:dyDescent="0.25">
      <c r="E5174"/>
      <c r="F5174"/>
      <c r="G5174" s="12"/>
      <c r="H5174" s="12"/>
      <c r="I5174" s="12"/>
      <c r="J5174" s="12"/>
    </row>
    <row r="5175" spans="5:10" x14ac:dyDescent="0.25">
      <c r="E5175"/>
      <c r="F5175"/>
      <c r="G5175" s="12"/>
      <c r="H5175" s="12"/>
      <c r="I5175" s="12"/>
      <c r="J5175" s="12"/>
    </row>
    <row r="5176" spans="5:10" x14ac:dyDescent="0.25">
      <c r="E5176"/>
      <c r="F5176"/>
      <c r="G5176" s="12"/>
      <c r="H5176" s="12"/>
      <c r="I5176" s="12"/>
      <c r="J5176" s="12"/>
    </row>
    <row r="5177" spans="5:10" x14ac:dyDescent="0.25">
      <c r="E5177"/>
      <c r="F5177"/>
      <c r="G5177" s="12"/>
      <c r="H5177" s="12"/>
      <c r="I5177" s="12"/>
      <c r="J5177" s="12"/>
    </row>
    <row r="5178" spans="5:10" x14ac:dyDescent="0.25">
      <c r="E5178"/>
      <c r="F5178"/>
      <c r="G5178" s="12"/>
      <c r="H5178" s="12"/>
      <c r="I5178" s="12"/>
      <c r="J5178" s="12"/>
    </row>
    <row r="5179" spans="5:10" x14ac:dyDescent="0.25">
      <c r="E5179"/>
      <c r="F5179"/>
      <c r="G5179" s="12"/>
      <c r="H5179" s="12"/>
      <c r="I5179" s="12"/>
      <c r="J5179" s="12"/>
    </row>
    <row r="5180" spans="5:10" x14ac:dyDescent="0.25">
      <c r="E5180"/>
      <c r="F5180"/>
      <c r="G5180" s="12"/>
      <c r="H5180" s="12"/>
      <c r="I5180" s="12"/>
      <c r="J5180" s="12"/>
    </row>
    <row r="5181" spans="5:10" x14ac:dyDescent="0.25">
      <c r="E5181"/>
      <c r="F5181"/>
      <c r="G5181" s="12"/>
      <c r="H5181" s="12"/>
      <c r="I5181" s="12"/>
      <c r="J5181" s="12"/>
    </row>
    <row r="5182" spans="5:10" x14ac:dyDescent="0.25">
      <c r="E5182"/>
      <c r="F5182"/>
      <c r="G5182" s="12"/>
      <c r="H5182" s="12"/>
      <c r="I5182" s="12"/>
      <c r="J5182" s="12"/>
    </row>
    <row r="5183" spans="5:10" x14ac:dyDescent="0.25">
      <c r="E5183"/>
      <c r="F5183"/>
      <c r="G5183" s="12"/>
      <c r="H5183" s="12"/>
      <c r="I5183" s="12"/>
      <c r="J5183" s="12"/>
    </row>
    <row r="5184" spans="5:10" x14ac:dyDescent="0.25">
      <c r="E5184"/>
      <c r="F5184"/>
      <c r="G5184" s="12"/>
      <c r="H5184" s="12"/>
      <c r="I5184" s="12"/>
      <c r="J5184" s="12"/>
    </row>
    <row r="5185" spans="5:10" x14ac:dyDescent="0.25">
      <c r="E5185"/>
      <c r="F5185"/>
      <c r="G5185" s="12"/>
      <c r="H5185" s="12"/>
      <c r="I5185" s="12"/>
      <c r="J5185" s="12"/>
    </row>
    <row r="5186" spans="5:10" x14ac:dyDescent="0.25">
      <c r="E5186"/>
      <c r="F5186"/>
      <c r="G5186" s="12"/>
      <c r="H5186" s="12"/>
      <c r="I5186" s="12"/>
      <c r="J5186" s="12"/>
    </row>
    <row r="5187" spans="5:10" x14ac:dyDescent="0.25">
      <c r="E5187"/>
      <c r="F5187"/>
      <c r="G5187" s="12"/>
      <c r="H5187" s="12"/>
      <c r="I5187" s="12"/>
      <c r="J5187" s="12"/>
    </row>
    <row r="5188" spans="5:10" x14ac:dyDescent="0.25">
      <c r="E5188"/>
      <c r="F5188"/>
      <c r="G5188" s="12"/>
      <c r="H5188" s="12"/>
      <c r="I5188" s="12"/>
      <c r="J5188" s="12"/>
    </row>
    <row r="5189" spans="5:10" x14ac:dyDescent="0.25">
      <c r="E5189"/>
      <c r="F5189"/>
      <c r="G5189" s="12"/>
      <c r="H5189" s="12"/>
      <c r="I5189" s="12"/>
      <c r="J5189" s="12"/>
    </row>
    <row r="5190" spans="5:10" x14ac:dyDescent="0.25">
      <c r="E5190"/>
      <c r="F5190"/>
      <c r="G5190" s="12"/>
      <c r="H5190" s="12"/>
      <c r="I5190" s="12"/>
      <c r="J5190" s="12"/>
    </row>
    <row r="5191" spans="5:10" x14ac:dyDescent="0.25">
      <c r="E5191"/>
      <c r="F5191"/>
      <c r="G5191" s="12"/>
      <c r="H5191" s="12"/>
      <c r="I5191" s="12"/>
      <c r="J5191" s="12"/>
    </row>
    <row r="5192" spans="5:10" x14ac:dyDescent="0.25">
      <c r="E5192"/>
      <c r="F5192"/>
      <c r="G5192" s="12"/>
      <c r="H5192" s="12"/>
      <c r="I5192" s="12"/>
      <c r="J5192" s="12"/>
    </row>
    <row r="5193" spans="5:10" x14ac:dyDescent="0.25">
      <c r="E5193"/>
      <c r="F5193"/>
      <c r="G5193" s="12"/>
      <c r="H5193" s="12"/>
      <c r="I5193" s="12"/>
      <c r="J5193" s="12"/>
    </row>
    <row r="5194" spans="5:10" x14ac:dyDescent="0.25">
      <c r="E5194"/>
      <c r="F5194"/>
      <c r="G5194" s="12"/>
      <c r="H5194" s="12"/>
      <c r="I5194" s="12"/>
      <c r="J5194" s="12"/>
    </row>
    <row r="5195" spans="5:10" x14ac:dyDescent="0.25">
      <c r="E5195"/>
      <c r="F5195"/>
      <c r="G5195" s="12"/>
      <c r="H5195" s="12"/>
      <c r="I5195" s="12"/>
      <c r="J5195" s="12"/>
    </row>
    <row r="5196" spans="5:10" x14ac:dyDescent="0.25">
      <c r="E5196"/>
      <c r="F5196"/>
      <c r="G5196" s="12"/>
      <c r="H5196" s="12"/>
      <c r="I5196" s="12"/>
      <c r="J5196" s="12"/>
    </row>
    <row r="5197" spans="5:10" x14ac:dyDescent="0.25">
      <c r="E5197"/>
      <c r="F5197"/>
      <c r="G5197" s="12"/>
      <c r="H5197" s="12"/>
      <c r="I5197" s="12"/>
      <c r="J5197" s="12"/>
    </row>
    <row r="5198" spans="5:10" x14ac:dyDescent="0.25">
      <c r="E5198"/>
      <c r="F5198"/>
      <c r="G5198" s="12"/>
      <c r="H5198" s="12"/>
      <c r="I5198" s="12"/>
      <c r="J5198" s="12"/>
    </row>
    <row r="5199" spans="5:10" x14ac:dyDescent="0.25">
      <c r="E5199"/>
      <c r="F5199"/>
      <c r="G5199" s="12"/>
      <c r="H5199" s="12"/>
      <c r="I5199" s="12"/>
      <c r="J5199" s="12"/>
    </row>
    <row r="5200" spans="5:10" x14ac:dyDescent="0.25">
      <c r="E5200"/>
      <c r="F5200"/>
      <c r="G5200" s="12"/>
      <c r="H5200" s="12"/>
      <c r="I5200" s="12"/>
      <c r="J5200" s="12"/>
    </row>
    <row r="5201" spans="5:10" x14ac:dyDescent="0.25">
      <c r="E5201"/>
      <c r="F5201"/>
      <c r="G5201" s="12"/>
      <c r="H5201" s="12"/>
      <c r="I5201" s="12"/>
      <c r="J5201" s="12"/>
    </row>
    <row r="5202" spans="5:10" x14ac:dyDescent="0.25">
      <c r="E5202"/>
      <c r="F5202"/>
      <c r="G5202" s="12"/>
      <c r="H5202" s="12"/>
      <c r="I5202" s="12"/>
      <c r="J5202" s="12"/>
    </row>
    <row r="5203" spans="5:10" x14ac:dyDescent="0.25">
      <c r="E5203"/>
      <c r="F5203"/>
      <c r="G5203" s="12"/>
      <c r="H5203" s="12"/>
      <c r="I5203" s="12"/>
      <c r="J5203" s="12"/>
    </row>
    <row r="5204" spans="5:10" x14ac:dyDescent="0.25">
      <c r="E5204"/>
      <c r="F5204"/>
      <c r="G5204" s="12"/>
      <c r="H5204" s="12"/>
      <c r="I5204" s="12"/>
      <c r="J5204" s="12"/>
    </row>
    <row r="5205" spans="5:10" x14ac:dyDescent="0.25">
      <c r="E5205"/>
      <c r="F5205"/>
      <c r="G5205" s="12"/>
      <c r="H5205" s="12"/>
      <c r="I5205" s="12"/>
      <c r="J5205" s="12"/>
    </row>
    <row r="5206" spans="5:10" x14ac:dyDescent="0.25">
      <c r="E5206"/>
      <c r="F5206"/>
      <c r="G5206" s="12"/>
      <c r="H5206" s="12"/>
      <c r="I5206" s="12"/>
      <c r="J5206" s="12"/>
    </row>
    <row r="5207" spans="5:10" x14ac:dyDescent="0.25">
      <c r="E5207"/>
      <c r="F5207"/>
      <c r="G5207" s="12"/>
      <c r="H5207" s="12"/>
      <c r="I5207" s="12"/>
      <c r="J5207" s="12"/>
    </row>
    <row r="5208" spans="5:10" x14ac:dyDescent="0.25">
      <c r="E5208"/>
      <c r="F5208"/>
      <c r="G5208" s="12"/>
      <c r="H5208" s="12"/>
      <c r="I5208" s="12"/>
      <c r="J5208" s="12"/>
    </row>
    <row r="5209" spans="5:10" x14ac:dyDescent="0.25">
      <c r="E5209"/>
      <c r="F5209"/>
      <c r="G5209" s="12"/>
      <c r="H5209" s="12"/>
      <c r="I5209" s="12"/>
      <c r="J5209" s="12"/>
    </row>
    <row r="5210" spans="5:10" x14ac:dyDescent="0.25">
      <c r="E5210"/>
      <c r="F5210"/>
      <c r="G5210" s="12"/>
      <c r="H5210" s="12"/>
      <c r="I5210" s="12"/>
      <c r="J5210" s="12"/>
    </row>
    <row r="5211" spans="5:10" x14ac:dyDescent="0.25">
      <c r="E5211"/>
      <c r="F5211"/>
      <c r="G5211" s="12"/>
      <c r="H5211" s="12"/>
      <c r="I5211" s="12"/>
      <c r="J5211" s="12"/>
    </row>
    <row r="5212" spans="5:10" x14ac:dyDescent="0.25">
      <c r="E5212"/>
      <c r="F5212"/>
      <c r="G5212" s="12"/>
      <c r="H5212" s="12"/>
      <c r="I5212" s="12"/>
      <c r="J5212" s="12"/>
    </row>
    <row r="5213" spans="5:10" x14ac:dyDescent="0.25">
      <c r="E5213"/>
      <c r="F5213"/>
      <c r="G5213" s="12"/>
      <c r="H5213" s="12"/>
      <c r="I5213" s="12"/>
      <c r="J5213" s="12"/>
    </row>
    <row r="5214" spans="5:10" x14ac:dyDescent="0.25">
      <c r="E5214"/>
      <c r="F5214"/>
      <c r="G5214" s="12"/>
      <c r="H5214" s="12"/>
      <c r="I5214" s="12"/>
      <c r="J5214" s="12"/>
    </row>
    <row r="5215" spans="5:10" x14ac:dyDescent="0.25">
      <c r="E5215"/>
      <c r="F5215"/>
      <c r="G5215" s="12"/>
      <c r="H5215" s="12"/>
      <c r="I5215" s="12"/>
      <c r="J5215" s="12"/>
    </row>
    <row r="5216" spans="5:10" x14ac:dyDescent="0.25">
      <c r="E5216"/>
      <c r="F5216"/>
      <c r="G5216" s="12"/>
      <c r="H5216" s="12"/>
      <c r="I5216" s="12"/>
      <c r="J5216" s="12"/>
    </row>
    <row r="5217" spans="5:10" x14ac:dyDescent="0.25">
      <c r="E5217"/>
      <c r="F5217"/>
      <c r="G5217" s="12"/>
      <c r="H5217" s="12"/>
      <c r="I5217" s="12"/>
      <c r="J5217" s="12"/>
    </row>
    <row r="5218" spans="5:10" x14ac:dyDescent="0.25">
      <c r="E5218"/>
      <c r="F5218"/>
      <c r="G5218" s="12"/>
      <c r="H5218" s="12"/>
      <c r="I5218" s="12"/>
      <c r="J5218" s="12"/>
    </row>
    <row r="5219" spans="5:10" x14ac:dyDescent="0.25">
      <c r="E5219"/>
      <c r="F5219"/>
      <c r="G5219" s="12"/>
      <c r="H5219" s="12"/>
      <c r="I5219" s="12"/>
      <c r="J5219" s="12"/>
    </row>
    <row r="5220" spans="5:10" x14ac:dyDescent="0.25">
      <c r="E5220"/>
      <c r="F5220"/>
      <c r="G5220" s="12"/>
      <c r="H5220" s="12"/>
      <c r="I5220" s="12"/>
      <c r="J5220" s="12"/>
    </row>
    <row r="5221" spans="5:10" x14ac:dyDescent="0.25">
      <c r="E5221"/>
      <c r="F5221"/>
      <c r="G5221" s="12"/>
      <c r="H5221" s="12"/>
      <c r="I5221" s="12"/>
      <c r="J5221" s="12"/>
    </row>
    <row r="5222" spans="5:10" x14ac:dyDescent="0.25">
      <c r="E5222"/>
      <c r="F5222"/>
      <c r="G5222" s="12"/>
      <c r="H5222" s="12"/>
      <c r="I5222" s="12"/>
      <c r="J5222" s="12"/>
    </row>
    <row r="5223" spans="5:10" x14ac:dyDescent="0.25">
      <c r="E5223"/>
      <c r="F5223"/>
      <c r="G5223" s="12"/>
      <c r="H5223" s="12"/>
      <c r="I5223" s="12"/>
      <c r="J5223" s="12"/>
    </row>
    <row r="5224" spans="5:10" x14ac:dyDescent="0.25">
      <c r="E5224"/>
      <c r="F5224"/>
      <c r="G5224" s="12"/>
      <c r="H5224" s="12"/>
      <c r="I5224" s="12"/>
      <c r="J5224" s="12"/>
    </row>
    <row r="5225" spans="5:10" x14ac:dyDescent="0.25">
      <c r="E5225"/>
      <c r="F5225"/>
      <c r="G5225" s="12"/>
      <c r="H5225" s="12"/>
      <c r="I5225" s="12"/>
      <c r="J5225" s="12"/>
    </row>
    <row r="5226" spans="5:10" x14ac:dyDescent="0.25">
      <c r="E5226"/>
      <c r="F5226"/>
      <c r="G5226" s="12"/>
      <c r="H5226" s="12"/>
      <c r="I5226" s="12"/>
      <c r="J5226" s="12"/>
    </row>
    <row r="5227" spans="5:10" x14ac:dyDescent="0.25">
      <c r="E5227"/>
      <c r="F5227"/>
      <c r="G5227" s="12"/>
      <c r="H5227" s="12"/>
      <c r="I5227" s="12"/>
      <c r="J5227" s="12"/>
    </row>
    <row r="5228" spans="5:10" x14ac:dyDescent="0.25">
      <c r="E5228"/>
      <c r="F5228"/>
      <c r="G5228" s="12"/>
      <c r="H5228" s="12"/>
      <c r="I5228" s="12"/>
      <c r="J5228" s="12"/>
    </row>
    <row r="5229" spans="5:10" x14ac:dyDescent="0.25">
      <c r="E5229"/>
      <c r="F5229"/>
      <c r="G5229" s="12"/>
      <c r="H5229" s="12"/>
      <c r="I5229" s="12"/>
      <c r="J5229" s="12"/>
    </row>
    <row r="5230" spans="5:10" x14ac:dyDescent="0.25">
      <c r="E5230"/>
      <c r="F5230"/>
      <c r="G5230" s="12"/>
      <c r="H5230" s="12"/>
      <c r="I5230" s="12"/>
      <c r="J5230" s="12"/>
    </row>
    <row r="5231" spans="5:10" x14ac:dyDescent="0.25">
      <c r="E5231"/>
      <c r="F5231"/>
      <c r="G5231" s="12"/>
      <c r="H5231" s="12"/>
      <c r="I5231" s="12"/>
      <c r="J5231" s="12"/>
    </row>
    <row r="5232" spans="5:10" x14ac:dyDescent="0.25">
      <c r="E5232"/>
      <c r="F5232"/>
      <c r="G5232" s="12"/>
      <c r="H5232" s="12"/>
      <c r="I5232" s="12"/>
      <c r="J5232" s="12"/>
    </row>
    <row r="5233" spans="5:10" x14ac:dyDescent="0.25">
      <c r="E5233"/>
      <c r="F5233"/>
      <c r="G5233" s="12"/>
      <c r="H5233" s="12"/>
      <c r="I5233" s="12"/>
      <c r="J5233" s="12"/>
    </row>
    <row r="5234" spans="5:10" x14ac:dyDescent="0.25">
      <c r="E5234"/>
      <c r="F5234"/>
      <c r="G5234" s="12"/>
      <c r="H5234" s="12"/>
      <c r="I5234" s="12"/>
      <c r="J5234" s="12"/>
    </row>
    <row r="5235" spans="5:10" x14ac:dyDescent="0.25">
      <c r="E5235"/>
      <c r="F5235"/>
      <c r="G5235" s="12"/>
      <c r="H5235" s="12"/>
      <c r="I5235" s="12"/>
      <c r="J5235" s="12"/>
    </row>
    <row r="5236" spans="5:10" x14ac:dyDescent="0.25">
      <c r="E5236"/>
      <c r="F5236"/>
      <c r="G5236" s="12"/>
      <c r="H5236" s="12"/>
      <c r="I5236" s="12"/>
      <c r="J5236" s="12"/>
    </row>
    <row r="5237" spans="5:10" x14ac:dyDescent="0.25">
      <c r="E5237"/>
      <c r="F5237"/>
      <c r="G5237" s="12"/>
      <c r="H5237" s="12"/>
      <c r="I5237" s="12"/>
      <c r="J5237" s="12"/>
    </row>
    <row r="5238" spans="5:10" x14ac:dyDescent="0.25">
      <c r="E5238"/>
      <c r="F5238"/>
      <c r="G5238" s="12"/>
      <c r="H5238" s="12"/>
      <c r="I5238" s="12"/>
      <c r="J5238" s="12"/>
    </row>
    <row r="5239" spans="5:10" x14ac:dyDescent="0.25">
      <c r="E5239"/>
      <c r="F5239"/>
      <c r="G5239" s="12"/>
      <c r="H5239" s="12"/>
      <c r="I5239" s="12"/>
      <c r="J5239" s="12"/>
    </row>
    <row r="5240" spans="5:10" x14ac:dyDescent="0.25">
      <c r="E5240"/>
      <c r="F5240"/>
      <c r="G5240" s="12"/>
      <c r="H5240" s="12"/>
      <c r="I5240" s="12"/>
      <c r="J5240" s="12"/>
    </row>
    <row r="5241" spans="5:10" x14ac:dyDescent="0.25">
      <c r="E5241"/>
      <c r="F5241"/>
      <c r="G5241" s="12"/>
      <c r="H5241" s="12"/>
      <c r="I5241" s="12"/>
      <c r="J5241" s="12"/>
    </row>
    <row r="5242" spans="5:10" x14ac:dyDescent="0.25">
      <c r="E5242"/>
      <c r="F5242"/>
      <c r="G5242" s="12"/>
      <c r="H5242" s="12"/>
      <c r="I5242" s="12"/>
      <c r="J5242" s="12"/>
    </row>
    <row r="5243" spans="5:10" x14ac:dyDescent="0.25">
      <c r="E5243"/>
      <c r="F5243"/>
      <c r="G5243" s="12"/>
      <c r="H5243" s="12"/>
      <c r="I5243" s="12"/>
      <c r="J5243" s="12"/>
    </row>
    <row r="5244" spans="5:10" x14ac:dyDescent="0.25">
      <c r="E5244"/>
      <c r="F5244"/>
      <c r="G5244" s="12"/>
      <c r="H5244" s="12"/>
      <c r="I5244" s="12"/>
      <c r="J5244" s="12"/>
    </row>
    <row r="5245" spans="5:10" x14ac:dyDescent="0.25">
      <c r="E5245"/>
      <c r="F5245"/>
      <c r="G5245" s="12"/>
      <c r="H5245" s="12"/>
      <c r="I5245" s="12"/>
      <c r="J5245" s="12"/>
    </row>
    <row r="5246" spans="5:10" x14ac:dyDescent="0.25">
      <c r="E5246"/>
      <c r="F5246"/>
      <c r="G5246" s="12"/>
      <c r="H5246" s="12"/>
      <c r="I5246" s="12"/>
      <c r="J5246" s="12"/>
    </row>
    <row r="5247" spans="5:10" x14ac:dyDescent="0.25">
      <c r="E5247"/>
      <c r="F5247"/>
      <c r="G5247" s="12"/>
      <c r="H5247" s="12"/>
      <c r="I5247" s="12"/>
      <c r="J5247" s="12"/>
    </row>
    <row r="5248" spans="5:10" x14ac:dyDescent="0.25">
      <c r="E5248"/>
      <c r="F5248"/>
      <c r="G5248" s="12"/>
      <c r="H5248" s="12"/>
      <c r="I5248" s="12"/>
      <c r="J5248" s="12"/>
    </row>
    <row r="5249" spans="5:10" x14ac:dyDescent="0.25">
      <c r="E5249"/>
      <c r="F5249"/>
      <c r="G5249" s="12"/>
      <c r="H5249" s="12"/>
      <c r="I5249" s="12"/>
      <c r="J5249" s="12"/>
    </row>
    <row r="5250" spans="5:10" x14ac:dyDescent="0.25">
      <c r="E5250"/>
      <c r="F5250"/>
      <c r="G5250" s="12"/>
      <c r="H5250" s="12"/>
      <c r="I5250" s="12"/>
      <c r="J5250" s="12"/>
    </row>
    <row r="5251" spans="5:10" x14ac:dyDescent="0.25">
      <c r="E5251"/>
      <c r="F5251"/>
      <c r="G5251" s="12"/>
      <c r="H5251" s="12"/>
      <c r="I5251" s="12"/>
      <c r="J5251" s="12"/>
    </row>
    <row r="5252" spans="5:10" x14ac:dyDescent="0.25">
      <c r="E5252"/>
      <c r="F5252"/>
      <c r="G5252" s="12"/>
      <c r="H5252" s="12"/>
      <c r="I5252" s="12"/>
      <c r="J5252" s="12"/>
    </row>
    <row r="5253" spans="5:10" x14ac:dyDescent="0.25">
      <c r="E5253"/>
      <c r="F5253"/>
      <c r="G5253" s="12"/>
      <c r="H5253" s="12"/>
      <c r="I5253" s="12"/>
      <c r="J5253" s="12"/>
    </row>
    <row r="5254" spans="5:10" x14ac:dyDescent="0.25">
      <c r="E5254"/>
      <c r="F5254"/>
      <c r="G5254" s="12"/>
      <c r="H5254" s="12"/>
      <c r="I5254" s="12"/>
      <c r="J5254" s="12"/>
    </row>
    <row r="5255" spans="5:10" x14ac:dyDescent="0.25">
      <c r="E5255"/>
      <c r="F5255"/>
      <c r="G5255" s="12"/>
      <c r="H5255" s="12"/>
      <c r="I5255" s="12"/>
      <c r="J5255" s="12"/>
    </row>
    <row r="5256" spans="5:10" x14ac:dyDescent="0.25">
      <c r="E5256"/>
      <c r="F5256"/>
      <c r="G5256" s="12"/>
      <c r="H5256" s="12"/>
      <c r="I5256" s="12"/>
      <c r="J5256" s="12"/>
    </row>
    <row r="5257" spans="5:10" x14ac:dyDescent="0.25">
      <c r="E5257"/>
      <c r="F5257"/>
      <c r="G5257" s="12"/>
      <c r="H5257" s="12"/>
      <c r="I5257" s="12"/>
      <c r="J5257" s="12"/>
    </row>
    <row r="5258" spans="5:10" x14ac:dyDescent="0.25">
      <c r="E5258"/>
      <c r="F5258"/>
      <c r="G5258" s="12"/>
      <c r="H5258" s="12"/>
      <c r="I5258" s="12"/>
      <c r="J5258" s="12"/>
    </row>
    <row r="5259" spans="5:10" x14ac:dyDescent="0.25">
      <c r="E5259"/>
      <c r="F5259"/>
      <c r="G5259" s="12"/>
      <c r="H5259" s="12"/>
      <c r="I5259" s="12"/>
      <c r="J5259" s="12"/>
    </row>
    <row r="5260" spans="5:10" x14ac:dyDescent="0.25">
      <c r="E5260"/>
      <c r="F5260"/>
      <c r="G5260" s="12"/>
      <c r="H5260" s="12"/>
      <c r="I5260" s="12"/>
      <c r="J5260" s="12"/>
    </row>
    <row r="5261" spans="5:10" x14ac:dyDescent="0.25">
      <c r="E5261"/>
      <c r="F5261"/>
      <c r="G5261" s="12"/>
      <c r="H5261" s="12"/>
      <c r="I5261" s="12"/>
      <c r="J5261" s="12"/>
    </row>
    <row r="5262" spans="5:10" x14ac:dyDescent="0.25">
      <c r="E5262"/>
      <c r="F5262"/>
      <c r="G5262" s="12"/>
      <c r="H5262" s="12"/>
      <c r="I5262" s="12"/>
      <c r="J5262" s="12"/>
    </row>
    <row r="5263" spans="5:10" x14ac:dyDescent="0.25">
      <c r="E5263"/>
      <c r="F5263"/>
      <c r="G5263" s="12"/>
      <c r="H5263" s="12"/>
      <c r="I5263" s="12"/>
      <c r="J5263" s="12"/>
    </row>
    <row r="5264" spans="5:10" x14ac:dyDescent="0.25">
      <c r="E5264"/>
      <c r="F5264"/>
      <c r="G5264" s="12"/>
      <c r="H5264" s="12"/>
      <c r="I5264" s="12"/>
      <c r="J5264" s="12"/>
    </row>
    <row r="5265" spans="5:10" x14ac:dyDescent="0.25">
      <c r="E5265"/>
      <c r="F5265"/>
      <c r="G5265" s="12"/>
      <c r="H5265" s="12"/>
      <c r="I5265" s="12"/>
      <c r="J5265" s="12"/>
    </row>
    <row r="5266" spans="5:10" x14ac:dyDescent="0.25">
      <c r="E5266"/>
      <c r="F5266"/>
      <c r="G5266" s="12"/>
      <c r="H5266" s="12"/>
      <c r="I5266" s="12"/>
      <c r="J5266" s="12"/>
    </row>
    <row r="5267" spans="5:10" x14ac:dyDescent="0.25">
      <c r="E5267"/>
      <c r="F5267"/>
      <c r="G5267" s="12"/>
      <c r="H5267" s="12"/>
      <c r="I5267" s="12"/>
      <c r="J5267" s="12"/>
    </row>
    <row r="5268" spans="5:10" x14ac:dyDescent="0.25">
      <c r="E5268"/>
      <c r="F5268"/>
      <c r="G5268" s="12"/>
      <c r="H5268" s="12"/>
      <c r="I5268" s="12"/>
      <c r="J5268" s="12"/>
    </row>
    <row r="5269" spans="5:10" x14ac:dyDescent="0.25">
      <c r="E5269"/>
      <c r="F5269"/>
      <c r="G5269" s="12"/>
      <c r="H5269" s="12"/>
      <c r="I5269" s="12"/>
      <c r="J5269" s="12"/>
    </row>
    <row r="5270" spans="5:10" x14ac:dyDescent="0.25">
      <c r="E5270"/>
      <c r="F5270"/>
      <c r="G5270" s="12"/>
      <c r="H5270" s="12"/>
      <c r="I5270" s="12"/>
      <c r="J5270" s="12"/>
    </row>
    <row r="5271" spans="5:10" x14ac:dyDescent="0.25">
      <c r="E5271"/>
      <c r="F5271"/>
      <c r="G5271" s="12"/>
      <c r="H5271" s="12"/>
      <c r="I5271" s="12"/>
      <c r="J5271" s="12"/>
    </row>
    <row r="5272" spans="5:10" x14ac:dyDescent="0.25">
      <c r="E5272"/>
      <c r="F5272"/>
      <c r="G5272" s="12"/>
      <c r="H5272" s="12"/>
      <c r="I5272" s="12"/>
      <c r="J5272" s="12"/>
    </row>
    <row r="5273" spans="5:10" x14ac:dyDescent="0.25">
      <c r="E5273"/>
      <c r="F5273"/>
      <c r="G5273" s="12"/>
      <c r="H5273" s="12"/>
      <c r="I5273" s="12"/>
      <c r="J5273" s="12"/>
    </row>
    <row r="5274" spans="5:10" x14ac:dyDescent="0.25">
      <c r="E5274"/>
      <c r="F5274"/>
      <c r="G5274" s="12"/>
      <c r="H5274" s="12"/>
      <c r="I5274" s="12"/>
      <c r="J5274" s="12"/>
    </row>
    <row r="5275" spans="5:10" x14ac:dyDescent="0.25">
      <c r="E5275"/>
      <c r="F5275"/>
      <c r="G5275" s="12"/>
      <c r="H5275" s="12"/>
      <c r="I5275" s="12"/>
      <c r="J5275" s="12"/>
    </row>
    <row r="5276" spans="5:10" x14ac:dyDescent="0.25">
      <c r="E5276"/>
      <c r="F5276"/>
      <c r="G5276" s="12"/>
      <c r="H5276" s="12"/>
      <c r="I5276" s="12"/>
      <c r="J5276" s="12"/>
    </row>
    <row r="5277" spans="5:10" x14ac:dyDescent="0.25">
      <c r="E5277"/>
      <c r="F5277"/>
      <c r="G5277" s="12"/>
      <c r="H5277" s="12"/>
      <c r="I5277" s="12"/>
      <c r="J5277" s="12"/>
    </row>
    <row r="5278" spans="5:10" x14ac:dyDescent="0.25">
      <c r="E5278"/>
      <c r="F5278"/>
      <c r="G5278" s="12"/>
      <c r="H5278" s="12"/>
      <c r="I5278" s="12"/>
      <c r="J5278" s="12"/>
    </row>
    <row r="5279" spans="5:10" x14ac:dyDescent="0.25">
      <c r="E5279"/>
      <c r="F5279"/>
      <c r="G5279" s="12"/>
      <c r="H5279" s="12"/>
      <c r="I5279" s="12"/>
      <c r="J5279" s="12"/>
    </row>
    <row r="5280" spans="5:10" x14ac:dyDescent="0.25">
      <c r="E5280"/>
      <c r="F5280"/>
      <c r="G5280" s="12"/>
      <c r="H5280" s="12"/>
      <c r="I5280" s="12"/>
      <c r="J5280" s="12"/>
    </row>
    <row r="5281" spans="5:10" x14ac:dyDescent="0.25">
      <c r="E5281"/>
      <c r="F5281"/>
      <c r="G5281" s="12"/>
      <c r="H5281" s="12"/>
      <c r="I5281" s="12"/>
      <c r="J5281" s="12"/>
    </row>
    <row r="5282" spans="5:10" x14ac:dyDescent="0.25">
      <c r="E5282"/>
      <c r="F5282"/>
      <c r="G5282" s="12"/>
      <c r="H5282" s="12"/>
      <c r="I5282" s="12"/>
      <c r="J5282" s="12"/>
    </row>
    <row r="5283" spans="5:10" x14ac:dyDescent="0.25">
      <c r="E5283"/>
      <c r="F5283"/>
      <c r="G5283" s="12"/>
      <c r="H5283" s="12"/>
      <c r="I5283" s="12"/>
      <c r="J5283" s="12"/>
    </row>
    <row r="5284" spans="5:10" x14ac:dyDescent="0.25">
      <c r="E5284"/>
      <c r="F5284"/>
      <c r="G5284" s="12"/>
      <c r="H5284" s="12"/>
      <c r="I5284" s="12"/>
      <c r="J5284" s="12"/>
    </row>
    <row r="5285" spans="5:10" x14ac:dyDescent="0.25">
      <c r="E5285"/>
      <c r="F5285"/>
      <c r="G5285" s="12"/>
      <c r="H5285" s="12"/>
      <c r="I5285" s="12"/>
      <c r="J5285" s="12"/>
    </row>
    <row r="5286" spans="5:10" x14ac:dyDescent="0.25">
      <c r="E5286"/>
      <c r="F5286"/>
      <c r="G5286" s="12"/>
      <c r="H5286" s="12"/>
      <c r="I5286" s="12"/>
      <c r="J5286" s="12"/>
    </row>
    <row r="5287" spans="5:10" x14ac:dyDescent="0.25">
      <c r="E5287"/>
      <c r="F5287"/>
      <c r="G5287" s="12"/>
      <c r="H5287" s="12"/>
      <c r="I5287" s="12"/>
      <c r="J5287" s="12"/>
    </row>
    <row r="5288" spans="5:10" x14ac:dyDescent="0.25">
      <c r="E5288"/>
      <c r="F5288"/>
      <c r="G5288" s="12"/>
      <c r="H5288" s="12"/>
      <c r="I5288" s="12"/>
      <c r="J5288" s="12"/>
    </row>
    <row r="5289" spans="5:10" x14ac:dyDescent="0.25">
      <c r="E5289"/>
      <c r="F5289"/>
      <c r="G5289" s="12"/>
      <c r="H5289" s="12"/>
      <c r="I5289" s="12"/>
      <c r="J5289" s="12"/>
    </row>
    <row r="5290" spans="5:10" x14ac:dyDescent="0.25">
      <c r="E5290"/>
      <c r="F5290"/>
      <c r="G5290" s="12"/>
      <c r="H5290" s="12"/>
      <c r="I5290" s="12"/>
      <c r="J5290" s="12"/>
    </row>
    <row r="5291" spans="5:10" x14ac:dyDescent="0.25">
      <c r="E5291"/>
      <c r="F5291"/>
      <c r="G5291" s="12"/>
      <c r="H5291" s="12"/>
      <c r="I5291" s="12"/>
      <c r="J5291" s="12"/>
    </row>
    <row r="5292" spans="5:10" x14ac:dyDescent="0.25">
      <c r="E5292"/>
      <c r="F5292"/>
      <c r="G5292" s="12"/>
      <c r="H5292" s="12"/>
      <c r="I5292" s="12"/>
      <c r="J5292" s="12"/>
    </row>
    <row r="5293" spans="5:10" x14ac:dyDescent="0.25">
      <c r="E5293"/>
      <c r="F5293"/>
      <c r="G5293" s="12"/>
      <c r="H5293" s="12"/>
      <c r="I5293" s="12"/>
      <c r="J5293" s="12"/>
    </row>
    <row r="5294" spans="5:10" x14ac:dyDescent="0.25">
      <c r="E5294"/>
      <c r="F5294"/>
      <c r="G5294" s="12"/>
      <c r="H5294" s="12"/>
      <c r="I5294" s="12"/>
      <c r="J5294" s="12"/>
    </row>
    <row r="5295" spans="5:10" x14ac:dyDescent="0.25">
      <c r="E5295"/>
      <c r="F5295"/>
      <c r="G5295" s="12"/>
      <c r="H5295" s="12"/>
      <c r="I5295" s="12"/>
      <c r="J5295" s="12"/>
    </row>
    <row r="5296" spans="5:10" x14ac:dyDescent="0.25">
      <c r="E5296"/>
      <c r="F5296"/>
      <c r="G5296" s="12"/>
      <c r="H5296" s="12"/>
      <c r="I5296" s="12"/>
      <c r="J5296" s="12"/>
    </row>
    <row r="5297" spans="5:10" x14ac:dyDescent="0.25">
      <c r="E5297"/>
      <c r="F5297"/>
      <c r="G5297" s="12"/>
      <c r="H5297" s="12"/>
      <c r="I5297" s="12"/>
      <c r="J5297" s="12"/>
    </row>
    <row r="5298" spans="5:10" x14ac:dyDescent="0.25">
      <c r="E5298"/>
      <c r="F5298"/>
      <c r="G5298" s="12"/>
      <c r="H5298" s="12"/>
      <c r="I5298" s="12"/>
      <c r="J5298" s="12"/>
    </row>
    <row r="5299" spans="5:10" x14ac:dyDescent="0.25">
      <c r="E5299"/>
      <c r="F5299"/>
      <c r="G5299" s="12"/>
      <c r="H5299" s="12"/>
      <c r="I5299" s="12"/>
      <c r="J5299" s="12"/>
    </row>
    <row r="5300" spans="5:10" x14ac:dyDescent="0.25">
      <c r="E5300"/>
      <c r="F5300"/>
      <c r="G5300" s="12"/>
      <c r="H5300" s="12"/>
      <c r="I5300" s="12"/>
      <c r="J5300" s="12"/>
    </row>
    <row r="5301" spans="5:10" x14ac:dyDescent="0.25">
      <c r="E5301"/>
      <c r="F5301"/>
      <c r="G5301" s="12"/>
      <c r="H5301" s="12"/>
      <c r="I5301" s="12"/>
      <c r="J5301" s="12"/>
    </row>
    <row r="5302" spans="5:10" x14ac:dyDescent="0.25">
      <c r="E5302"/>
      <c r="F5302"/>
      <c r="G5302" s="12"/>
      <c r="H5302" s="12"/>
      <c r="I5302" s="12"/>
      <c r="J5302" s="12"/>
    </row>
    <row r="5303" spans="5:10" x14ac:dyDescent="0.25">
      <c r="E5303"/>
      <c r="F5303"/>
      <c r="G5303" s="12"/>
      <c r="H5303" s="12"/>
      <c r="I5303" s="12"/>
      <c r="J5303" s="12"/>
    </row>
    <row r="5304" spans="5:10" x14ac:dyDescent="0.25">
      <c r="E5304"/>
      <c r="F5304"/>
      <c r="G5304" s="12"/>
      <c r="H5304" s="12"/>
      <c r="I5304" s="12"/>
      <c r="J5304" s="12"/>
    </row>
    <row r="5305" spans="5:10" x14ac:dyDescent="0.25">
      <c r="E5305"/>
      <c r="F5305"/>
      <c r="G5305" s="12"/>
      <c r="H5305" s="12"/>
      <c r="I5305" s="12"/>
      <c r="J5305" s="12"/>
    </row>
    <row r="5306" spans="5:10" x14ac:dyDescent="0.25">
      <c r="E5306"/>
      <c r="F5306"/>
      <c r="G5306" s="12"/>
      <c r="H5306" s="12"/>
      <c r="I5306" s="12"/>
      <c r="J5306" s="12"/>
    </row>
    <row r="5307" spans="5:10" x14ac:dyDescent="0.25">
      <c r="E5307"/>
      <c r="F5307"/>
      <c r="G5307" s="12"/>
      <c r="H5307" s="12"/>
      <c r="I5307" s="12"/>
      <c r="J5307" s="12"/>
    </row>
    <row r="5308" spans="5:10" x14ac:dyDescent="0.25">
      <c r="E5308"/>
      <c r="F5308"/>
      <c r="G5308" s="12"/>
      <c r="H5308" s="12"/>
      <c r="I5308" s="12"/>
      <c r="J5308" s="12"/>
    </row>
    <row r="5309" spans="5:10" x14ac:dyDescent="0.25">
      <c r="E5309"/>
      <c r="F5309"/>
      <c r="G5309" s="12"/>
      <c r="H5309" s="12"/>
      <c r="I5309" s="12"/>
      <c r="J5309" s="12"/>
    </row>
    <row r="5310" spans="5:10" x14ac:dyDescent="0.25">
      <c r="E5310"/>
      <c r="F5310"/>
      <c r="G5310" s="12"/>
      <c r="H5310" s="12"/>
      <c r="I5310" s="12"/>
      <c r="J5310" s="12"/>
    </row>
    <row r="5311" spans="5:10" x14ac:dyDescent="0.25">
      <c r="E5311"/>
      <c r="F5311"/>
      <c r="G5311" s="12"/>
      <c r="H5311" s="12"/>
      <c r="I5311" s="12"/>
      <c r="J5311" s="12"/>
    </row>
    <row r="5312" spans="5:10" x14ac:dyDescent="0.25">
      <c r="E5312"/>
      <c r="F5312"/>
      <c r="G5312" s="12"/>
      <c r="H5312" s="12"/>
      <c r="I5312" s="12"/>
      <c r="J5312" s="12"/>
    </row>
    <row r="5313" spans="5:10" x14ac:dyDescent="0.25">
      <c r="E5313"/>
      <c r="F5313"/>
      <c r="G5313" s="12"/>
      <c r="H5313" s="12"/>
      <c r="I5313" s="12"/>
      <c r="J5313" s="12"/>
    </row>
    <row r="5314" spans="5:10" x14ac:dyDescent="0.25">
      <c r="E5314"/>
      <c r="F5314"/>
      <c r="G5314" s="12"/>
      <c r="H5314" s="12"/>
      <c r="I5314" s="12"/>
      <c r="J5314" s="12"/>
    </row>
    <row r="5315" spans="5:10" x14ac:dyDescent="0.25">
      <c r="E5315"/>
      <c r="F5315"/>
      <c r="G5315" s="12"/>
      <c r="H5315" s="12"/>
      <c r="I5315" s="12"/>
      <c r="J5315" s="12"/>
    </row>
    <row r="5316" spans="5:10" x14ac:dyDescent="0.25">
      <c r="E5316"/>
      <c r="F5316"/>
      <c r="G5316" s="12"/>
      <c r="H5316" s="12"/>
      <c r="I5316" s="12"/>
      <c r="J5316" s="12"/>
    </row>
    <row r="5317" spans="5:10" x14ac:dyDescent="0.25">
      <c r="E5317"/>
      <c r="F5317"/>
      <c r="G5317" s="12"/>
      <c r="H5317" s="12"/>
      <c r="I5317" s="12"/>
      <c r="J5317" s="12"/>
    </row>
    <row r="5318" spans="5:10" x14ac:dyDescent="0.25">
      <c r="E5318"/>
      <c r="F5318"/>
      <c r="G5318" s="12"/>
      <c r="H5318" s="12"/>
      <c r="I5318" s="12"/>
      <c r="J5318" s="12"/>
    </row>
    <row r="5319" spans="5:10" x14ac:dyDescent="0.25">
      <c r="E5319"/>
      <c r="F5319"/>
      <c r="G5319" s="12"/>
      <c r="H5319" s="12"/>
      <c r="I5319" s="12"/>
      <c r="J5319" s="12"/>
    </row>
    <row r="5320" spans="5:10" x14ac:dyDescent="0.25">
      <c r="E5320"/>
      <c r="F5320"/>
      <c r="G5320" s="12"/>
      <c r="H5320" s="12"/>
      <c r="I5320" s="12"/>
      <c r="J5320" s="12"/>
    </row>
    <row r="5321" spans="5:10" x14ac:dyDescent="0.25">
      <c r="E5321"/>
      <c r="F5321"/>
      <c r="G5321" s="12"/>
      <c r="H5321" s="12"/>
      <c r="I5321" s="12"/>
      <c r="J5321" s="12"/>
    </row>
    <row r="5322" spans="5:10" x14ac:dyDescent="0.25">
      <c r="E5322"/>
      <c r="F5322"/>
      <c r="G5322" s="12"/>
      <c r="H5322" s="12"/>
      <c r="I5322" s="12"/>
      <c r="J5322" s="12"/>
    </row>
    <row r="5323" spans="5:10" x14ac:dyDescent="0.25">
      <c r="E5323"/>
      <c r="F5323"/>
      <c r="G5323" s="12"/>
      <c r="H5323" s="12"/>
      <c r="I5323" s="12"/>
      <c r="J5323" s="12"/>
    </row>
    <row r="5324" spans="5:10" x14ac:dyDescent="0.25">
      <c r="E5324"/>
      <c r="F5324"/>
      <c r="G5324" s="12"/>
      <c r="H5324" s="12"/>
      <c r="I5324" s="12"/>
      <c r="J5324" s="12"/>
    </row>
    <row r="5325" spans="5:10" x14ac:dyDescent="0.25">
      <c r="E5325"/>
      <c r="F5325"/>
      <c r="G5325" s="12"/>
      <c r="H5325" s="12"/>
      <c r="I5325" s="12"/>
      <c r="J5325" s="12"/>
    </row>
    <row r="5326" spans="5:10" x14ac:dyDescent="0.25">
      <c r="E5326"/>
      <c r="F5326"/>
      <c r="G5326" s="12"/>
      <c r="H5326" s="12"/>
      <c r="I5326" s="12"/>
      <c r="J5326" s="12"/>
    </row>
    <row r="5327" spans="5:10" x14ac:dyDescent="0.25">
      <c r="E5327"/>
      <c r="F5327"/>
      <c r="G5327" s="12"/>
      <c r="H5327" s="12"/>
      <c r="I5327" s="12"/>
      <c r="J5327" s="12"/>
    </row>
    <row r="5328" spans="5:10" x14ac:dyDescent="0.25">
      <c r="E5328"/>
      <c r="F5328"/>
      <c r="G5328" s="12"/>
      <c r="H5328" s="12"/>
      <c r="I5328" s="12"/>
      <c r="J5328" s="12"/>
    </row>
    <row r="5329" spans="5:10" x14ac:dyDescent="0.25">
      <c r="E5329"/>
      <c r="F5329"/>
      <c r="G5329" s="12"/>
      <c r="H5329" s="12"/>
      <c r="I5329" s="12"/>
      <c r="J5329" s="12"/>
    </row>
    <row r="5330" spans="5:10" x14ac:dyDescent="0.25">
      <c r="E5330"/>
      <c r="F5330"/>
      <c r="G5330" s="12"/>
      <c r="H5330" s="12"/>
      <c r="I5330" s="12"/>
      <c r="J5330" s="12"/>
    </row>
    <row r="5331" spans="5:10" x14ac:dyDescent="0.25">
      <c r="E5331"/>
      <c r="F5331"/>
      <c r="G5331" s="12"/>
      <c r="H5331" s="12"/>
      <c r="I5331" s="12"/>
      <c r="J5331" s="12"/>
    </row>
    <row r="5332" spans="5:10" x14ac:dyDescent="0.25">
      <c r="E5332"/>
      <c r="F5332"/>
      <c r="G5332" s="12"/>
      <c r="H5332" s="12"/>
      <c r="I5332" s="12"/>
      <c r="J5332" s="12"/>
    </row>
    <row r="5333" spans="5:10" x14ac:dyDescent="0.25">
      <c r="E5333"/>
      <c r="F5333"/>
      <c r="G5333" s="12"/>
      <c r="H5333" s="12"/>
      <c r="I5333" s="12"/>
      <c r="J5333" s="12"/>
    </row>
    <row r="5334" spans="5:10" x14ac:dyDescent="0.25">
      <c r="E5334"/>
      <c r="F5334"/>
      <c r="G5334" s="12"/>
      <c r="H5334" s="12"/>
      <c r="I5334" s="12"/>
      <c r="J5334" s="12"/>
    </row>
    <row r="5335" spans="5:10" x14ac:dyDescent="0.25">
      <c r="E5335"/>
      <c r="F5335"/>
      <c r="G5335" s="12"/>
      <c r="H5335" s="12"/>
      <c r="I5335" s="12"/>
      <c r="J5335" s="12"/>
    </row>
    <row r="5336" spans="5:10" x14ac:dyDescent="0.25">
      <c r="E5336"/>
      <c r="F5336"/>
      <c r="G5336" s="12"/>
      <c r="H5336" s="12"/>
      <c r="I5336" s="12"/>
      <c r="J5336" s="12"/>
    </row>
    <row r="5337" spans="5:10" x14ac:dyDescent="0.25">
      <c r="E5337"/>
      <c r="F5337"/>
      <c r="G5337" s="12"/>
      <c r="H5337" s="12"/>
      <c r="I5337" s="12"/>
      <c r="J5337" s="12"/>
    </row>
    <row r="5338" spans="5:10" x14ac:dyDescent="0.25">
      <c r="E5338"/>
      <c r="F5338"/>
      <c r="G5338" s="12"/>
      <c r="H5338" s="12"/>
      <c r="I5338" s="12"/>
      <c r="J5338" s="12"/>
    </row>
    <row r="5339" spans="5:10" x14ac:dyDescent="0.25">
      <c r="E5339"/>
      <c r="F5339"/>
      <c r="G5339" s="12"/>
      <c r="H5339" s="12"/>
      <c r="I5339" s="12"/>
      <c r="J5339" s="12"/>
    </row>
    <row r="5340" spans="5:10" x14ac:dyDescent="0.25">
      <c r="E5340"/>
      <c r="F5340"/>
      <c r="G5340" s="12"/>
      <c r="H5340" s="12"/>
      <c r="I5340" s="12"/>
      <c r="J5340" s="12"/>
    </row>
    <row r="5341" spans="5:10" x14ac:dyDescent="0.25">
      <c r="E5341"/>
      <c r="F5341"/>
      <c r="G5341" s="12"/>
      <c r="H5341" s="12"/>
      <c r="I5341" s="12"/>
      <c r="J5341" s="12"/>
    </row>
    <row r="5342" spans="5:10" x14ac:dyDescent="0.25">
      <c r="E5342"/>
      <c r="F5342"/>
      <c r="G5342" s="12"/>
      <c r="H5342" s="12"/>
      <c r="I5342" s="12"/>
      <c r="J5342" s="12"/>
    </row>
    <row r="5343" spans="5:10" x14ac:dyDescent="0.25">
      <c r="E5343"/>
      <c r="F5343"/>
      <c r="G5343" s="12"/>
      <c r="H5343" s="12"/>
      <c r="I5343" s="12"/>
      <c r="J5343" s="12"/>
    </row>
    <row r="5344" spans="5:10" x14ac:dyDescent="0.25">
      <c r="E5344"/>
      <c r="F5344"/>
      <c r="G5344" s="12"/>
      <c r="H5344" s="12"/>
      <c r="I5344" s="12"/>
      <c r="J5344" s="12"/>
    </row>
    <row r="5345" spans="5:10" x14ac:dyDescent="0.25">
      <c r="E5345"/>
      <c r="F5345"/>
      <c r="G5345" s="12"/>
      <c r="H5345" s="12"/>
      <c r="I5345" s="12"/>
      <c r="J5345" s="12"/>
    </row>
    <row r="5346" spans="5:10" x14ac:dyDescent="0.25">
      <c r="E5346"/>
      <c r="F5346"/>
      <c r="G5346" s="12"/>
      <c r="H5346" s="12"/>
      <c r="I5346" s="12"/>
      <c r="J5346" s="12"/>
    </row>
    <row r="5347" spans="5:10" x14ac:dyDescent="0.25">
      <c r="E5347"/>
      <c r="F5347"/>
      <c r="G5347" s="12"/>
      <c r="H5347" s="12"/>
      <c r="I5347" s="12"/>
      <c r="J5347" s="12"/>
    </row>
    <row r="5348" spans="5:10" x14ac:dyDescent="0.25">
      <c r="E5348"/>
      <c r="F5348"/>
      <c r="G5348" s="12"/>
      <c r="H5348" s="12"/>
      <c r="I5348" s="12"/>
      <c r="J5348" s="12"/>
    </row>
    <row r="5349" spans="5:10" x14ac:dyDescent="0.25">
      <c r="E5349"/>
      <c r="F5349"/>
      <c r="G5349" s="12"/>
      <c r="H5349" s="12"/>
      <c r="I5349" s="12"/>
      <c r="J5349" s="12"/>
    </row>
    <row r="5350" spans="5:10" x14ac:dyDescent="0.25">
      <c r="E5350"/>
      <c r="F5350"/>
      <c r="G5350" s="12"/>
      <c r="H5350" s="12"/>
      <c r="I5350" s="12"/>
      <c r="J5350" s="12"/>
    </row>
    <row r="5351" spans="5:10" x14ac:dyDescent="0.25">
      <c r="E5351"/>
      <c r="F5351"/>
      <c r="G5351" s="12"/>
      <c r="H5351" s="12"/>
      <c r="I5351" s="12"/>
      <c r="J5351" s="12"/>
    </row>
    <row r="5352" spans="5:10" x14ac:dyDescent="0.25">
      <c r="E5352"/>
      <c r="F5352"/>
      <c r="G5352" s="12"/>
      <c r="H5352" s="12"/>
      <c r="I5352" s="12"/>
      <c r="J5352" s="12"/>
    </row>
    <row r="5353" spans="5:10" x14ac:dyDescent="0.25">
      <c r="E5353"/>
      <c r="F5353"/>
      <c r="G5353" s="12"/>
      <c r="H5353" s="12"/>
      <c r="I5353" s="12"/>
      <c r="J5353" s="12"/>
    </row>
    <row r="5354" spans="5:10" x14ac:dyDescent="0.25">
      <c r="E5354"/>
      <c r="F5354"/>
      <c r="G5354" s="12"/>
      <c r="H5354" s="12"/>
      <c r="I5354" s="12"/>
      <c r="J5354" s="12"/>
    </row>
    <row r="5355" spans="5:10" x14ac:dyDescent="0.25">
      <c r="E5355"/>
      <c r="F5355"/>
      <c r="G5355" s="12"/>
      <c r="H5355" s="12"/>
      <c r="I5355" s="12"/>
      <c r="J5355" s="12"/>
    </row>
    <row r="5356" spans="5:10" x14ac:dyDescent="0.25">
      <c r="E5356"/>
      <c r="F5356"/>
      <c r="G5356" s="12"/>
      <c r="H5356" s="12"/>
      <c r="I5356" s="12"/>
      <c r="J5356" s="12"/>
    </row>
    <row r="5357" spans="5:10" x14ac:dyDescent="0.25">
      <c r="E5357"/>
      <c r="F5357"/>
      <c r="G5357" s="12"/>
      <c r="H5357" s="12"/>
      <c r="I5357" s="12"/>
      <c r="J5357" s="12"/>
    </row>
    <row r="5358" spans="5:10" x14ac:dyDescent="0.25">
      <c r="E5358"/>
      <c r="F5358"/>
      <c r="G5358" s="12"/>
      <c r="H5358" s="12"/>
      <c r="I5358" s="12"/>
      <c r="J5358" s="12"/>
    </row>
    <row r="5359" spans="5:10" x14ac:dyDescent="0.25">
      <c r="E5359"/>
      <c r="F5359"/>
      <c r="G5359" s="12"/>
      <c r="H5359" s="12"/>
      <c r="I5359" s="12"/>
      <c r="J5359" s="12"/>
    </row>
    <row r="5360" spans="5:10" x14ac:dyDescent="0.25">
      <c r="E5360"/>
      <c r="F5360"/>
      <c r="G5360" s="12"/>
      <c r="H5360" s="12"/>
      <c r="I5360" s="12"/>
      <c r="J5360" s="12"/>
    </row>
    <row r="5361" spans="5:10" x14ac:dyDescent="0.25">
      <c r="E5361"/>
      <c r="F5361"/>
      <c r="G5361" s="12"/>
      <c r="H5361" s="12"/>
      <c r="I5361" s="12"/>
      <c r="J5361" s="12"/>
    </row>
    <row r="5362" spans="5:10" x14ac:dyDescent="0.25">
      <c r="E5362"/>
      <c r="F5362"/>
      <c r="G5362" s="12"/>
      <c r="H5362" s="12"/>
      <c r="I5362" s="12"/>
      <c r="J5362" s="12"/>
    </row>
    <row r="5363" spans="5:10" x14ac:dyDescent="0.25">
      <c r="E5363"/>
      <c r="F5363"/>
      <c r="G5363" s="12"/>
      <c r="H5363" s="12"/>
      <c r="I5363" s="12"/>
      <c r="J5363" s="12"/>
    </row>
    <row r="5364" spans="5:10" x14ac:dyDescent="0.25">
      <c r="E5364"/>
      <c r="F5364"/>
      <c r="G5364" s="12"/>
      <c r="H5364" s="12"/>
      <c r="I5364" s="12"/>
      <c r="J5364" s="12"/>
    </row>
    <row r="5365" spans="5:10" x14ac:dyDescent="0.25">
      <c r="E5365"/>
      <c r="F5365"/>
      <c r="G5365" s="12"/>
      <c r="H5365" s="12"/>
      <c r="I5365" s="12"/>
      <c r="J5365" s="12"/>
    </row>
    <row r="5366" spans="5:10" x14ac:dyDescent="0.25">
      <c r="E5366"/>
      <c r="F5366"/>
      <c r="G5366" s="12"/>
      <c r="H5366" s="12"/>
      <c r="I5366" s="12"/>
      <c r="J5366" s="12"/>
    </row>
    <row r="5367" spans="5:10" x14ac:dyDescent="0.25">
      <c r="E5367"/>
      <c r="F5367"/>
      <c r="G5367" s="12"/>
      <c r="H5367" s="12"/>
      <c r="I5367" s="12"/>
      <c r="J5367" s="12"/>
    </row>
    <row r="5368" spans="5:10" x14ac:dyDescent="0.25">
      <c r="E5368"/>
      <c r="F5368"/>
      <c r="G5368" s="12"/>
      <c r="H5368" s="12"/>
      <c r="I5368" s="12"/>
      <c r="J5368" s="12"/>
    </row>
    <row r="5369" spans="5:10" x14ac:dyDescent="0.25">
      <c r="E5369"/>
      <c r="F5369"/>
      <c r="G5369" s="12"/>
      <c r="H5369" s="12"/>
      <c r="I5369" s="12"/>
      <c r="J5369" s="12"/>
    </row>
    <row r="5370" spans="5:10" x14ac:dyDescent="0.25">
      <c r="E5370"/>
      <c r="F5370"/>
      <c r="G5370" s="12"/>
      <c r="H5370" s="12"/>
      <c r="I5370" s="12"/>
      <c r="J5370" s="12"/>
    </row>
    <row r="5371" spans="5:10" x14ac:dyDescent="0.25">
      <c r="E5371"/>
      <c r="F5371"/>
      <c r="G5371" s="12"/>
      <c r="H5371" s="12"/>
      <c r="I5371" s="12"/>
      <c r="J5371" s="12"/>
    </row>
    <row r="5372" spans="5:10" x14ac:dyDescent="0.25">
      <c r="E5372"/>
      <c r="F5372"/>
      <c r="G5372" s="12"/>
      <c r="H5372" s="12"/>
      <c r="I5372" s="12"/>
      <c r="J5372" s="12"/>
    </row>
    <row r="5373" spans="5:10" x14ac:dyDescent="0.25">
      <c r="E5373"/>
      <c r="F5373"/>
      <c r="G5373" s="12"/>
      <c r="H5373" s="12"/>
      <c r="I5373" s="12"/>
      <c r="J5373" s="12"/>
    </row>
    <row r="5374" spans="5:10" x14ac:dyDescent="0.25">
      <c r="E5374"/>
      <c r="F5374"/>
      <c r="G5374" s="12"/>
      <c r="H5374" s="12"/>
      <c r="I5374" s="12"/>
      <c r="J5374" s="12"/>
    </row>
    <row r="5375" spans="5:10" x14ac:dyDescent="0.25">
      <c r="E5375"/>
      <c r="F5375"/>
      <c r="G5375" s="12"/>
      <c r="H5375" s="12"/>
      <c r="I5375" s="12"/>
      <c r="J5375" s="12"/>
    </row>
    <row r="5376" spans="5:10" x14ac:dyDescent="0.25">
      <c r="E5376"/>
      <c r="F5376"/>
      <c r="G5376" s="12"/>
      <c r="H5376" s="12"/>
      <c r="I5376" s="12"/>
      <c r="J5376" s="12"/>
    </row>
    <row r="5377" spans="5:10" x14ac:dyDescent="0.25">
      <c r="E5377"/>
      <c r="F5377"/>
      <c r="G5377" s="12"/>
      <c r="H5377" s="12"/>
      <c r="I5377" s="12"/>
      <c r="J5377" s="12"/>
    </row>
    <row r="5378" spans="5:10" x14ac:dyDescent="0.25">
      <c r="E5378"/>
      <c r="F5378"/>
      <c r="G5378" s="12"/>
      <c r="H5378" s="12"/>
      <c r="I5378" s="12"/>
      <c r="J5378" s="12"/>
    </row>
    <row r="5379" spans="5:10" x14ac:dyDescent="0.25">
      <c r="E5379"/>
      <c r="F5379"/>
      <c r="G5379" s="12"/>
      <c r="H5379" s="12"/>
      <c r="I5379" s="12"/>
      <c r="J5379" s="12"/>
    </row>
    <row r="5380" spans="5:10" x14ac:dyDescent="0.25">
      <c r="E5380"/>
      <c r="F5380"/>
      <c r="G5380" s="12"/>
      <c r="H5380" s="12"/>
      <c r="I5380" s="12"/>
      <c r="J5380" s="12"/>
    </row>
    <row r="5381" spans="5:10" x14ac:dyDescent="0.25">
      <c r="E5381"/>
      <c r="F5381"/>
      <c r="G5381" s="12"/>
      <c r="H5381" s="12"/>
      <c r="I5381" s="12"/>
      <c r="J5381" s="12"/>
    </row>
    <row r="5382" spans="5:10" x14ac:dyDescent="0.25">
      <c r="E5382"/>
      <c r="F5382"/>
      <c r="G5382" s="12"/>
      <c r="H5382" s="12"/>
      <c r="I5382" s="12"/>
      <c r="J5382" s="12"/>
    </row>
    <row r="5383" spans="5:10" x14ac:dyDescent="0.25">
      <c r="E5383"/>
      <c r="F5383"/>
      <c r="G5383" s="12"/>
      <c r="H5383" s="12"/>
      <c r="I5383" s="12"/>
      <c r="J5383" s="12"/>
    </row>
    <row r="5384" spans="5:10" x14ac:dyDescent="0.25">
      <c r="E5384"/>
      <c r="F5384"/>
      <c r="G5384" s="12"/>
      <c r="H5384" s="12"/>
      <c r="I5384" s="12"/>
      <c r="J5384" s="12"/>
    </row>
    <row r="5385" spans="5:10" x14ac:dyDescent="0.25">
      <c r="E5385"/>
      <c r="F5385"/>
      <c r="G5385" s="12"/>
      <c r="H5385" s="12"/>
      <c r="I5385" s="12"/>
      <c r="J5385" s="12"/>
    </row>
    <row r="5386" spans="5:10" x14ac:dyDescent="0.25">
      <c r="E5386"/>
      <c r="F5386"/>
      <c r="G5386" s="12"/>
      <c r="H5386" s="12"/>
      <c r="I5386" s="12"/>
      <c r="J5386" s="12"/>
    </row>
    <row r="5387" spans="5:10" x14ac:dyDescent="0.25">
      <c r="E5387"/>
      <c r="F5387"/>
      <c r="G5387" s="12"/>
      <c r="H5387" s="12"/>
      <c r="I5387" s="12"/>
      <c r="J5387" s="12"/>
    </row>
    <row r="5388" spans="5:10" x14ac:dyDescent="0.25">
      <c r="E5388"/>
      <c r="F5388"/>
      <c r="G5388" s="12"/>
      <c r="H5388" s="12"/>
      <c r="I5388" s="12"/>
      <c r="J5388" s="12"/>
    </row>
    <row r="5389" spans="5:10" x14ac:dyDescent="0.25">
      <c r="E5389"/>
      <c r="F5389"/>
      <c r="G5389" s="12"/>
      <c r="H5389" s="12"/>
      <c r="I5389" s="12"/>
      <c r="J5389" s="12"/>
    </row>
    <row r="5390" spans="5:10" x14ac:dyDescent="0.25">
      <c r="E5390"/>
      <c r="F5390"/>
      <c r="G5390" s="12"/>
      <c r="H5390" s="12"/>
      <c r="I5390" s="12"/>
      <c r="J5390" s="12"/>
    </row>
    <row r="5391" spans="5:10" x14ac:dyDescent="0.25">
      <c r="E5391"/>
      <c r="F5391"/>
      <c r="G5391" s="12"/>
      <c r="H5391" s="12"/>
      <c r="I5391" s="12"/>
      <c r="J5391" s="12"/>
    </row>
    <row r="5392" spans="5:10" x14ac:dyDescent="0.25">
      <c r="E5392"/>
      <c r="F5392"/>
      <c r="G5392" s="12"/>
      <c r="H5392" s="12"/>
      <c r="I5392" s="12"/>
      <c r="J5392" s="12"/>
    </row>
    <row r="5393" spans="5:10" x14ac:dyDescent="0.25">
      <c r="E5393"/>
      <c r="F5393"/>
      <c r="G5393" s="12"/>
      <c r="H5393" s="12"/>
      <c r="I5393" s="12"/>
      <c r="J5393" s="12"/>
    </row>
    <row r="5394" spans="5:10" x14ac:dyDescent="0.25">
      <c r="E5394"/>
      <c r="F5394"/>
      <c r="G5394" s="12"/>
      <c r="H5394" s="12"/>
      <c r="I5394" s="12"/>
      <c r="J5394" s="12"/>
    </row>
    <row r="5395" spans="5:10" x14ac:dyDescent="0.25">
      <c r="E5395"/>
      <c r="F5395"/>
      <c r="G5395" s="12"/>
      <c r="H5395" s="12"/>
      <c r="I5395" s="12"/>
      <c r="J5395" s="12"/>
    </row>
    <row r="5396" spans="5:10" x14ac:dyDescent="0.25">
      <c r="E5396"/>
      <c r="F5396"/>
      <c r="G5396" s="12"/>
      <c r="H5396" s="12"/>
      <c r="I5396" s="12"/>
      <c r="J5396" s="12"/>
    </row>
    <row r="5397" spans="5:10" x14ac:dyDescent="0.25">
      <c r="E5397"/>
      <c r="F5397"/>
      <c r="G5397" s="12"/>
      <c r="H5397" s="12"/>
      <c r="I5397" s="12"/>
      <c r="J5397" s="12"/>
    </row>
    <row r="5398" spans="5:10" x14ac:dyDescent="0.25">
      <c r="E5398"/>
      <c r="F5398"/>
      <c r="G5398" s="12"/>
      <c r="H5398" s="12"/>
      <c r="I5398" s="12"/>
      <c r="J5398" s="12"/>
    </row>
    <row r="5399" spans="5:10" x14ac:dyDescent="0.25">
      <c r="E5399"/>
      <c r="F5399"/>
      <c r="G5399" s="12"/>
      <c r="H5399" s="12"/>
      <c r="I5399" s="12"/>
      <c r="J5399" s="12"/>
    </row>
    <row r="5400" spans="5:10" x14ac:dyDescent="0.25">
      <c r="E5400"/>
      <c r="F5400"/>
      <c r="G5400" s="12"/>
      <c r="H5400" s="12"/>
      <c r="I5400" s="12"/>
      <c r="J5400" s="12"/>
    </row>
    <row r="5401" spans="5:10" x14ac:dyDescent="0.25">
      <c r="E5401"/>
      <c r="F5401"/>
      <c r="G5401" s="12"/>
      <c r="H5401" s="12"/>
      <c r="I5401" s="12"/>
      <c r="J5401" s="12"/>
    </row>
    <row r="5402" spans="5:10" x14ac:dyDescent="0.25">
      <c r="E5402"/>
      <c r="F5402"/>
      <c r="G5402" s="12"/>
      <c r="H5402" s="12"/>
      <c r="I5402" s="12"/>
      <c r="J5402" s="12"/>
    </row>
    <row r="5403" spans="5:10" x14ac:dyDescent="0.25">
      <c r="E5403"/>
      <c r="F5403"/>
      <c r="G5403" s="12"/>
      <c r="H5403" s="12"/>
      <c r="I5403" s="12"/>
      <c r="J5403" s="12"/>
    </row>
    <row r="5404" spans="5:10" x14ac:dyDescent="0.25">
      <c r="E5404"/>
      <c r="F5404"/>
      <c r="G5404" s="12"/>
      <c r="H5404" s="12"/>
      <c r="I5404" s="12"/>
      <c r="J5404" s="12"/>
    </row>
    <row r="5405" spans="5:10" x14ac:dyDescent="0.25">
      <c r="E5405"/>
      <c r="F5405"/>
      <c r="G5405" s="12"/>
      <c r="H5405" s="12"/>
      <c r="I5405" s="12"/>
      <c r="J5405" s="12"/>
    </row>
    <row r="5406" spans="5:10" x14ac:dyDescent="0.25">
      <c r="E5406"/>
      <c r="F5406"/>
      <c r="G5406" s="12"/>
      <c r="H5406" s="12"/>
      <c r="I5406" s="12"/>
      <c r="J5406" s="12"/>
    </row>
    <row r="5407" spans="5:10" x14ac:dyDescent="0.25">
      <c r="E5407"/>
      <c r="F5407"/>
      <c r="G5407" s="12"/>
      <c r="H5407" s="12"/>
      <c r="I5407" s="12"/>
      <c r="J5407" s="12"/>
    </row>
    <row r="5408" spans="5:10" x14ac:dyDescent="0.25">
      <c r="E5408"/>
      <c r="F5408"/>
      <c r="G5408" s="12"/>
      <c r="H5408" s="12"/>
      <c r="I5408" s="12"/>
      <c r="J5408" s="12"/>
    </row>
    <row r="5409" spans="5:10" x14ac:dyDescent="0.25">
      <c r="E5409"/>
      <c r="F5409"/>
      <c r="G5409" s="12"/>
      <c r="H5409" s="12"/>
      <c r="I5409" s="12"/>
      <c r="J5409" s="12"/>
    </row>
    <row r="5410" spans="5:10" x14ac:dyDescent="0.25">
      <c r="E5410"/>
      <c r="F5410"/>
      <c r="G5410" s="12"/>
      <c r="H5410" s="12"/>
      <c r="I5410" s="12"/>
      <c r="J5410" s="12"/>
    </row>
    <row r="5411" spans="5:10" x14ac:dyDescent="0.25">
      <c r="E5411"/>
      <c r="F5411"/>
      <c r="G5411" s="12"/>
      <c r="H5411" s="12"/>
      <c r="I5411" s="12"/>
      <c r="J5411" s="12"/>
    </row>
    <row r="5412" spans="5:10" x14ac:dyDescent="0.25">
      <c r="E5412"/>
      <c r="F5412"/>
      <c r="G5412" s="12"/>
      <c r="H5412" s="12"/>
      <c r="I5412" s="12"/>
      <c r="J5412" s="12"/>
    </row>
    <row r="5413" spans="5:10" x14ac:dyDescent="0.25">
      <c r="E5413"/>
      <c r="F5413"/>
      <c r="G5413" s="12"/>
      <c r="H5413" s="12"/>
      <c r="I5413" s="12"/>
      <c r="J5413" s="12"/>
    </row>
    <row r="5414" spans="5:10" x14ac:dyDescent="0.25">
      <c r="E5414"/>
      <c r="F5414"/>
      <c r="G5414" s="12"/>
      <c r="H5414" s="12"/>
      <c r="I5414" s="12"/>
      <c r="J5414" s="12"/>
    </row>
    <row r="5415" spans="5:10" x14ac:dyDescent="0.25">
      <c r="E5415"/>
      <c r="F5415"/>
      <c r="G5415" s="12"/>
      <c r="H5415" s="12"/>
      <c r="I5415" s="12"/>
      <c r="J5415" s="12"/>
    </row>
    <row r="5416" spans="5:10" x14ac:dyDescent="0.25">
      <c r="E5416"/>
      <c r="F5416"/>
      <c r="G5416" s="12"/>
      <c r="H5416" s="12"/>
      <c r="I5416" s="12"/>
      <c r="J5416" s="12"/>
    </row>
    <row r="5417" spans="5:10" x14ac:dyDescent="0.25">
      <c r="E5417"/>
      <c r="F5417"/>
      <c r="G5417" s="12"/>
      <c r="H5417" s="12"/>
      <c r="I5417" s="12"/>
      <c r="J5417" s="12"/>
    </row>
    <row r="5418" spans="5:10" x14ac:dyDescent="0.25">
      <c r="E5418"/>
      <c r="F5418"/>
      <c r="G5418" s="12"/>
      <c r="H5418" s="12"/>
      <c r="I5418" s="12"/>
      <c r="J5418" s="12"/>
    </row>
    <row r="5419" spans="5:10" x14ac:dyDescent="0.25">
      <c r="E5419"/>
      <c r="F5419"/>
      <c r="G5419" s="12"/>
      <c r="H5419" s="12"/>
      <c r="I5419" s="12"/>
      <c r="J5419" s="12"/>
    </row>
    <row r="5420" spans="5:10" x14ac:dyDescent="0.25">
      <c r="E5420"/>
      <c r="F5420"/>
      <c r="G5420" s="12"/>
      <c r="H5420" s="12"/>
      <c r="I5420" s="12"/>
      <c r="J5420" s="12"/>
    </row>
    <row r="5421" spans="5:10" x14ac:dyDescent="0.25">
      <c r="E5421"/>
      <c r="F5421"/>
      <c r="G5421" s="12"/>
      <c r="H5421" s="12"/>
      <c r="I5421" s="12"/>
      <c r="J5421" s="12"/>
    </row>
    <row r="5422" spans="5:10" x14ac:dyDescent="0.25">
      <c r="E5422"/>
      <c r="F5422"/>
      <c r="G5422" s="12"/>
      <c r="H5422" s="12"/>
      <c r="I5422" s="12"/>
      <c r="J5422" s="12"/>
    </row>
    <row r="5423" spans="5:10" x14ac:dyDescent="0.25">
      <c r="E5423"/>
      <c r="F5423"/>
      <c r="G5423" s="12"/>
      <c r="H5423" s="12"/>
      <c r="I5423" s="12"/>
      <c r="J5423" s="12"/>
    </row>
    <row r="5424" spans="5:10" x14ac:dyDescent="0.25">
      <c r="E5424"/>
      <c r="F5424"/>
      <c r="G5424" s="12"/>
      <c r="H5424" s="12"/>
      <c r="I5424" s="12"/>
      <c r="J5424" s="12"/>
    </row>
    <row r="5425" spans="5:10" x14ac:dyDescent="0.25">
      <c r="E5425"/>
      <c r="F5425"/>
      <c r="G5425" s="12"/>
      <c r="H5425" s="12"/>
      <c r="I5425" s="12"/>
      <c r="J5425" s="12"/>
    </row>
    <row r="5426" spans="5:10" x14ac:dyDescent="0.25">
      <c r="E5426"/>
      <c r="F5426"/>
      <c r="G5426" s="12"/>
      <c r="H5426" s="12"/>
      <c r="I5426" s="12"/>
      <c r="J5426" s="12"/>
    </row>
    <row r="5427" spans="5:10" x14ac:dyDescent="0.25">
      <c r="E5427"/>
      <c r="F5427"/>
      <c r="G5427" s="12"/>
      <c r="H5427" s="12"/>
      <c r="I5427" s="12"/>
      <c r="J5427" s="12"/>
    </row>
    <row r="5428" spans="5:10" x14ac:dyDescent="0.25">
      <c r="E5428"/>
      <c r="F5428"/>
      <c r="G5428" s="12"/>
      <c r="H5428" s="12"/>
      <c r="I5428" s="12"/>
      <c r="J5428" s="12"/>
    </row>
    <row r="5429" spans="5:10" x14ac:dyDescent="0.25">
      <c r="E5429"/>
      <c r="F5429"/>
      <c r="G5429" s="12"/>
      <c r="H5429" s="12"/>
      <c r="I5429" s="12"/>
      <c r="J5429" s="12"/>
    </row>
    <row r="5430" spans="5:10" x14ac:dyDescent="0.25">
      <c r="E5430"/>
      <c r="F5430"/>
      <c r="G5430" s="12"/>
      <c r="H5430" s="12"/>
      <c r="I5430" s="12"/>
      <c r="J5430" s="12"/>
    </row>
    <row r="5431" spans="5:10" x14ac:dyDescent="0.25">
      <c r="E5431"/>
      <c r="F5431"/>
      <c r="G5431" s="12"/>
      <c r="H5431" s="12"/>
      <c r="I5431" s="12"/>
      <c r="J5431" s="12"/>
    </row>
    <row r="5432" spans="5:10" x14ac:dyDescent="0.25">
      <c r="E5432"/>
      <c r="F5432"/>
      <c r="G5432" s="12"/>
      <c r="H5432" s="12"/>
      <c r="I5432" s="12"/>
      <c r="J5432" s="12"/>
    </row>
    <row r="5433" spans="5:10" x14ac:dyDescent="0.25">
      <c r="E5433"/>
      <c r="F5433"/>
      <c r="G5433" s="12"/>
      <c r="H5433" s="12"/>
      <c r="I5433" s="12"/>
      <c r="J5433" s="12"/>
    </row>
    <row r="5434" spans="5:10" x14ac:dyDescent="0.25">
      <c r="E5434"/>
      <c r="F5434"/>
      <c r="G5434" s="12"/>
      <c r="H5434" s="12"/>
      <c r="I5434" s="12"/>
      <c r="J5434" s="12"/>
    </row>
    <row r="5435" spans="5:10" x14ac:dyDescent="0.25">
      <c r="E5435"/>
      <c r="F5435"/>
      <c r="G5435" s="12"/>
      <c r="H5435" s="12"/>
      <c r="I5435" s="12"/>
      <c r="J5435" s="12"/>
    </row>
    <row r="5436" spans="5:10" x14ac:dyDescent="0.25">
      <c r="E5436"/>
      <c r="F5436"/>
      <c r="G5436" s="12"/>
      <c r="H5436" s="12"/>
      <c r="I5436" s="12"/>
      <c r="J5436" s="12"/>
    </row>
    <row r="5437" spans="5:10" x14ac:dyDescent="0.25">
      <c r="E5437"/>
      <c r="F5437"/>
      <c r="G5437" s="12"/>
      <c r="H5437" s="12"/>
      <c r="I5437" s="12"/>
      <c r="J5437" s="12"/>
    </row>
    <row r="5438" spans="5:10" x14ac:dyDescent="0.25">
      <c r="E5438"/>
      <c r="F5438"/>
      <c r="G5438" s="12"/>
      <c r="H5438" s="12"/>
      <c r="I5438" s="12"/>
      <c r="J5438" s="12"/>
    </row>
    <row r="5439" spans="5:10" x14ac:dyDescent="0.25">
      <c r="E5439"/>
      <c r="F5439"/>
      <c r="G5439" s="12"/>
      <c r="H5439" s="12"/>
      <c r="I5439" s="12"/>
      <c r="J5439" s="12"/>
    </row>
    <row r="5440" spans="5:10" x14ac:dyDescent="0.25">
      <c r="E5440"/>
      <c r="F5440"/>
      <c r="G5440" s="12"/>
      <c r="H5440" s="12"/>
      <c r="I5440" s="12"/>
      <c r="J5440" s="12"/>
    </row>
    <row r="5441" spans="5:10" x14ac:dyDescent="0.25">
      <c r="E5441"/>
      <c r="F5441"/>
      <c r="G5441" s="12"/>
      <c r="H5441" s="12"/>
      <c r="I5441" s="12"/>
      <c r="J5441" s="12"/>
    </row>
    <row r="5442" spans="5:10" x14ac:dyDescent="0.25">
      <c r="E5442"/>
      <c r="F5442"/>
      <c r="G5442" s="12"/>
      <c r="H5442" s="12"/>
      <c r="I5442" s="12"/>
      <c r="J5442" s="12"/>
    </row>
    <row r="5443" spans="5:10" x14ac:dyDescent="0.25">
      <c r="E5443"/>
      <c r="F5443"/>
      <c r="G5443" s="12"/>
      <c r="H5443" s="12"/>
      <c r="I5443" s="12"/>
      <c r="J5443" s="12"/>
    </row>
    <row r="5444" spans="5:10" x14ac:dyDescent="0.25">
      <c r="E5444"/>
      <c r="F5444"/>
      <c r="G5444" s="12"/>
      <c r="H5444" s="12"/>
      <c r="I5444" s="12"/>
      <c r="J5444" s="12"/>
    </row>
    <row r="5445" spans="5:10" x14ac:dyDescent="0.25">
      <c r="E5445"/>
      <c r="F5445"/>
      <c r="G5445" s="12"/>
      <c r="H5445" s="12"/>
      <c r="I5445" s="12"/>
      <c r="J5445" s="12"/>
    </row>
    <row r="5446" spans="5:10" x14ac:dyDescent="0.25">
      <c r="E5446"/>
      <c r="F5446"/>
      <c r="G5446" s="12"/>
      <c r="H5446" s="12"/>
      <c r="I5446" s="12"/>
      <c r="J5446" s="12"/>
    </row>
    <row r="5447" spans="5:10" x14ac:dyDescent="0.25">
      <c r="E5447"/>
      <c r="F5447"/>
      <c r="G5447" s="12"/>
      <c r="H5447" s="12"/>
      <c r="I5447" s="12"/>
      <c r="J5447" s="12"/>
    </row>
    <row r="5448" spans="5:10" x14ac:dyDescent="0.25">
      <c r="E5448"/>
      <c r="F5448"/>
      <c r="G5448" s="12"/>
      <c r="H5448" s="12"/>
      <c r="I5448" s="12"/>
      <c r="J5448" s="12"/>
    </row>
    <row r="5449" spans="5:10" x14ac:dyDescent="0.25">
      <c r="E5449"/>
      <c r="F5449"/>
      <c r="G5449" s="12"/>
      <c r="H5449" s="12"/>
      <c r="I5449" s="12"/>
      <c r="J5449" s="12"/>
    </row>
    <row r="5450" spans="5:10" x14ac:dyDescent="0.25">
      <c r="E5450"/>
      <c r="F5450"/>
      <c r="G5450" s="12"/>
      <c r="H5450" s="12"/>
      <c r="I5450" s="12"/>
      <c r="J5450" s="12"/>
    </row>
    <row r="5451" spans="5:10" x14ac:dyDescent="0.25">
      <c r="E5451"/>
      <c r="F5451"/>
      <c r="G5451" s="12"/>
      <c r="H5451" s="12"/>
      <c r="I5451" s="12"/>
      <c r="J5451" s="12"/>
    </row>
    <row r="5452" spans="5:10" x14ac:dyDescent="0.25">
      <c r="E5452"/>
      <c r="F5452"/>
      <c r="G5452" s="12"/>
      <c r="H5452" s="12"/>
      <c r="I5452" s="12"/>
      <c r="J5452" s="12"/>
    </row>
    <row r="5453" spans="5:10" x14ac:dyDescent="0.25">
      <c r="E5453"/>
      <c r="F5453"/>
      <c r="G5453" s="12"/>
      <c r="H5453" s="12"/>
      <c r="I5453" s="12"/>
      <c r="J5453" s="12"/>
    </row>
    <row r="5454" spans="5:10" x14ac:dyDescent="0.25">
      <c r="E5454"/>
      <c r="F5454"/>
      <c r="G5454" s="12"/>
      <c r="H5454" s="12"/>
      <c r="I5454" s="12"/>
      <c r="J5454" s="12"/>
    </row>
    <row r="5455" spans="5:10" x14ac:dyDescent="0.25">
      <c r="E5455"/>
      <c r="F5455"/>
      <c r="G5455" s="12"/>
      <c r="H5455" s="12"/>
      <c r="I5455" s="12"/>
      <c r="J5455" s="12"/>
    </row>
    <row r="5456" spans="5:10" x14ac:dyDescent="0.25">
      <c r="E5456"/>
      <c r="F5456"/>
      <c r="G5456" s="12"/>
      <c r="H5456" s="12"/>
      <c r="I5456" s="12"/>
      <c r="J5456" s="12"/>
    </row>
    <row r="5457" spans="5:10" x14ac:dyDescent="0.25">
      <c r="E5457"/>
      <c r="F5457"/>
      <c r="G5457" s="12"/>
      <c r="H5457" s="12"/>
      <c r="I5457" s="12"/>
      <c r="J5457" s="12"/>
    </row>
    <row r="5458" spans="5:10" x14ac:dyDescent="0.25">
      <c r="E5458"/>
      <c r="F5458"/>
      <c r="G5458" s="12"/>
      <c r="H5458" s="12"/>
      <c r="I5458" s="12"/>
      <c r="J5458" s="12"/>
    </row>
    <row r="5459" spans="5:10" x14ac:dyDescent="0.25">
      <c r="E5459"/>
      <c r="F5459"/>
      <c r="G5459" s="12"/>
      <c r="H5459" s="12"/>
      <c r="I5459" s="12"/>
      <c r="J5459" s="12"/>
    </row>
    <row r="5460" spans="5:10" x14ac:dyDescent="0.25">
      <c r="E5460"/>
      <c r="F5460"/>
      <c r="G5460" s="12"/>
      <c r="H5460" s="12"/>
      <c r="I5460" s="12"/>
      <c r="J5460" s="12"/>
    </row>
    <row r="5461" spans="5:10" x14ac:dyDescent="0.25">
      <c r="E5461"/>
      <c r="F5461"/>
      <c r="G5461" s="12"/>
      <c r="H5461" s="12"/>
      <c r="I5461" s="12"/>
      <c r="J5461" s="12"/>
    </row>
    <row r="5462" spans="5:10" x14ac:dyDescent="0.25">
      <c r="E5462"/>
      <c r="F5462"/>
      <c r="G5462" s="12"/>
      <c r="H5462" s="12"/>
      <c r="I5462" s="12"/>
      <c r="J5462" s="12"/>
    </row>
    <row r="5463" spans="5:10" x14ac:dyDescent="0.25">
      <c r="E5463"/>
      <c r="F5463"/>
      <c r="G5463" s="12"/>
      <c r="H5463" s="12"/>
      <c r="I5463" s="12"/>
      <c r="J5463" s="12"/>
    </row>
    <row r="5464" spans="5:10" x14ac:dyDescent="0.25">
      <c r="E5464"/>
      <c r="F5464"/>
      <c r="G5464" s="12"/>
      <c r="H5464" s="12"/>
      <c r="I5464" s="12"/>
      <c r="J5464" s="12"/>
    </row>
    <row r="5465" spans="5:10" x14ac:dyDescent="0.25">
      <c r="E5465"/>
      <c r="F5465"/>
      <c r="G5465" s="12"/>
      <c r="H5465" s="12"/>
      <c r="I5465" s="12"/>
      <c r="J5465" s="12"/>
    </row>
    <row r="5466" spans="5:10" x14ac:dyDescent="0.25">
      <c r="E5466"/>
      <c r="F5466"/>
      <c r="G5466" s="12"/>
      <c r="H5466" s="12"/>
      <c r="I5466" s="12"/>
      <c r="J5466" s="12"/>
    </row>
    <row r="5467" spans="5:10" x14ac:dyDescent="0.25">
      <c r="E5467"/>
      <c r="F5467"/>
      <c r="G5467" s="12"/>
      <c r="H5467" s="12"/>
      <c r="I5467" s="12"/>
      <c r="J5467" s="12"/>
    </row>
    <row r="5468" spans="5:10" x14ac:dyDescent="0.25">
      <c r="E5468"/>
      <c r="F5468"/>
      <c r="G5468" s="12"/>
      <c r="H5468" s="12"/>
      <c r="I5468" s="12"/>
      <c r="J5468" s="12"/>
    </row>
    <row r="5469" spans="5:10" x14ac:dyDescent="0.25">
      <c r="E5469"/>
      <c r="F5469"/>
      <c r="G5469" s="12"/>
      <c r="H5469" s="12"/>
      <c r="I5469" s="12"/>
      <c r="J5469" s="12"/>
    </row>
    <row r="5470" spans="5:10" x14ac:dyDescent="0.25">
      <c r="E5470"/>
      <c r="F5470"/>
      <c r="G5470" s="12"/>
      <c r="H5470" s="12"/>
      <c r="I5470" s="12"/>
      <c r="J5470" s="12"/>
    </row>
    <row r="5471" spans="5:10" x14ac:dyDescent="0.25">
      <c r="E5471"/>
      <c r="F5471"/>
      <c r="G5471" s="12"/>
      <c r="H5471" s="12"/>
      <c r="I5471" s="12"/>
      <c r="J5471" s="12"/>
    </row>
    <row r="5472" spans="5:10" x14ac:dyDescent="0.25">
      <c r="E5472"/>
      <c r="F5472"/>
      <c r="G5472" s="12"/>
      <c r="H5472" s="12"/>
      <c r="I5472" s="12"/>
      <c r="J5472" s="12"/>
    </row>
    <row r="5473" spans="5:10" x14ac:dyDescent="0.25">
      <c r="E5473"/>
      <c r="F5473"/>
      <c r="G5473" s="12"/>
      <c r="H5473" s="12"/>
      <c r="I5473" s="12"/>
      <c r="J5473" s="12"/>
    </row>
    <row r="5474" spans="5:10" x14ac:dyDescent="0.25">
      <c r="E5474"/>
      <c r="F5474"/>
      <c r="G5474" s="12"/>
      <c r="H5474" s="12"/>
      <c r="I5474" s="12"/>
      <c r="J5474" s="12"/>
    </row>
    <row r="5475" spans="5:10" x14ac:dyDescent="0.25">
      <c r="E5475"/>
      <c r="F5475"/>
      <c r="G5475" s="12"/>
      <c r="H5475" s="12"/>
      <c r="I5475" s="12"/>
      <c r="J5475" s="12"/>
    </row>
    <row r="5476" spans="5:10" x14ac:dyDescent="0.25">
      <c r="E5476"/>
      <c r="F5476"/>
      <c r="G5476" s="12"/>
      <c r="H5476" s="12"/>
      <c r="I5476" s="12"/>
      <c r="J5476" s="12"/>
    </row>
    <row r="5477" spans="5:10" x14ac:dyDescent="0.25">
      <c r="E5477"/>
      <c r="F5477"/>
      <c r="G5477" s="12"/>
      <c r="H5477" s="12"/>
      <c r="I5477" s="12"/>
      <c r="J5477" s="12"/>
    </row>
    <row r="5478" spans="5:10" x14ac:dyDescent="0.25">
      <c r="E5478"/>
      <c r="F5478"/>
      <c r="G5478" s="12"/>
      <c r="H5478" s="12"/>
      <c r="I5478" s="12"/>
      <c r="J5478" s="12"/>
    </row>
    <row r="5479" spans="5:10" x14ac:dyDescent="0.25">
      <c r="E5479"/>
      <c r="F5479"/>
      <c r="G5479" s="12"/>
      <c r="H5479" s="12"/>
      <c r="I5479" s="12"/>
      <c r="J5479" s="12"/>
    </row>
    <row r="5480" spans="5:10" x14ac:dyDescent="0.25">
      <c r="E5480"/>
      <c r="F5480"/>
      <c r="G5480" s="12"/>
      <c r="H5480" s="12"/>
      <c r="I5480" s="12"/>
      <c r="J5480" s="12"/>
    </row>
    <row r="5481" spans="5:10" x14ac:dyDescent="0.25">
      <c r="E5481"/>
      <c r="F5481"/>
      <c r="G5481" s="12"/>
      <c r="H5481" s="12"/>
      <c r="I5481" s="12"/>
      <c r="J5481" s="12"/>
    </row>
    <row r="5482" spans="5:10" x14ac:dyDescent="0.25">
      <c r="E5482"/>
      <c r="F5482"/>
      <c r="G5482" s="12"/>
      <c r="H5482" s="12"/>
      <c r="I5482" s="12"/>
      <c r="J5482" s="12"/>
    </row>
    <row r="5483" spans="5:10" x14ac:dyDescent="0.25">
      <c r="E5483"/>
      <c r="F5483"/>
      <c r="G5483" s="12"/>
      <c r="H5483" s="12"/>
      <c r="I5483" s="12"/>
      <c r="J5483" s="12"/>
    </row>
    <row r="5484" spans="5:10" x14ac:dyDescent="0.25">
      <c r="E5484"/>
      <c r="F5484"/>
      <c r="G5484" s="12"/>
      <c r="H5484" s="12"/>
      <c r="I5484" s="12"/>
      <c r="J5484" s="12"/>
    </row>
    <row r="5485" spans="5:10" x14ac:dyDescent="0.25">
      <c r="E5485"/>
      <c r="F5485"/>
      <c r="G5485" s="12"/>
      <c r="H5485" s="12"/>
      <c r="I5485" s="12"/>
      <c r="J5485" s="12"/>
    </row>
    <row r="5486" spans="5:10" x14ac:dyDescent="0.25">
      <c r="E5486"/>
      <c r="F5486"/>
      <c r="G5486" s="12"/>
      <c r="H5486" s="12"/>
      <c r="I5486" s="12"/>
      <c r="J5486" s="12"/>
    </row>
    <row r="5487" spans="5:10" x14ac:dyDescent="0.25">
      <c r="E5487"/>
      <c r="F5487"/>
      <c r="G5487" s="12"/>
      <c r="H5487" s="12"/>
      <c r="I5487" s="12"/>
      <c r="J5487" s="12"/>
    </row>
    <row r="5488" spans="5:10" x14ac:dyDescent="0.25">
      <c r="E5488"/>
      <c r="F5488"/>
      <c r="G5488" s="12"/>
      <c r="H5488" s="12"/>
      <c r="I5488" s="12"/>
      <c r="J5488" s="12"/>
    </row>
    <row r="5489" spans="5:10" x14ac:dyDescent="0.25">
      <c r="E5489"/>
      <c r="F5489"/>
      <c r="G5489" s="12"/>
      <c r="H5489" s="12"/>
      <c r="I5489" s="12"/>
      <c r="J5489" s="12"/>
    </row>
    <row r="5490" spans="5:10" x14ac:dyDescent="0.25">
      <c r="E5490"/>
      <c r="F5490"/>
      <c r="G5490" s="12"/>
      <c r="H5490" s="12"/>
      <c r="I5490" s="12"/>
      <c r="J5490" s="12"/>
    </row>
    <row r="5491" spans="5:10" x14ac:dyDescent="0.25">
      <c r="E5491"/>
      <c r="F5491"/>
      <c r="G5491" s="12"/>
      <c r="H5491" s="12"/>
      <c r="I5491" s="12"/>
      <c r="J5491" s="12"/>
    </row>
    <row r="5492" spans="5:10" x14ac:dyDescent="0.25">
      <c r="E5492"/>
      <c r="F5492"/>
      <c r="G5492" s="12"/>
      <c r="H5492" s="12"/>
      <c r="I5492" s="12"/>
      <c r="J5492" s="12"/>
    </row>
    <row r="5493" spans="5:10" x14ac:dyDescent="0.25">
      <c r="E5493"/>
      <c r="F5493"/>
      <c r="G5493" s="12"/>
      <c r="H5493" s="12"/>
      <c r="I5493" s="12"/>
      <c r="J5493" s="12"/>
    </row>
    <row r="5494" spans="5:10" x14ac:dyDescent="0.25">
      <c r="E5494"/>
      <c r="F5494"/>
      <c r="G5494" s="12"/>
      <c r="H5494" s="12"/>
      <c r="I5494" s="12"/>
      <c r="J5494" s="12"/>
    </row>
    <row r="5495" spans="5:10" x14ac:dyDescent="0.25">
      <c r="E5495"/>
      <c r="F5495"/>
      <c r="G5495" s="12"/>
      <c r="H5495" s="12"/>
      <c r="I5495" s="12"/>
      <c r="J5495" s="12"/>
    </row>
    <row r="5496" spans="5:10" x14ac:dyDescent="0.25">
      <c r="E5496"/>
      <c r="F5496"/>
      <c r="G5496" s="12"/>
      <c r="H5496" s="12"/>
      <c r="I5496" s="12"/>
      <c r="J5496" s="12"/>
    </row>
    <row r="5497" spans="5:10" x14ac:dyDescent="0.25">
      <c r="E5497"/>
      <c r="F5497"/>
      <c r="G5497" s="12"/>
      <c r="H5497" s="12"/>
      <c r="I5497" s="12"/>
      <c r="J5497" s="12"/>
    </row>
    <row r="5498" spans="5:10" x14ac:dyDescent="0.25">
      <c r="E5498"/>
      <c r="F5498"/>
      <c r="G5498" s="12"/>
      <c r="H5498" s="12"/>
      <c r="I5498" s="12"/>
      <c r="J5498" s="12"/>
    </row>
    <row r="5499" spans="5:10" x14ac:dyDescent="0.25">
      <c r="E5499"/>
      <c r="F5499"/>
      <c r="G5499" s="12"/>
      <c r="H5499" s="12"/>
      <c r="I5499" s="12"/>
      <c r="J5499" s="12"/>
    </row>
    <row r="5500" spans="5:10" x14ac:dyDescent="0.25">
      <c r="E5500"/>
      <c r="F5500"/>
      <c r="G5500" s="12"/>
      <c r="H5500" s="12"/>
      <c r="I5500" s="12"/>
      <c r="J5500" s="12"/>
    </row>
    <row r="5501" spans="5:10" x14ac:dyDescent="0.25">
      <c r="E5501"/>
      <c r="F5501"/>
      <c r="G5501" s="12"/>
      <c r="H5501" s="12"/>
      <c r="I5501" s="12"/>
      <c r="J5501" s="12"/>
    </row>
    <row r="5502" spans="5:10" x14ac:dyDescent="0.25">
      <c r="E5502"/>
      <c r="F5502"/>
      <c r="G5502" s="12"/>
      <c r="H5502" s="12"/>
      <c r="I5502" s="12"/>
      <c r="J5502" s="12"/>
    </row>
    <row r="5503" spans="5:10" x14ac:dyDescent="0.25">
      <c r="E5503"/>
      <c r="F5503"/>
      <c r="G5503" s="12"/>
      <c r="H5503" s="12"/>
      <c r="I5503" s="12"/>
      <c r="J5503" s="12"/>
    </row>
    <row r="5504" spans="5:10" x14ac:dyDescent="0.25">
      <c r="E5504"/>
      <c r="F5504"/>
      <c r="G5504" s="12"/>
      <c r="H5504" s="12"/>
      <c r="I5504" s="12"/>
      <c r="J5504" s="12"/>
    </row>
    <row r="5505" spans="5:10" x14ac:dyDescent="0.25">
      <c r="E5505"/>
      <c r="F5505"/>
      <c r="G5505" s="12"/>
      <c r="H5505" s="12"/>
      <c r="I5505" s="12"/>
      <c r="J5505" s="12"/>
    </row>
    <row r="5506" spans="5:10" x14ac:dyDescent="0.25">
      <c r="E5506"/>
      <c r="F5506"/>
      <c r="G5506" s="12"/>
      <c r="H5506" s="12"/>
      <c r="I5506" s="12"/>
      <c r="J5506" s="12"/>
    </row>
    <row r="5507" spans="5:10" x14ac:dyDescent="0.25">
      <c r="E5507"/>
      <c r="F5507"/>
      <c r="G5507" s="12"/>
      <c r="H5507" s="12"/>
      <c r="I5507" s="12"/>
      <c r="J5507" s="12"/>
    </row>
    <row r="5508" spans="5:10" x14ac:dyDescent="0.25">
      <c r="E5508"/>
      <c r="F5508"/>
      <c r="G5508" s="12"/>
      <c r="H5508" s="12"/>
      <c r="I5508" s="12"/>
      <c r="J5508" s="12"/>
    </row>
    <row r="5509" spans="5:10" x14ac:dyDescent="0.25">
      <c r="E5509"/>
      <c r="F5509"/>
      <c r="G5509" s="12"/>
      <c r="H5509" s="12"/>
      <c r="I5509" s="12"/>
      <c r="J5509" s="12"/>
    </row>
    <row r="5510" spans="5:10" x14ac:dyDescent="0.25">
      <c r="E5510"/>
      <c r="F5510"/>
      <c r="G5510" s="12"/>
      <c r="H5510" s="12"/>
      <c r="I5510" s="12"/>
      <c r="J5510" s="12"/>
    </row>
    <row r="5511" spans="5:10" x14ac:dyDescent="0.25">
      <c r="E5511"/>
      <c r="F5511"/>
      <c r="G5511" s="12"/>
      <c r="H5511" s="12"/>
      <c r="I5511" s="12"/>
      <c r="J5511" s="12"/>
    </row>
    <row r="5512" spans="5:10" x14ac:dyDescent="0.25">
      <c r="E5512"/>
      <c r="F5512"/>
      <c r="G5512" s="12"/>
      <c r="H5512" s="12"/>
      <c r="I5512" s="12"/>
      <c r="J5512" s="12"/>
    </row>
    <row r="5513" spans="5:10" x14ac:dyDescent="0.25">
      <c r="E5513"/>
      <c r="F5513"/>
      <c r="G5513" s="12"/>
      <c r="H5513" s="12"/>
      <c r="I5513" s="12"/>
      <c r="J5513" s="12"/>
    </row>
    <row r="5514" spans="5:10" x14ac:dyDescent="0.25">
      <c r="E5514"/>
      <c r="F5514"/>
      <c r="G5514" s="12"/>
      <c r="H5514" s="12"/>
      <c r="I5514" s="12"/>
      <c r="J5514" s="12"/>
    </row>
    <row r="5515" spans="5:10" x14ac:dyDescent="0.25">
      <c r="E5515"/>
      <c r="F5515"/>
      <c r="G5515" s="12"/>
      <c r="H5515" s="12"/>
      <c r="I5515" s="12"/>
      <c r="J5515" s="12"/>
    </row>
    <row r="5516" spans="5:10" x14ac:dyDescent="0.25">
      <c r="E5516"/>
      <c r="F5516"/>
      <c r="G5516" s="12"/>
      <c r="H5516" s="12"/>
      <c r="I5516" s="12"/>
      <c r="J5516" s="12"/>
    </row>
    <row r="5517" spans="5:10" x14ac:dyDescent="0.25">
      <c r="E5517"/>
      <c r="F5517"/>
      <c r="G5517" s="12"/>
      <c r="H5517" s="12"/>
      <c r="I5517" s="12"/>
      <c r="J5517" s="12"/>
    </row>
    <row r="5518" spans="5:10" x14ac:dyDescent="0.25">
      <c r="E5518"/>
      <c r="F5518"/>
      <c r="G5518" s="12"/>
      <c r="H5518" s="12"/>
      <c r="I5518" s="12"/>
      <c r="J5518" s="12"/>
    </row>
    <row r="5519" spans="5:10" x14ac:dyDescent="0.25">
      <c r="E5519"/>
      <c r="F5519"/>
      <c r="G5519" s="12"/>
      <c r="H5519" s="12"/>
      <c r="I5519" s="12"/>
      <c r="J5519" s="12"/>
    </row>
    <row r="5520" spans="5:10" x14ac:dyDescent="0.25">
      <c r="E5520"/>
      <c r="F5520"/>
      <c r="G5520" s="12"/>
      <c r="H5520" s="12"/>
      <c r="I5520" s="12"/>
      <c r="J5520" s="12"/>
    </row>
    <row r="5521" spans="5:10" x14ac:dyDescent="0.25">
      <c r="E5521"/>
      <c r="F5521"/>
      <c r="G5521" s="12"/>
      <c r="H5521" s="12"/>
      <c r="I5521" s="12"/>
      <c r="J5521" s="12"/>
    </row>
    <row r="5522" spans="5:10" x14ac:dyDescent="0.25">
      <c r="E5522"/>
      <c r="F5522"/>
      <c r="G5522" s="12"/>
      <c r="H5522" s="12"/>
      <c r="I5522" s="12"/>
      <c r="J5522" s="12"/>
    </row>
    <row r="5523" spans="5:10" x14ac:dyDescent="0.25">
      <c r="E5523"/>
      <c r="F5523"/>
      <c r="G5523" s="12"/>
      <c r="H5523" s="12"/>
      <c r="I5523" s="12"/>
      <c r="J5523" s="12"/>
    </row>
    <row r="5524" spans="5:10" x14ac:dyDescent="0.25">
      <c r="E5524"/>
      <c r="F5524"/>
      <c r="G5524" s="12"/>
      <c r="H5524" s="12"/>
      <c r="I5524" s="12"/>
      <c r="J5524" s="12"/>
    </row>
    <row r="5525" spans="5:10" x14ac:dyDescent="0.25">
      <c r="E5525"/>
      <c r="F5525"/>
      <c r="G5525" s="12"/>
      <c r="H5525" s="12"/>
      <c r="I5525" s="12"/>
      <c r="J5525" s="12"/>
    </row>
    <row r="5526" spans="5:10" x14ac:dyDescent="0.25">
      <c r="E5526"/>
      <c r="F5526"/>
      <c r="G5526" s="12"/>
      <c r="H5526" s="12"/>
      <c r="I5526" s="12"/>
      <c r="J5526" s="12"/>
    </row>
    <row r="5527" spans="5:10" x14ac:dyDescent="0.25">
      <c r="E5527"/>
      <c r="F5527"/>
      <c r="G5527" s="12"/>
      <c r="H5527" s="12"/>
      <c r="I5527" s="12"/>
      <c r="J5527" s="12"/>
    </row>
    <row r="5528" spans="5:10" x14ac:dyDescent="0.25">
      <c r="E5528"/>
      <c r="F5528"/>
      <c r="G5528" s="12"/>
      <c r="H5528" s="12"/>
      <c r="I5528" s="12"/>
      <c r="J5528" s="12"/>
    </row>
    <row r="5529" spans="5:10" x14ac:dyDescent="0.25">
      <c r="E5529"/>
      <c r="F5529"/>
      <c r="G5529" s="12"/>
      <c r="H5529" s="12"/>
      <c r="I5529" s="12"/>
      <c r="J5529" s="12"/>
    </row>
    <row r="5530" spans="5:10" x14ac:dyDescent="0.25">
      <c r="E5530"/>
      <c r="F5530"/>
      <c r="G5530" s="12"/>
      <c r="H5530" s="12"/>
      <c r="I5530" s="12"/>
      <c r="J5530" s="12"/>
    </row>
    <row r="5531" spans="5:10" x14ac:dyDescent="0.25">
      <c r="E5531"/>
      <c r="F5531"/>
      <c r="G5531" s="12"/>
      <c r="H5531" s="12"/>
      <c r="I5531" s="12"/>
      <c r="J5531" s="12"/>
    </row>
    <row r="5532" spans="5:10" x14ac:dyDescent="0.25">
      <c r="E5532"/>
      <c r="F5532"/>
      <c r="G5532" s="12"/>
      <c r="H5532" s="12"/>
      <c r="I5532" s="12"/>
      <c r="J5532" s="12"/>
    </row>
    <row r="5533" spans="5:10" x14ac:dyDescent="0.25">
      <c r="E5533"/>
      <c r="F5533"/>
      <c r="G5533" s="12"/>
      <c r="H5533" s="12"/>
      <c r="I5533" s="12"/>
      <c r="J5533" s="12"/>
    </row>
    <row r="5534" spans="5:10" x14ac:dyDescent="0.25">
      <c r="E5534"/>
      <c r="F5534"/>
      <c r="G5534" s="12"/>
      <c r="H5534" s="12"/>
      <c r="I5534" s="12"/>
      <c r="J5534" s="12"/>
    </row>
    <row r="5535" spans="5:10" x14ac:dyDescent="0.25">
      <c r="E5535"/>
      <c r="F5535"/>
      <c r="G5535" s="12"/>
      <c r="H5535" s="12"/>
      <c r="I5535" s="12"/>
      <c r="J5535" s="12"/>
    </row>
    <row r="5536" spans="5:10" x14ac:dyDescent="0.25">
      <c r="E5536"/>
      <c r="F5536"/>
      <c r="G5536" s="12"/>
      <c r="H5536" s="12"/>
      <c r="I5536" s="12"/>
      <c r="J5536" s="12"/>
    </row>
    <row r="5537" spans="5:10" x14ac:dyDescent="0.25">
      <c r="E5537"/>
      <c r="F5537"/>
      <c r="G5537" s="12"/>
      <c r="H5537" s="12"/>
      <c r="I5537" s="12"/>
      <c r="J5537" s="12"/>
    </row>
    <row r="5538" spans="5:10" x14ac:dyDescent="0.25">
      <c r="E5538"/>
      <c r="F5538"/>
      <c r="G5538" s="12"/>
      <c r="H5538" s="12"/>
      <c r="I5538" s="12"/>
      <c r="J5538" s="12"/>
    </row>
    <row r="5539" spans="5:10" x14ac:dyDescent="0.25">
      <c r="E5539"/>
      <c r="F5539"/>
      <c r="G5539" s="12"/>
      <c r="H5539" s="12"/>
      <c r="I5539" s="12"/>
      <c r="J5539" s="12"/>
    </row>
    <row r="5540" spans="5:10" x14ac:dyDescent="0.25">
      <c r="E5540"/>
      <c r="F5540"/>
      <c r="G5540" s="12"/>
      <c r="H5540" s="12"/>
      <c r="I5540" s="12"/>
      <c r="J5540" s="12"/>
    </row>
    <row r="5541" spans="5:10" x14ac:dyDescent="0.25">
      <c r="E5541"/>
      <c r="F5541"/>
      <c r="G5541" s="12"/>
      <c r="H5541" s="12"/>
      <c r="I5541" s="12"/>
      <c r="J5541" s="12"/>
    </row>
    <row r="5542" spans="5:10" x14ac:dyDescent="0.25">
      <c r="E5542"/>
      <c r="F5542"/>
      <c r="G5542" s="12"/>
      <c r="H5542" s="12"/>
      <c r="I5542" s="12"/>
      <c r="J5542" s="12"/>
    </row>
    <row r="5543" spans="5:10" x14ac:dyDescent="0.25">
      <c r="E5543"/>
      <c r="F5543"/>
      <c r="G5543" s="12"/>
      <c r="H5543" s="12"/>
      <c r="I5543" s="12"/>
      <c r="J5543" s="12"/>
    </row>
    <row r="5544" spans="5:10" x14ac:dyDescent="0.25">
      <c r="E5544"/>
      <c r="F5544"/>
      <c r="G5544" s="12"/>
      <c r="H5544" s="12"/>
      <c r="I5544" s="12"/>
      <c r="J5544" s="12"/>
    </row>
    <row r="5545" spans="5:10" x14ac:dyDescent="0.25">
      <c r="E5545"/>
      <c r="F5545"/>
      <c r="G5545" s="12"/>
      <c r="H5545" s="12"/>
      <c r="I5545" s="12"/>
      <c r="J5545" s="12"/>
    </row>
    <row r="5546" spans="5:10" x14ac:dyDescent="0.25">
      <c r="E5546"/>
      <c r="F5546"/>
      <c r="G5546" s="12"/>
      <c r="H5546" s="12"/>
      <c r="I5546" s="12"/>
      <c r="J5546" s="12"/>
    </row>
    <row r="5547" spans="5:10" x14ac:dyDescent="0.25">
      <c r="E5547"/>
      <c r="F5547"/>
      <c r="G5547" s="12"/>
      <c r="H5547" s="12"/>
      <c r="I5547" s="12"/>
      <c r="J5547" s="12"/>
    </row>
    <row r="5548" spans="5:10" x14ac:dyDescent="0.25">
      <c r="E5548"/>
      <c r="F5548"/>
      <c r="G5548" s="12"/>
      <c r="H5548" s="12"/>
      <c r="I5548" s="12"/>
      <c r="J5548" s="12"/>
    </row>
    <row r="5549" spans="5:10" x14ac:dyDescent="0.25">
      <c r="E5549"/>
      <c r="F5549"/>
      <c r="G5549" s="12"/>
      <c r="H5549" s="12"/>
      <c r="I5549" s="12"/>
      <c r="J5549" s="12"/>
    </row>
    <row r="5550" spans="5:10" x14ac:dyDescent="0.25">
      <c r="E5550"/>
      <c r="F5550"/>
      <c r="G5550" s="12"/>
      <c r="H5550" s="12"/>
      <c r="I5550" s="12"/>
      <c r="J5550" s="12"/>
    </row>
    <row r="5551" spans="5:10" x14ac:dyDescent="0.25">
      <c r="E5551"/>
      <c r="F5551"/>
      <c r="G5551" s="12"/>
      <c r="H5551" s="12"/>
      <c r="I5551" s="12"/>
      <c r="J5551" s="12"/>
    </row>
    <row r="5552" spans="5:10" x14ac:dyDescent="0.25">
      <c r="E5552"/>
      <c r="F5552"/>
      <c r="G5552" s="12"/>
      <c r="H5552" s="12"/>
      <c r="I5552" s="12"/>
      <c r="J5552" s="12"/>
    </row>
    <row r="5553" spans="5:10" x14ac:dyDescent="0.25">
      <c r="E5553"/>
      <c r="F5553"/>
      <c r="G5553" s="12"/>
      <c r="H5553" s="12"/>
      <c r="I5553" s="12"/>
      <c r="J5553" s="12"/>
    </row>
    <row r="5554" spans="5:10" x14ac:dyDescent="0.25">
      <c r="E5554"/>
      <c r="F5554"/>
      <c r="G5554" s="12"/>
      <c r="H5554" s="12"/>
      <c r="I5554" s="12"/>
      <c r="J5554" s="12"/>
    </row>
    <row r="5555" spans="5:10" x14ac:dyDescent="0.25">
      <c r="E5555"/>
      <c r="F5555"/>
      <c r="G5555" s="12"/>
      <c r="H5555" s="12"/>
      <c r="I5555" s="12"/>
      <c r="J5555" s="12"/>
    </row>
    <row r="5556" spans="5:10" x14ac:dyDescent="0.25">
      <c r="E5556"/>
      <c r="F5556"/>
      <c r="G5556" s="12"/>
      <c r="H5556" s="12"/>
      <c r="I5556" s="12"/>
      <c r="J5556" s="12"/>
    </row>
    <row r="5557" spans="5:10" x14ac:dyDescent="0.25">
      <c r="E5557"/>
      <c r="F5557"/>
      <c r="G5557" s="12"/>
      <c r="H5557" s="12"/>
      <c r="I5557" s="12"/>
      <c r="J5557" s="12"/>
    </row>
    <row r="5558" spans="5:10" x14ac:dyDescent="0.25">
      <c r="E5558"/>
      <c r="F5558"/>
      <c r="G5558" s="12"/>
      <c r="H5558" s="12"/>
      <c r="I5558" s="12"/>
      <c r="J5558" s="12"/>
    </row>
    <row r="5559" spans="5:10" x14ac:dyDescent="0.25">
      <c r="E5559"/>
      <c r="F5559"/>
      <c r="G5559" s="12"/>
      <c r="H5559" s="12"/>
      <c r="I5559" s="12"/>
      <c r="J5559" s="12"/>
    </row>
    <row r="5560" spans="5:10" x14ac:dyDescent="0.25">
      <c r="E5560"/>
      <c r="F5560"/>
      <c r="G5560" s="12"/>
      <c r="H5560" s="12"/>
      <c r="I5560" s="12"/>
      <c r="J5560" s="12"/>
    </row>
    <row r="5561" spans="5:10" x14ac:dyDescent="0.25">
      <c r="E5561"/>
      <c r="F5561"/>
      <c r="G5561" s="12"/>
      <c r="H5561" s="12"/>
      <c r="I5561" s="12"/>
      <c r="J5561" s="12"/>
    </row>
    <row r="5562" spans="5:10" x14ac:dyDescent="0.25">
      <c r="E5562"/>
      <c r="F5562"/>
      <c r="G5562" s="12"/>
      <c r="H5562" s="12"/>
      <c r="I5562" s="12"/>
      <c r="J5562" s="12"/>
    </row>
    <row r="5563" spans="5:10" x14ac:dyDescent="0.25">
      <c r="E5563"/>
      <c r="F5563"/>
      <c r="G5563" s="12"/>
      <c r="H5563" s="12"/>
      <c r="I5563" s="12"/>
      <c r="J5563" s="12"/>
    </row>
    <row r="5564" spans="5:10" x14ac:dyDescent="0.25">
      <c r="E5564"/>
      <c r="F5564"/>
      <c r="G5564" s="12"/>
      <c r="H5564" s="12"/>
      <c r="I5564" s="12"/>
      <c r="J5564" s="12"/>
    </row>
    <row r="5565" spans="5:10" x14ac:dyDescent="0.25">
      <c r="E5565"/>
      <c r="F5565"/>
      <c r="G5565" s="12"/>
      <c r="H5565" s="12"/>
      <c r="I5565" s="12"/>
      <c r="J5565" s="12"/>
    </row>
    <row r="5566" spans="5:10" x14ac:dyDescent="0.25">
      <c r="E5566"/>
      <c r="F5566"/>
      <c r="G5566" s="12"/>
      <c r="H5566" s="12"/>
      <c r="I5566" s="12"/>
      <c r="J5566" s="12"/>
    </row>
    <row r="5567" spans="5:10" x14ac:dyDescent="0.25">
      <c r="E5567"/>
      <c r="F5567"/>
      <c r="G5567" s="12"/>
      <c r="H5567" s="12"/>
      <c r="I5567" s="12"/>
      <c r="J5567" s="12"/>
    </row>
    <row r="5568" spans="5:10" x14ac:dyDescent="0.25">
      <c r="E5568"/>
      <c r="F5568"/>
      <c r="G5568" s="12"/>
      <c r="H5568" s="12"/>
      <c r="I5568" s="12"/>
      <c r="J5568" s="12"/>
    </row>
    <row r="5569" spans="5:10" x14ac:dyDescent="0.25">
      <c r="E5569"/>
      <c r="F5569"/>
      <c r="G5569" s="12"/>
      <c r="H5569" s="12"/>
      <c r="I5569" s="12"/>
      <c r="J5569" s="12"/>
    </row>
    <row r="5570" spans="5:10" x14ac:dyDescent="0.25">
      <c r="E5570"/>
      <c r="F5570"/>
      <c r="G5570" s="12"/>
      <c r="H5570" s="12"/>
      <c r="I5570" s="12"/>
      <c r="J5570" s="12"/>
    </row>
    <row r="5571" spans="5:10" x14ac:dyDescent="0.25">
      <c r="E5571"/>
      <c r="F5571"/>
      <c r="G5571" s="12"/>
      <c r="H5571" s="12"/>
      <c r="I5571" s="12"/>
      <c r="J5571" s="12"/>
    </row>
    <row r="5572" spans="5:10" x14ac:dyDescent="0.25">
      <c r="E5572"/>
      <c r="F5572"/>
      <c r="G5572" s="12"/>
      <c r="H5572" s="12"/>
      <c r="I5572" s="12"/>
      <c r="J5572" s="12"/>
    </row>
    <row r="5573" spans="5:10" x14ac:dyDescent="0.25">
      <c r="E5573"/>
      <c r="F5573"/>
      <c r="G5573" s="12"/>
      <c r="H5573" s="12"/>
      <c r="I5573" s="12"/>
      <c r="J5573" s="12"/>
    </row>
    <row r="5574" spans="5:10" x14ac:dyDescent="0.25">
      <c r="E5574"/>
      <c r="F5574"/>
      <c r="G5574" s="12"/>
      <c r="H5574" s="12"/>
      <c r="I5574" s="12"/>
      <c r="J5574" s="12"/>
    </row>
    <row r="5575" spans="5:10" x14ac:dyDescent="0.25">
      <c r="E5575"/>
      <c r="F5575"/>
      <c r="G5575" s="12"/>
      <c r="H5575" s="12"/>
      <c r="I5575" s="12"/>
      <c r="J5575" s="12"/>
    </row>
    <row r="5576" spans="5:10" x14ac:dyDescent="0.25">
      <c r="E5576"/>
      <c r="F5576"/>
      <c r="G5576" s="12"/>
      <c r="H5576" s="12"/>
      <c r="I5576" s="12"/>
      <c r="J5576" s="12"/>
    </row>
    <row r="5577" spans="5:10" x14ac:dyDescent="0.25">
      <c r="E5577"/>
      <c r="F5577"/>
      <c r="G5577" s="12"/>
      <c r="H5577" s="12"/>
      <c r="I5577" s="12"/>
      <c r="J5577" s="12"/>
    </row>
    <row r="5578" spans="5:10" x14ac:dyDescent="0.25">
      <c r="E5578"/>
      <c r="F5578"/>
      <c r="G5578" s="12"/>
      <c r="H5578" s="12"/>
      <c r="I5578" s="12"/>
      <c r="J5578" s="12"/>
    </row>
    <row r="5579" spans="5:10" x14ac:dyDescent="0.25">
      <c r="E5579"/>
      <c r="F5579"/>
      <c r="G5579" s="12"/>
      <c r="H5579" s="12"/>
      <c r="I5579" s="12"/>
      <c r="J5579" s="12"/>
    </row>
    <row r="5580" spans="5:10" x14ac:dyDescent="0.25">
      <c r="E5580"/>
      <c r="F5580"/>
      <c r="G5580" s="12"/>
      <c r="H5580" s="12"/>
      <c r="I5580" s="12"/>
      <c r="J5580" s="12"/>
    </row>
    <row r="5581" spans="5:10" x14ac:dyDescent="0.25">
      <c r="E5581"/>
      <c r="F5581"/>
      <c r="G5581" s="12"/>
      <c r="H5581" s="12"/>
      <c r="I5581" s="12"/>
      <c r="J5581" s="12"/>
    </row>
    <row r="5582" spans="5:10" x14ac:dyDescent="0.25">
      <c r="E5582"/>
      <c r="F5582"/>
      <c r="G5582" s="12"/>
      <c r="H5582" s="12"/>
      <c r="I5582" s="12"/>
      <c r="J5582" s="12"/>
    </row>
    <row r="5583" spans="5:10" x14ac:dyDescent="0.25">
      <c r="E5583"/>
      <c r="F5583"/>
      <c r="G5583" s="12"/>
      <c r="H5583" s="12"/>
      <c r="I5583" s="12"/>
      <c r="J5583" s="12"/>
    </row>
    <row r="5584" spans="5:10" x14ac:dyDescent="0.25">
      <c r="E5584"/>
      <c r="F5584"/>
      <c r="G5584" s="12"/>
      <c r="H5584" s="12"/>
      <c r="I5584" s="12"/>
      <c r="J5584" s="12"/>
    </row>
    <row r="5585" spans="5:10" x14ac:dyDescent="0.25">
      <c r="E5585"/>
      <c r="F5585"/>
      <c r="G5585" s="12"/>
      <c r="H5585" s="12"/>
      <c r="I5585" s="12"/>
      <c r="J5585" s="12"/>
    </row>
    <row r="5586" spans="5:10" x14ac:dyDescent="0.25">
      <c r="E5586"/>
      <c r="F5586"/>
      <c r="G5586" s="12"/>
      <c r="H5586" s="12"/>
      <c r="I5586" s="12"/>
      <c r="J5586" s="12"/>
    </row>
    <row r="5587" spans="5:10" x14ac:dyDescent="0.25">
      <c r="E5587"/>
      <c r="F5587"/>
      <c r="G5587" s="12"/>
      <c r="H5587" s="12"/>
      <c r="I5587" s="12"/>
      <c r="J5587" s="12"/>
    </row>
    <row r="5588" spans="5:10" x14ac:dyDescent="0.25">
      <c r="E5588"/>
      <c r="F5588"/>
      <c r="G5588" s="12"/>
      <c r="H5588" s="12"/>
      <c r="I5588" s="12"/>
      <c r="J5588" s="12"/>
    </row>
    <row r="5589" spans="5:10" x14ac:dyDescent="0.25">
      <c r="E5589"/>
      <c r="F5589"/>
      <c r="G5589" s="12"/>
      <c r="H5589" s="12"/>
      <c r="I5589" s="12"/>
      <c r="J5589" s="12"/>
    </row>
    <row r="5590" spans="5:10" x14ac:dyDescent="0.25">
      <c r="E5590"/>
      <c r="F5590"/>
      <c r="G5590" s="12"/>
      <c r="H5590" s="12"/>
      <c r="I5590" s="12"/>
      <c r="J5590" s="12"/>
    </row>
    <row r="5591" spans="5:10" x14ac:dyDescent="0.25">
      <c r="E5591"/>
      <c r="F5591"/>
      <c r="G5591" s="12"/>
      <c r="H5591" s="12"/>
      <c r="I5591" s="12"/>
      <c r="J5591" s="12"/>
    </row>
    <row r="5592" spans="5:10" x14ac:dyDescent="0.25">
      <c r="E5592"/>
      <c r="F5592"/>
      <c r="G5592" s="12"/>
      <c r="H5592" s="12"/>
      <c r="I5592" s="12"/>
      <c r="J5592" s="12"/>
    </row>
    <row r="5593" spans="5:10" x14ac:dyDescent="0.25">
      <c r="E5593"/>
      <c r="F5593"/>
      <c r="G5593" s="12"/>
      <c r="H5593" s="12"/>
      <c r="I5593" s="12"/>
      <c r="J5593" s="12"/>
    </row>
    <row r="5594" spans="5:10" x14ac:dyDescent="0.25">
      <c r="E5594"/>
      <c r="F5594"/>
      <c r="G5594" s="12"/>
      <c r="H5594" s="12"/>
      <c r="I5594" s="12"/>
      <c r="J5594" s="12"/>
    </row>
    <row r="5595" spans="5:10" x14ac:dyDescent="0.25">
      <c r="E5595"/>
      <c r="F5595"/>
      <c r="G5595" s="12"/>
      <c r="H5595" s="12"/>
      <c r="I5595" s="12"/>
      <c r="J5595" s="12"/>
    </row>
    <row r="5596" spans="5:10" x14ac:dyDescent="0.25">
      <c r="E5596"/>
      <c r="F5596"/>
      <c r="G5596" s="12"/>
      <c r="H5596" s="12"/>
      <c r="I5596" s="12"/>
      <c r="J5596" s="12"/>
    </row>
    <row r="5597" spans="5:10" x14ac:dyDescent="0.25">
      <c r="E5597"/>
      <c r="F5597"/>
      <c r="G5597" s="12"/>
      <c r="H5597" s="12"/>
      <c r="I5597" s="12"/>
      <c r="J5597" s="12"/>
    </row>
    <row r="5598" spans="5:10" x14ac:dyDescent="0.25">
      <c r="E5598"/>
      <c r="F5598"/>
      <c r="G5598" s="12"/>
      <c r="H5598" s="12"/>
      <c r="I5598" s="12"/>
      <c r="J5598" s="12"/>
    </row>
    <row r="5599" spans="5:10" x14ac:dyDescent="0.25">
      <c r="E5599"/>
      <c r="F5599"/>
      <c r="G5599" s="12"/>
      <c r="H5599" s="12"/>
      <c r="I5599" s="12"/>
      <c r="J5599" s="12"/>
    </row>
    <row r="5600" spans="5:10" x14ac:dyDescent="0.25">
      <c r="E5600"/>
      <c r="F5600"/>
      <c r="G5600" s="12"/>
      <c r="H5600" s="12"/>
      <c r="I5600" s="12"/>
      <c r="J5600" s="12"/>
    </row>
    <row r="5601" spans="5:10" x14ac:dyDescent="0.25">
      <c r="E5601"/>
      <c r="F5601"/>
      <c r="G5601" s="12"/>
      <c r="H5601" s="12"/>
      <c r="I5601" s="12"/>
      <c r="J5601" s="12"/>
    </row>
    <row r="5602" spans="5:10" x14ac:dyDescent="0.25">
      <c r="E5602"/>
      <c r="F5602"/>
      <c r="G5602" s="12"/>
      <c r="H5602" s="12"/>
      <c r="I5602" s="12"/>
      <c r="J5602" s="12"/>
    </row>
    <row r="5603" spans="5:10" x14ac:dyDescent="0.25">
      <c r="E5603"/>
      <c r="F5603"/>
      <c r="G5603" s="12"/>
      <c r="H5603" s="12"/>
      <c r="I5603" s="12"/>
      <c r="J5603" s="12"/>
    </row>
    <row r="5604" spans="5:10" x14ac:dyDescent="0.25">
      <c r="E5604"/>
      <c r="F5604"/>
      <c r="G5604" s="12"/>
      <c r="H5604" s="12"/>
      <c r="I5604" s="12"/>
      <c r="J5604" s="12"/>
    </row>
    <row r="5605" spans="5:10" x14ac:dyDescent="0.25">
      <c r="E5605"/>
      <c r="F5605"/>
      <c r="G5605" s="12"/>
      <c r="H5605" s="12"/>
      <c r="I5605" s="12"/>
      <c r="J5605" s="12"/>
    </row>
    <row r="5606" spans="5:10" x14ac:dyDescent="0.25">
      <c r="E5606"/>
      <c r="F5606"/>
      <c r="G5606" s="12"/>
      <c r="H5606" s="12"/>
      <c r="I5606" s="12"/>
      <c r="J5606" s="12"/>
    </row>
    <row r="5607" spans="5:10" x14ac:dyDescent="0.25">
      <c r="E5607"/>
      <c r="F5607"/>
      <c r="G5607" s="12"/>
      <c r="H5607" s="12"/>
      <c r="I5607" s="12"/>
      <c r="J5607" s="12"/>
    </row>
    <row r="5608" spans="5:10" x14ac:dyDescent="0.25">
      <c r="E5608"/>
      <c r="F5608"/>
      <c r="G5608" s="12"/>
      <c r="H5608" s="12"/>
      <c r="I5608" s="12"/>
      <c r="J5608" s="12"/>
    </row>
    <row r="5609" spans="5:10" x14ac:dyDescent="0.25">
      <c r="E5609"/>
      <c r="F5609"/>
      <c r="G5609" s="12"/>
      <c r="H5609" s="12"/>
      <c r="I5609" s="12"/>
      <c r="J5609" s="12"/>
    </row>
    <row r="5610" spans="5:10" x14ac:dyDescent="0.25">
      <c r="E5610"/>
      <c r="F5610"/>
      <c r="G5610" s="12"/>
      <c r="H5610" s="12"/>
      <c r="I5610" s="12"/>
      <c r="J5610" s="12"/>
    </row>
    <row r="5611" spans="5:10" x14ac:dyDescent="0.25">
      <c r="E5611"/>
      <c r="F5611"/>
      <c r="G5611" s="12"/>
      <c r="H5611" s="12"/>
      <c r="I5611" s="12"/>
      <c r="J5611" s="12"/>
    </row>
    <row r="5612" spans="5:10" x14ac:dyDescent="0.25">
      <c r="E5612"/>
      <c r="F5612"/>
      <c r="G5612" s="12"/>
      <c r="H5612" s="12"/>
      <c r="I5612" s="12"/>
      <c r="J5612" s="12"/>
    </row>
    <row r="5613" spans="5:10" x14ac:dyDescent="0.25">
      <c r="E5613"/>
      <c r="F5613"/>
      <c r="G5613" s="12"/>
      <c r="H5613" s="12"/>
      <c r="I5613" s="12"/>
      <c r="J5613" s="12"/>
    </row>
    <row r="5614" spans="5:10" x14ac:dyDescent="0.25">
      <c r="E5614"/>
      <c r="F5614"/>
      <c r="G5614" s="12"/>
      <c r="H5614" s="12"/>
      <c r="I5614" s="12"/>
      <c r="J5614" s="12"/>
    </row>
    <row r="5615" spans="5:10" x14ac:dyDescent="0.25">
      <c r="E5615"/>
      <c r="F5615"/>
      <c r="G5615" s="12"/>
      <c r="H5615" s="12"/>
      <c r="I5615" s="12"/>
      <c r="J5615" s="12"/>
    </row>
    <row r="5616" spans="5:10" x14ac:dyDescent="0.25">
      <c r="E5616"/>
      <c r="F5616"/>
      <c r="G5616" s="12"/>
      <c r="H5616" s="12"/>
      <c r="I5616" s="12"/>
      <c r="J5616" s="12"/>
    </row>
    <row r="5617" spans="5:10" x14ac:dyDescent="0.25">
      <c r="E5617"/>
      <c r="F5617"/>
      <c r="G5617" s="12"/>
      <c r="H5617" s="12"/>
      <c r="I5617" s="12"/>
      <c r="J5617" s="12"/>
    </row>
    <row r="5618" spans="5:10" x14ac:dyDescent="0.25">
      <c r="E5618"/>
      <c r="F5618"/>
      <c r="G5618" s="12"/>
      <c r="H5618" s="12"/>
      <c r="I5618" s="12"/>
      <c r="J5618" s="12"/>
    </row>
    <row r="5619" spans="5:10" x14ac:dyDescent="0.25">
      <c r="E5619"/>
      <c r="F5619"/>
      <c r="G5619" s="12"/>
      <c r="H5619" s="12"/>
      <c r="I5619" s="12"/>
      <c r="J5619" s="12"/>
    </row>
    <row r="5620" spans="5:10" x14ac:dyDescent="0.25">
      <c r="E5620"/>
      <c r="F5620"/>
      <c r="G5620" s="12"/>
      <c r="H5620" s="12"/>
      <c r="I5620" s="12"/>
      <c r="J5620" s="12"/>
    </row>
    <row r="5621" spans="5:10" x14ac:dyDescent="0.25">
      <c r="E5621"/>
      <c r="F5621"/>
      <c r="G5621" s="12"/>
      <c r="H5621" s="12"/>
      <c r="I5621" s="12"/>
      <c r="J5621" s="12"/>
    </row>
    <row r="5622" spans="5:10" x14ac:dyDescent="0.25">
      <c r="E5622"/>
      <c r="F5622"/>
      <c r="G5622" s="12"/>
      <c r="H5622" s="12"/>
      <c r="I5622" s="12"/>
      <c r="J5622" s="12"/>
    </row>
    <row r="5623" spans="5:10" x14ac:dyDescent="0.25">
      <c r="E5623"/>
      <c r="F5623"/>
      <c r="G5623" s="12"/>
      <c r="H5623" s="12"/>
      <c r="I5623" s="12"/>
      <c r="J5623" s="12"/>
    </row>
    <row r="5624" spans="5:10" x14ac:dyDescent="0.25">
      <c r="E5624"/>
      <c r="F5624"/>
      <c r="G5624" s="12"/>
      <c r="H5624" s="12"/>
      <c r="I5624" s="12"/>
      <c r="J5624" s="12"/>
    </row>
    <row r="5625" spans="5:10" x14ac:dyDescent="0.25">
      <c r="E5625"/>
      <c r="F5625"/>
      <c r="G5625" s="12"/>
      <c r="H5625" s="12"/>
      <c r="I5625" s="12"/>
      <c r="J5625" s="12"/>
    </row>
    <row r="5626" spans="5:10" x14ac:dyDescent="0.25">
      <c r="E5626"/>
      <c r="F5626"/>
      <c r="G5626" s="12"/>
      <c r="H5626" s="12"/>
      <c r="I5626" s="12"/>
      <c r="J5626" s="12"/>
    </row>
    <row r="5627" spans="5:10" x14ac:dyDescent="0.25">
      <c r="E5627"/>
      <c r="F5627"/>
      <c r="G5627" s="12"/>
      <c r="H5627" s="12"/>
      <c r="I5627" s="12"/>
      <c r="J5627" s="12"/>
    </row>
    <row r="5628" spans="5:10" x14ac:dyDescent="0.25">
      <c r="E5628"/>
      <c r="F5628"/>
      <c r="G5628" s="12"/>
      <c r="H5628" s="12"/>
      <c r="I5628" s="12"/>
      <c r="J5628" s="12"/>
    </row>
    <row r="5629" spans="5:10" x14ac:dyDescent="0.25">
      <c r="E5629"/>
      <c r="F5629"/>
      <c r="G5629" s="12"/>
      <c r="H5629" s="12"/>
      <c r="I5629" s="12"/>
      <c r="J5629" s="12"/>
    </row>
    <row r="5630" spans="5:10" x14ac:dyDescent="0.25">
      <c r="E5630"/>
      <c r="F5630"/>
      <c r="G5630" s="12"/>
      <c r="H5630" s="12"/>
      <c r="I5630" s="12"/>
      <c r="J5630" s="12"/>
    </row>
    <row r="5631" spans="5:10" x14ac:dyDescent="0.25">
      <c r="E5631"/>
      <c r="F5631"/>
      <c r="G5631" s="12"/>
      <c r="H5631" s="12"/>
      <c r="I5631" s="12"/>
      <c r="J5631" s="12"/>
    </row>
    <row r="5632" spans="5:10" x14ac:dyDescent="0.25">
      <c r="E5632"/>
      <c r="F5632"/>
      <c r="G5632" s="12"/>
      <c r="H5632" s="12"/>
      <c r="I5632" s="12"/>
      <c r="J5632" s="12"/>
    </row>
    <row r="5633" spans="5:10" x14ac:dyDescent="0.25">
      <c r="E5633"/>
      <c r="F5633"/>
      <c r="G5633" s="12"/>
      <c r="H5633" s="12"/>
      <c r="I5633" s="12"/>
      <c r="J5633" s="12"/>
    </row>
    <row r="5634" spans="5:10" x14ac:dyDescent="0.25">
      <c r="E5634"/>
      <c r="F5634"/>
      <c r="G5634" s="12"/>
      <c r="H5634" s="12"/>
      <c r="I5634" s="12"/>
      <c r="J5634" s="12"/>
    </row>
    <row r="5635" spans="5:10" x14ac:dyDescent="0.25">
      <c r="E5635"/>
      <c r="F5635"/>
      <c r="G5635" s="12"/>
      <c r="H5635" s="12"/>
      <c r="I5635" s="12"/>
      <c r="J5635" s="12"/>
    </row>
    <row r="5636" spans="5:10" x14ac:dyDescent="0.25">
      <c r="E5636"/>
      <c r="F5636"/>
      <c r="G5636" s="12"/>
      <c r="H5636" s="12"/>
      <c r="I5636" s="12"/>
      <c r="J5636" s="12"/>
    </row>
    <row r="5637" spans="5:10" x14ac:dyDescent="0.25">
      <c r="E5637"/>
      <c r="F5637"/>
      <c r="G5637" s="12"/>
      <c r="H5637" s="12"/>
      <c r="I5637" s="12"/>
      <c r="J5637" s="12"/>
    </row>
    <row r="5638" spans="5:10" x14ac:dyDescent="0.25">
      <c r="E5638"/>
      <c r="F5638"/>
      <c r="G5638" s="12"/>
      <c r="H5638" s="12"/>
      <c r="I5638" s="12"/>
      <c r="J5638" s="12"/>
    </row>
    <row r="5639" spans="5:10" x14ac:dyDescent="0.25">
      <c r="E5639"/>
      <c r="F5639"/>
      <c r="G5639" s="12"/>
      <c r="H5639" s="12"/>
      <c r="I5639" s="12"/>
      <c r="J5639" s="12"/>
    </row>
    <row r="5640" spans="5:10" x14ac:dyDescent="0.25">
      <c r="E5640"/>
      <c r="F5640"/>
      <c r="G5640" s="12"/>
      <c r="H5640" s="12"/>
      <c r="I5640" s="12"/>
      <c r="J5640" s="12"/>
    </row>
    <row r="5641" spans="5:10" x14ac:dyDescent="0.25">
      <c r="E5641"/>
      <c r="F5641"/>
      <c r="G5641" s="12"/>
      <c r="H5641" s="12"/>
      <c r="I5641" s="12"/>
      <c r="J5641" s="12"/>
    </row>
    <row r="5642" spans="5:10" x14ac:dyDescent="0.25">
      <c r="E5642"/>
      <c r="F5642"/>
      <c r="G5642" s="12"/>
      <c r="H5642" s="12"/>
      <c r="I5642" s="12"/>
      <c r="J5642" s="12"/>
    </row>
    <row r="5643" spans="5:10" x14ac:dyDescent="0.25">
      <c r="E5643"/>
      <c r="F5643"/>
      <c r="G5643" s="12"/>
      <c r="H5643" s="12"/>
      <c r="I5643" s="12"/>
      <c r="J5643" s="12"/>
    </row>
    <row r="5644" spans="5:10" x14ac:dyDescent="0.25">
      <c r="E5644"/>
      <c r="F5644"/>
      <c r="G5644" s="12"/>
      <c r="H5644" s="12"/>
      <c r="I5644" s="12"/>
      <c r="J5644" s="12"/>
    </row>
    <row r="5645" spans="5:10" x14ac:dyDescent="0.25">
      <c r="E5645"/>
      <c r="F5645"/>
      <c r="G5645" s="12"/>
      <c r="H5645" s="12"/>
      <c r="I5645" s="12"/>
      <c r="J5645" s="12"/>
    </row>
    <row r="5646" spans="5:10" x14ac:dyDescent="0.25">
      <c r="E5646"/>
      <c r="F5646"/>
      <c r="G5646" s="12"/>
      <c r="H5646" s="12"/>
      <c r="I5646" s="12"/>
      <c r="J5646" s="12"/>
    </row>
    <row r="5647" spans="5:10" x14ac:dyDescent="0.25">
      <c r="E5647"/>
      <c r="F5647"/>
      <c r="G5647" s="12"/>
      <c r="H5647" s="12"/>
      <c r="I5647" s="12"/>
      <c r="J5647" s="12"/>
    </row>
    <row r="5648" spans="5:10" x14ac:dyDescent="0.25">
      <c r="E5648"/>
      <c r="F5648"/>
      <c r="G5648" s="12"/>
      <c r="H5648" s="12"/>
      <c r="I5648" s="12"/>
      <c r="J5648" s="12"/>
    </row>
    <row r="5649" spans="5:10" x14ac:dyDescent="0.25">
      <c r="E5649"/>
      <c r="F5649"/>
      <c r="G5649" s="12"/>
      <c r="H5649" s="12"/>
      <c r="I5649" s="12"/>
      <c r="J5649" s="12"/>
    </row>
    <row r="5650" spans="5:10" x14ac:dyDescent="0.25">
      <c r="E5650"/>
      <c r="F5650"/>
      <c r="G5650" s="12"/>
      <c r="H5650" s="12"/>
      <c r="I5650" s="12"/>
      <c r="J5650" s="12"/>
    </row>
    <row r="5651" spans="5:10" x14ac:dyDescent="0.25">
      <c r="E5651"/>
      <c r="F5651"/>
      <c r="G5651" s="12"/>
      <c r="H5651" s="12"/>
      <c r="I5651" s="12"/>
      <c r="J5651" s="12"/>
    </row>
    <row r="5652" spans="5:10" x14ac:dyDescent="0.25">
      <c r="E5652"/>
      <c r="F5652"/>
      <c r="G5652" s="12"/>
      <c r="H5652" s="12"/>
      <c r="I5652" s="12"/>
      <c r="J5652" s="12"/>
    </row>
    <row r="5653" spans="5:10" x14ac:dyDescent="0.25">
      <c r="E5653"/>
      <c r="F5653"/>
      <c r="G5653" s="12"/>
      <c r="H5653" s="12"/>
      <c r="I5653" s="12"/>
      <c r="J5653" s="12"/>
    </row>
    <row r="5654" spans="5:10" x14ac:dyDescent="0.25">
      <c r="E5654"/>
      <c r="F5654"/>
      <c r="G5654" s="12"/>
      <c r="H5654" s="12"/>
      <c r="I5654" s="12"/>
      <c r="J5654" s="12"/>
    </row>
    <row r="5655" spans="5:10" x14ac:dyDescent="0.25">
      <c r="E5655"/>
      <c r="F5655"/>
      <c r="G5655" s="12"/>
      <c r="H5655" s="12"/>
      <c r="I5655" s="12"/>
      <c r="J5655" s="12"/>
    </row>
    <row r="5656" spans="5:10" x14ac:dyDescent="0.25">
      <c r="E5656"/>
      <c r="F5656"/>
      <c r="G5656" s="12"/>
      <c r="H5656" s="12"/>
      <c r="I5656" s="12"/>
      <c r="J5656" s="12"/>
    </row>
    <row r="5657" spans="5:10" x14ac:dyDescent="0.25">
      <c r="E5657"/>
      <c r="F5657"/>
      <c r="G5657" s="12"/>
      <c r="H5657" s="12"/>
      <c r="I5657" s="12"/>
      <c r="J5657" s="12"/>
    </row>
    <row r="5658" spans="5:10" x14ac:dyDescent="0.25">
      <c r="E5658"/>
      <c r="F5658"/>
      <c r="G5658" s="12"/>
      <c r="H5658" s="12"/>
      <c r="I5658" s="12"/>
      <c r="J5658" s="12"/>
    </row>
    <row r="5659" spans="5:10" x14ac:dyDescent="0.25">
      <c r="E5659"/>
      <c r="F5659"/>
      <c r="G5659" s="12"/>
      <c r="H5659" s="12"/>
      <c r="I5659" s="12"/>
      <c r="J5659" s="12"/>
    </row>
    <row r="5660" spans="5:10" x14ac:dyDescent="0.25">
      <c r="E5660"/>
      <c r="F5660"/>
      <c r="G5660" s="12"/>
      <c r="H5660" s="12"/>
      <c r="I5660" s="12"/>
      <c r="J5660" s="12"/>
    </row>
    <row r="5661" spans="5:10" x14ac:dyDescent="0.25">
      <c r="E5661"/>
      <c r="F5661"/>
      <c r="G5661" s="12"/>
      <c r="H5661" s="12"/>
      <c r="I5661" s="12"/>
      <c r="J5661" s="12"/>
    </row>
    <row r="5662" spans="5:10" x14ac:dyDescent="0.25">
      <c r="E5662"/>
      <c r="F5662"/>
      <c r="G5662" s="12"/>
      <c r="H5662" s="12"/>
      <c r="I5662" s="12"/>
      <c r="J5662" s="12"/>
    </row>
    <row r="5663" spans="5:10" x14ac:dyDescent="0.25">
      <c r="E5663"/>
      <c r="F5663"/>
      <c r="G5663" s="12"/>
      <c r="H5663" s="12"/>
      <c r="I5663" s="12"/>
      <c r="J5663" s="12"/>
    </row>
    <row r="5664" spans="5:10" x14ac:dyDescent="0.25">
      <c r="E5664"/>
      <c r="F5664"/>
      <c r="G5664" s="12"/>
      <c r="H5664" s="12"/>
      <c r="I5664" s="12"/>
      <c r="J5664" s="12"/>
    </row>
    <row r="5665" spans="5:10" x14ac:dyDescent="0.25">
      <c r="E5665"/>
      <c r="F5665"/>
      <c r="G5665" s="12"/>
      <c r="H5665" s="12"/>
      <c r="I5665" s="12"/>
      <c r="J5665" s="12"/>
    </row>
    <row r="5666" spans="5:10" x14ac:dyDescent="0.25">
      <c r="E5666"/>
      <c r="F5666"/>
      <c r="G5666" s="12"/>
      <c r="H5666" s="12"/>
      <c r="I5666" s="12"/>
      <c r="J5666" s="12"/>
    </row>
    <row r="5667" spans="5:10" x14ac:dyDescent="0.25">
      <c r="E5667"/>
      <c r="F5667"/>
      <c r="G5667" s="12"/>
      <c r="H5667" s="12"/>
      <c r="I5667" s="12"/>
      <c r="J5667" s="12"/>
    </row>
    <row r="5668" spans="5:10" x14ac:dyDescent="0.25">
      <c r="E5668"/>
      <c r="F5668"/>
      <c r="G5668" s="12"/>
      <c r="H5668" s="12"/>
      <c r="I5668" s="12"/>
      <c r="J5668" s="12"/>
    </row>
    <row r="5669" spans="5:10" x14ac:dyDescent="0.25">
      <c r="E5669"/>
      <c r="F5669"/>
      <c r="G5669" s="12"/>
      <c r="H5669" s="12"/>
      <c r="I5669" s="12"/>
      <c r="J5669" s="12"/>
    </row>
    <row r="5670" spans="5:10" x14ac:dyDescent="0.25">
      <c r="E5670"/>
      <c r="F5670"/>
      <c r="G5670" s="12"/>
      <c r="H5670" s="12"/>
      <c r="I5670" s="12"/>
      <c r="J5670" s="12"/>
    </row>
    <row r="5671" spans="5:10" x14ac:dyDescent="0.25">
      <c r="E5671"/>
      <c r="F5671"/>
      <c r="G5671" s="12"/>
      <c r="H5671" s="12"/>
      <c r="I5671" s="12"/>
      <c r="J5671" s="12"/>
    </row>
    <row r="5672" spans="5:10" x14ac:dyDescent="0.25">
      <c r="E5672"/>
      <c r="F5672"/>
      <c r="G5672" s="12"/>
      <c r="H5672" s="12"/>
      <c r="I5672" s="12"/>
      <c r="J5672" s="12"/>
    </row>
    <row r="5673" spans="5:10" x14ac:dyDescent="0.25">
      <c r="E5673"/>
      <c r="F5673"/>
      <c r="G5673" s="12"/>
      <c r="H5673" s="12"/>
      <c r="I5673" s="12"/>
      <c r="J5673" s="12"/>
    </row>
    <row r="5674" spans="5:10" x14ac:dyDescent="0.25">
      <c r="E5674"/>
      <c r="F5674"/>
      <c r="G5674" s="12"/>
      <c r="H5674" s="12"/>
      <c r="I5674" s="12"/>
      <c r="J5674" s="12"/>
    </row>
    <row r="5675" spans="5:10" x14ac:dyDescent="0.25">
      <c r="E5675"/>
      <c r="F5675"/>
      <c r="G5675" s="12"/>
      <c r="H5675" s="12"/>
      <c r="I5675" s="12"/>
      <c r="J5675" s="12"/>
    </row>
    <row r="5676" spans="5:10" x14ac:dyDescent="0.25">
      <c r="E5676"/>
      <c r="F5676"/>
      <c r="G5676" s="12"/>
      <c r="H5676" s="12"/>
      <c r="I5676" s="12"/>
      <c r="J5676" s="12"/>
    </row>
    <row r="5677" spans="5:10" x14ac:dyDescent="0.25">
      <c r="E5677"/>
      <c r="F5677"/>
      <c r="G5677" s="12"/>
      <c r="H5677" s="12"/>
      <c r="I5677" s="12"/>
      <c r="J5677" s="12"/>
    </row>
    <row r="5678" spans="5:10" x14ac:dyDescent="0.25">
      <c r="E5678"/>
      <c r="F5678"/>
      <c r="G5678" s="12"/>
      <c r="H5678" s="12"/>
      <c r="I5678" s="12"/>
      <c r="J5678" s="12"/>
    </row>
    <row r="5679" spans="5:10" x14ac:dyDescent="0.25">
      <c r="E5679"/>
      <c r="F5679"/>
      <c r="G5679" s="12"/>
      <c r="H5679" s="12"/>
      <c r="I5679" s="12"/>
      <c r="J5679" s="12"/>
    </row>
    <row r="5680" spans="5:10" x14ac:dyDescent="0.25">
      <c r="E5680"/>
      <c r="F5680"/>
      <c r="G5680" s="12"/>
      <c r="H5680" s="12"/>
      <c r="I5680" s="12"/>
      <c r="J5680" s="12"/>
    </row>
    <row r="5681" spans="5:10" x14ac:dyDescent="0.25">
      <c r="E5681"/>
      <c r="F5681"/>
      <c r="G5681" s="12"/>
      <c r="H5681" s="12"/>
      <c r="I5681" s="12"/>
      <c r="J5681" s="12"/>
    </row>
    <row r="5682" spans="5:10" x14ac:dyDescent="0.25">
      <c r="E5682"/>
      <c r="F5682"/>
      <c r="G5682" s="12"/>
      <c r="H5682" s="12"/>
      <c r="I5682" s="12"/>
      <c r="J5682" s="12"/>
    </row>
    <row r="5683" spans="5:10" x14ac:dyDescent="0.25">
      <c r="E5683"/>
      <c r="F5683"/>
      <c r="G5683" s="12"/>
      <c r="H5683" s="12"/>
      <c r="I5683" s="12"/>
      <c r="J5683" s="12"/>
    </row>
    <row r="5684" spans="5:10" x14ac:dyDescent="0.25">
      <c r="E5684"/>
      <c r="F5684"/>
      <c r="G5684" s="12"/>
      <c r="H5684" s="12"/>
      <c r="I5684" s="12"/>
      <c r="J5684" s="12"/>
    </row>
    <row r="5685" spans="5:10" x14ac:dyDescent="0.25">
      <c r="E5685"/>
      <c r="F5685"/>
      <c r="G5685" s="12"/>
      <c r="H5685" s="12"/>
      <c r="I5685" s="12"/>
      <c r="J5685" s="12"/>
    </row>
    <row r="5686" spans="5:10" x14ac:dyDescent="0.25">
      <c r="E5686"/>
      <c r="F5686"/>
      <c r="G5686" s="12"/>
      <c r="H5686" s="12"/>
      <c r="I5686" s="12"/>
      <c r="J5686" s="12"/>
    </row>
    <row r="5687" spans="5:10" x14ac:dyDescent="0.25">
      <c r="E5687"/>
      <c r="F5687"/>
      <c r="G5687" s="12"/>
      <c r="H5687" s="12"/>
      <c r="I5687" s="12"/>
      <c r="J5687" s="12"/>
    </row>
    <row r="5688" spans="5:10" x14ac:dyDescent="0.25">
      <c r="E5688"/>
      <c r="F5688"/>
      <c r="G5688" s="12"/>
      <c r="H5688" s="12"/>
      <c r="I5688" s="12"/>
      <c r="J5688" s="12"/>
    </row>
    <row r="5689" spans="5:10" x14ac:dyDescent="0.25">
      <c r="E5689"/>
      <c r="F5689"/>
      <c r="G5689" s="12"/>
      <c r="H5689" s="12"/>
      <c r="I5689" s="12"/>
      <c r="J5689" s="12"/>
    </row>
    <row r="5690" spans="5:10" x14ac:dyDescent="0.25">
      <c r="E5690"/>
      <c r="F5690"/>
      <c r="G5690" s="12"/>
      <c r="H5690" s="12"/>
      <c r="I5690" s="12"/>
      <c r="J5690" s="12"/>
    </row>
    <row r="5691" spans="5:10" x14ac:dyDescent="0.25">
      <c r="E5691"/>
      <c r="F5691"/>
      <c r="G5691" s="12"/>
      <c r="H5691" s="12"/>
      <c r="I5691" s="12"/>
      <c r="J5691" s="12"/>
    </row>
    <row r="5692" spans="5:10" x14ac:dyDescent="0.25">
      <c r="E5692"/>
      <c r="F5692"/>
      <c r="G5692" s="12"/>
      <c r="H5692" s="12"/>
      <c r="I5692" s="12"/>
      <c r="J5692" s="12"/>
    </row>
    <row r="5693" spans="5:10" x14ac:dyDescent="0.25">
      <c r="E5693"/>
      <c r="F5693"/>
      <c r="G5693" s="12"/>
      <c r="H5693" s="12"/>
      <c r="I5693" s="12"/>
      <c r="J5693" s="12"/>
    </row>
    <row r="5694" spans="5:10" x14ac:dyDescent="0.25">
      <c r="E5694"/>
      <c r="F5694"/>
      <c r="G5694" s="12"/>
      <c r="H5694" s="12"/>
      <c r="I5694" s="12"/>
      <c r="J5694" s="12"/>
    </row>
    <row r="5695" spans="5:10" x14ac:dyDescent="0.25">
      <c r="E5695"/>
      <c r="F5695"/>
      <c r="G5695" s="12"/>
      <c r="H5695" s="12"/>
      <c r="I5695" s="12"/>
      <c r="J5695" s="12"/>
    </row>
    <row r="5696" spans="5:10" x14ac:dyDescent="0.25">
      <c r="E5696"/>
      <c r="F5696"/>
      <c r="G5696" s="12"/>
      <c r="H5696" s="12"/>
      <c r="I5696" s="12"/>
      <c r="J5696" s="12"/>
    </row>
    <row r="5697" spans="5:10" x14ac:dyDescent="0.25">
      <c r="E5697"/>
      <c r="F5697"/>
      <c r="G5697" s="12"/>
      <c r="H5697" s="12"/>
      <c r="I5697" s="12"/>
      <c r="J5697" s="12"/>
    </row>
    <row r="5698" spans="5:10" x14ac:dyDescent="0.25">
      <c r="E5698"/>
      <c r="F5698"/>
      <c r="G5698" s="12"/>
      <c r="H5698" s="12"/>
      <c r="I5698" s="12"/>
      <c r="J5698" s="12"/>
    </row>
    <row r="5699" spans="5:10" x14ac:dyDescent="0.25">
      <c r="E5699"/>
      <c r="F5699"/>
      <c r="G5699" s="12"/>
      <c r="H5699" s="12"/>
      <c r="I5699" s="12"/>
      <c r="J5699" s="12"/>
    </row>
    <row r="5700" spans="5:10" x14ac:dyDescent="0.25">
      <c r="E5700"/>
      <c r="F5700"/>
      <c r="G5700" s="12"/>
      <c r="H5700" s="12"/>
      <c r="I5700" s="12"/>
      <c r="J5700" s="12"/>
    </row>
    <row r="5701" spans="5:10" x14ac:dyDescent="0.25">
      <c r="E5701"/>
      <c r="F5701"/>
      <c r="G5701" s="12"/>
      <c r="H5701" s="12"/>
      <c r="I5701" s="12"/>
      <c r="J5701" s="12"/>
    </row>
    <row r="5702" spans="5:10" x14ac:dyDescent="0.25">
      <c r="E5702"/>
      <c r="F5702"/>
      <c r="G5702" s="12"/>
      <c r="H5702" s="12"/>
      <c r="I5702" s="12"/>
      <c r="J5702" s="12"/>
    </row>
    <row r="5703" spans="5:10" x14ac:dyDescent="0.25">
      <c r="E5703"/>
      <c r="F5703"/>
      <c r="G5703" s="12"/>
      <c r="H5703" s="12"/>
      <c r="I5703" s="12"/>
      <c r="J5703" s="12"/>
    </row>
    <row r="5704" spans="5:10" x14ac:dyDescent="0.25">
      <c r="E5704"/>
      <c r="F5704"/>
      <c r="G5704" s="12"/>
      <c r="H5704" s="12"/>
      <c r="I5704" s="12"/>
      <c r="J5704" s="12"/>
    </row>
    <row r="5705" spans="5:10" x14ac:dyDescent="0.25">
      <c r="E5705"/>
      <c r="F5705"/>
      <c r="G5705" s="12"/>
      <c r="H5705" s="12"/>
      <c r="I5705" s="12"/>
      <c r="J5705" s="12"/>
    </row>
    <row r="5706" spans="5:10" x14ac:dyDescent="0.25">
      <c r="E5706"/>
      <c r="F5706"/>
      <c r="G5706" s="12"/>
      <c r="H5706" s="12"/>
      <c r="I5706" s="12"/>
      <c r="J5706" s="12"/>
    </row>
    <row r="5707" spans="5:10" x14ac:dyDescent="0.25">
      <c r="E5707"/>
      <c r="F5707"/>
      <c r="G5707" s="12"/>
      <c r="H5707" s="12"/>
      <c r="I5707" s="12"/>
      <c r="J5707" s="12"/>
    </row>
    <row r="5708" spans="5:10" x14ac:dyDescent="0.25">
      <c r="E5708"/>
      <c r="F5708"/>
      <c r="G5708" s="12"/>
      <c r="H5708" s="12"/>
      <c r="I5708" s="12"/>
      <c r="J5708" s="12"/>
    </row>
    <row r="5709" spans="5:10" x14ac:dyDescent="0.25">
      <c r="E5709"/>
      <c r="F5709"/>
      <c r="G5709" s="12"/>
      <c r="H5709" s="12"/>
      <c r="I5709" s="12"/>
      <c r="J5709" s="12"/>
    </row>
    <row r="5710" spans="5:10" x14ac:dyDescent="0.25">
      <c r="E5710"/>
      <c r="F5710"/>
      <c r="G5710" s="12"/>
      <c r="H5710" s="12"/>
      <c r="I5710" s="12"/>
      <c r="J5710" s="12"/>
    </row>
    <row r="5711" spans="5:10" x14ac:dyDescent="0.25">
      <c r="E5711"/>
      <c r="F5711"/>
      <c r="G5711" s="12"/>
      <c r="H5711" s="12"/>
      <c r="I5711" s="12"/>
      <c r="J5711" s="12"/>
    </row>
    <row r="5712" spans="5:10" x14ac:dyDescent="0.25">
      <c r="E5712"/>
      <c r="F5712"/>
      <c r="G5712" s="12"/>
      <c r="H5712" s="12"/>
      <c r="I5712" s="12"/>
      <c r="J5712" s="12"/>
    </row>
    <row r="5713" spans="5:10" x14ac:dyDescent="0.25">
      <c r="E5713"/>
      <c r="F5713"/>
      <c r="G5713" s="12"/>
      <c r="H5713" s="12"/>
      <c r="I5713" s="12"/>
      <c r="J5713" s="12"/>
    </row>
    <row r="5714" spans="5:10" x14ac:dyDescent="0.25">
      <c r="E5714"/>
      <c r="F5714"/>
      <c r="G5714" s="12"/>
      <c r="H5714" s="12"/>
      <c r="I5714" s="12"/>
      <c r="J5714" s="12"/>
    </row>
    <row r="5715" spans="5:10" x14ac:dyDescent="0.25">
      <c r="E5715"/>
      <c r="F5715"/>
      <c r="G5715" s="12"/>
      <c r="H5715" s="12"/>
      <c r="I5715" s="12"/>
      <c r="J5715" s="12"/>
    </row>
    <row r="5716" spans="5:10" x14ac:dyDescent="0.25">
      <c r="E5716"/>
      <c r="F5716"/>
      <c r="G5716" s="12"/>
      <c r="H5716" s="12"/>
      <c r="I5716" s="12"/>
      <c r="J5716" s="12"/>
    </row>
    <row r="5717" spans="5:10" x14ac:dyDescent="0.25">
      <c r="E5717"/>
      <c r="F5717"/>
      <c r="G5717" s="12"/>
      <c r="H5717" s="12"/>
      <c r="I5717" s="12"/>
      <c r="J5717" s="12"/>
    </row>
    <row r="5718" spans="5:10" x14ac:dyDescent="0.25">
      <c r="E5718"/>
      <c r="F5718"/>
      <c r="G5718" s="12"/>
      <c r="H5718" s="12"/>
      <c r="I5718" s="12"/>
      <c r="J5718" s="12"/>
    </row>
    <row r="5719" spans="5:10" x14ac:dyDescent="0.25">
      <c r="E5719"/>
      <c r="F5719"/>
      <c r="G5719" s="12"/>
      <c r="H5719" s="12"/>
      <c r="I5719" s="12"/>
      <c r="J5719" s="12"/>
    </row>
    <row r="5720" spans="5:10" x14ac:dyDescent="0.25">
      <c r="E5720"/>
      <c r="F5720"/>
      <c r="G5720" s="12"/>
      <c r="H5720" s="12"/>
      <c r="I5720" s="12"/>
      <c r="J5720" s="12"/>
    </row>
    <row r="5721" spans="5:10" x14ac:dyDescent="0.25">
      <c r="E5721"/>
      <c r="F5721"/>
      <c r="G5721" s="12"/>
      <c r="H5721" s="12"/>
      <c r="I5721" s="12"/>
      <c r="J5721" s="12"/>
    </row>
    <row r="5722" spans="5:10" x14ac:dyDescent="0.25">
      <c r="E5722"/>
      <c r="F5722"/>
      <c r="G5722" s="12"/>
      <c r="H5722" s="12"/>
      <c r="I5722" s="12"/>
      <c r="J5722" s="12"/>
    </row>
    <row r="5723" spans="5:10" x14ac:dyDescent="0.25">
      <c r="E5723"/>
      <c r="F5723"/>
      <c r="G5723" s="12"/>
      <c r="H5723" s="12"/>
      <c r="I5723" s="12"/>
      <c r="J5723" s="12"/>
    </row>
    <row r="5724" spans="5:10" x14ac:dyDescent="0.25">
      <c r="E5724"/>
      <c r="F5724"/>
      <c r="G5724" s="12"/>
      <c r="H5724" s="12"/>
      <c r="I5724" s="12"/>
      <c r="J5724" s="12"/>
    </row>
    <row r="5725" spans="5:10" x14ac:dyDescent="0.25">
      <c r="E5725"/>
      <c r="F5725"/>
      <c r="G5725" s="12"/>
      <c r="H5725" s="12"/>
      <c r="I5725" s="12"/>
      <c r="J5725" s="12"/>
    </row>
    <row r="5726" spans="5:10" x14ac:dyDescent="0.25">
      <c r="E5726"/>
      <c r="F5726"/>
      <c r="G5726" s="12"/>
      <c r="H5726" s="12"/>
      <c r="I5726" s="12"/>
      <c r="J5726" s="12"/>
    </row>
    <row r="5727" spans="5:10" x14ac:dyDescent="0.25">
      <c r="E5727"/>
      <c r="F5727"/>
      <c r="G5727" s="12"/>
      <c r="H5727" s="12"/>
      <c r="I5727" s="12"/>
      <c r="J5727" s="12"/>
    </row>
    <row r="5728" spans="5:10" x14ac:dyDescent="0.25">
      <c r="E5728"/>
      <c r="F5728"/>
      <c r="G5728" s="12"/>
      <c r="H5728" s="12"/>
      <c r="I5728" s="12"/>
      <c r="J5728" s="12"/>
    </row>
    <row r="5729" spans="5:10" x14ac:dyDescent="0.25">
      <c r="E5729"/>
      <c r="F5729"/>
      <c r="G5729" s="12"/>
      <c r="H5729" s="12"/>
      <c r="I5729" s="12"/>
      <c r="J5729" s="12"/>
    </row>
    <row r="5730" spans="5:10" x14ac:dyDescent="0.25">
      <c r="E5730"/>
      <c r="F5730"/>
      <c r="G5730" s="12"/>
      <c r="H5730" s="12"/>
      <c r="I5730" s="12"/>
      <c r="J5730" s="12"/>
    </row>
    <row r="5731" spans="5:10" x14ac:dyDescent="0.25">
      <c r="E5731"/>
      <c r="F5731"/>
      <c r="G5731" s="12"/>
      <c r="H5731" s="12"/>
      <c r="I5731" s="12"/>
      <c r="J5731" s="12"/>
    </row>
    <row r="5732" spans="5:10" x14ac:dyDescent="0.25">
      <c r="E5732"/>
      <c r="F5732"/>
      <c r="G5732" s="12"/>
      <c r="H5732" s="12"/>
      <c r="I5732" s="12"/>
      <c r="J5732" s="12"/>
    </row>
    <row r="5733" spans="5:10" x14ac:dyDescent="0.25">
      <c r="E5733"/>
      <c r="F5733"/>
      <c r="G5733" s="12"/>
      <c r="H5733" s="12"/>
      <c r="I5733" s="12"/>
      <c r="J5733" s="12"/>
    </row>
    <row r="5734" spans="5:10" x14ac:dyDescent="0.25">
      <c r="E5734"/>
      <c r="F5734"/>
      <c r="G5734" s="12"/>
      <c r="H5734" s="12"/>
      <c r="I5734" s="12"/>
      <c r="J5734" s="12"/>
    </row>
    <row r="5735" spans="5:10" x14ac:dyDescent="0.25">
      <c r="E5735"/>
      <c r="F5735"/>
      <c r="G5735" s="12"/>
      <c r="H5735" s="12"/>
      <c r="I5735" s="12"/>
      <c r="J5735" s="12"/>
    </row>
    <row r="5736" spans="5:10" x14ac:dyDescent="0.25">
      <c r="E5736"/>
      <c r="F5736"/>
      <c r="G5736" s="12"/>
      <c r="H5736" s="12"/>
      <c r="I5736" s="12"/>
      <c r="J5736" s="12"/>
    </row>
    <row r="5737" spans="5:10" x14ac:dyDescent="0.25">
      <c r="E5737"/>
      <c r="F5737"/>
      <c r="G5737" s="12"/>
      <c r="H5737" s="12"/>
      <c r="I5737" s="12"/>
      <c r="J5737" s="12"/>
    </row>
    <row r="5738" spans="5:10" x14ac:dyDescent="0.25">
      <c r="E5738"/>
      <c r="F5738"/>
      <c r="G5738" s="12"/>
      <c r="H5738" s="12"/>
      <c r="I5738" s="12"/>
      <c r="J5738" s="12"/>
    </row>
    <row r="5739" spans="5:10" x14ac:dyDescent="0.25">
      <c r="E5739"/>
      <c r="F5739"/>
      <c r="G5739" s="12"/>
      <c r="H5739" s="12"/>
      <c r="I5739" s="12"/>
      <c r="J5739" s="12"/>
    </row>
    <row r="5740" spans="5:10" x14ac:dyDescent="0.25">
      <c r="E5740"/>
      <c r="F5740"/>
      <c r="G5740" s="12"/>
      <c r="H5740" s="12"/>
      <c r="I5740" s="12"/>
      <c r="J5740" s="12"/>
    </row>
    <row r="5741" spans="5:10" x14ac:dyDescent="0.25">
      <c r="E5741"/>
      <c r="F5741"/>
      <c r="G5741" s="12"/>
      <c r="H5741" s="12"/>
      <c r="I5741" s="12"/>
      <c r="J5741" s="12"/>
    </row>
    <row r="5742" spans="5:10" x14ac:dyDescent="0.25">
      <c r="E5742"/>
      <c r="F5742"/>
      <c r="G5742" s="12"/>
      <c r="H5742" s="12"/>
      <c r="I5742" s="12"/>
      <c r="J5742" s="12"/>
    </row>
    <row r="5743" spans="5:10" x14ac:dyDescent="0.25">
      <c r="E5743"/>
      <c r="F5743"/>
      <c r="G5743" s="12"/>
      <c r="H5743" s="12"/>
      <c r="I5743" s="12"/>
      <c r="J5743" s="12"/>
    </row>
    <row r="5744" spans="5:10" x14ac:dyDescent="0.25">
      <c r="E5744"/>
      <c r="F5744"/>
      <c r="G5744" s="12"/>
      <c r="H5744" s="12"/>
      <c r="I5744" s="12"/>
      <c r="J5744" s="12"/>
    </row>
    <row r="5745" spans="5:10" x14ac:dyDescent="0.25">
      <c r="E5745"/>
      <c r="F5745"/>
      <c r="G5745" s="12"/>
      <c r="H5745" s="12"/>
      <c r="I5745" s="12"/>
      <c r="J5745" s="12"/>
    </row>
    <row r="5746" spans="5:10" x14ac:dyDescent="0.25">
      <c r="E5746"/>
      <c r="F5746"/>
      <c r="G5746" s="12"/>
      <c r="H5746" s="12"/>
      <c r="I5746" s="12"/>
      <c r="J5746" s="12"/>
    </row>
    <row r="5747" spans="5:10" x14ac:dyDescent="0.25">
      <c r="E5747"/>
      <c r="F5747"/>
      <c r="G5747" s="12"/>
      <c r="H5747" s="12"/>
      <c r="I5747" s="12"/>
      <c r="J5747" s="12"/>
    </row>
    <row r="5748" spans="5:10" x14ac:dyDescent="0.25">
      <c r="E5748"/>
      <c r="F5748"/>
      <c r="G5748" s="12"/>
      <c r="H5748" s="12"/>
      <c r="I5748" s="12"/>
      <c r="J5748" s="12"/>
    </row>
    <row r="5749" spans="5:10" x14ac:dyDescent="0.25">
      <c r="E5749"/>
      <c r="F5749"/>
      <c r="G5749" s="12"/>
      <c r="H5749" s="12"/>
      <c r="I5749" s="12"/>
      <c r="J5749" s="12"/>
    </row>
    <row r="5750" spans="5:10" x14ac:dyDescent="0.25">
      <c r="E5750"/>
      <c r="F5750"/>
      <c r="G5750" s="12"/>
      <c r="H5750" s="12"/>
      <c r="I5750" s="12"/>
      <c r="J5750" s="12"/>
    </row>
    <row r="5751" spans="5:10" x14ac:dyDescent="0.25">
      <c r="E5751"/>
      <c r="F5751"/>
      <c r="G5751" s="12"/>
      <c r="H5751" s="12"/>
      <c r="I5751" s="12"/>
      <c r="J5751" s="12"/>
    </row>
    <row r="5752" spans="5:10" x14ac:dyDescent="0.25">
      <c r="E5752"/>
      <c r="F5752"/>
      <c r="G5752" s="12"/>
      <c r="H5752" s="12"/>
      <c r="I5752" s="12"/>
      <c r="J5752" s="12"/>
    </row>
    <row r="5753" spans="5:10" x14ac:dyDescent="0.25">
      <c r="E5753"/>
      <c r="F5753"/>
      <c r="G5753" s="12"/>
      <c r="H5753" s="12"/>
      <c r="I5753" s="12"/>
      <c r="J5753" s="12"/>
    </row>
    <row r="5754" spans="5:10" x14ac:dyDescent="0.25">
      <c r="E5754"/>
      <c r="F5754"/>
      <c r="G5754" s="12"/>
      <c r="H5754" s="12"/>
      <c r="I5754" s="12"/>
      <c r="J5754" s="12"/>
    </row>
    <row r="5755" spans="5:10" x14ac:dyDescent="0.25">
      <c r="E5755"/>
      <c r="F5755"/>
      <c r="G5755" s="12"/>
      <c r="H5755" s="12"/>
      <c r="I5755" s="12"/>
      <c r="J5755" s="12"/>
    </row>
    <row r="5756" spans="5:10" x14ac:dyDescent="0.25">
      <c r="E5756"/>
      <c r="F5756"/>
      <c r="G5756" s="12"/>
      <c r="H5756" s="12"/>
      <c r="I5756" s="12"/>
      <c r="J5756" s="12"/>
    </row>
    <row r="5757" spans="5:10" x14ac:dyDescent="0.25">
      <c r="E5757"/>
      <c r="F5757"/>
      <c r="G5757" s="12"/>
      <c r="H5757" s="12"/>
      <c r="I5757" s="12"/>
      <c r="J5757" s="12"/>
    </row>
    <row r="5758" spans="5:10" x14ac:dyDescent="0.25">
      <c r="E5758"/>
      <c r="F5758"/>
      <c r="G5758" s="12"/>
      <c r="H5758" s="12"/>
      <c r="I5758" s="12"/>
      <c r="J5758" s="12"/>
    </row>
    <row r="5759" spans="5:10" x14ac:dyDescent="0.25">
      <c r="E5759"/>
      <c r="F5759"/>
      <c r="G5759" s="12"/>
      <c r="H5759" s="12"/>
      <c r="I5759" s="12"/>
      <c r="J5759" s="12"/>
    </row>
    <row r="5760" spans="5:10" x14ac:dyDescent="0.25">
      <c r="E5760"/>
      <c r="F5760"/>
      <c r="G5760" s="12"/>
      <c r="H5760" s="12"/>
      <c r="I5760" s="12"/>
      <c r="J5760" s="12"/>
    </row>
    <row r="5761" spans="5:10" x14ac:dyDescent="0.25">
      <c r="E5761"/>
      <c r="F5761"/>
      <c r="G5761" s="12"/>
      <c r="H5761" s="12"/>
      <c r="I5761" s="12"/>
      <c r="J5761" s="12"/>
    </row>
    <row r="5762" spans="5:10" x14ac:dyDescent="0.25">
      <c r="E5762"/>
      <c r="F5762"/>
      <c r="G5762" s="12"/>
      <c r="H5762" s="12"/>
      <c r="I5762" s="12"/>
      <c r="J5762" s="12"/>
    </row>
    <row r="5763" spans="5:10" x14ac:dyDescent="0.25">
      <c r="E5763"/>
      <c r="F5763"/>
      <c r="G5763" s="12"/>
      <c r="H5763" s="12"/>
      <c r="I5763" s="12"/>
      <c r="J5763" s="12"/>
    </row>
    <row r="5764" spans="5:10" x14ac:dyDescent="0.25">
      <c r="E5764"/>
      <c r="F5764"/>
      <c r="G5764" s="12"/>
      <c r="H5764" s="12"/>
      <c r="I5764" s="12"/>
      <c r="J5764" s="12"/>
    </row>
    <row r="5765" spans="5:10" x14ac:dyDescent="0.25">
      <c r="E5765"/>
      <c r="F5765"/>
      <c r="G5765" s="12"/>
      <c r="H5765" s="12"/>
      <c r="I5765" s="12"/>
      <c r="J5765" s="12"/>
    </row>
    <row r="5766" spans="5:10" x14ac:dyDescent="0.25">
      <c r="E5766"/>
      <c r="F5766"/>
      <c r="G5766" s="12"/>
      <c r="H5766" s="12"/>
      <c r="I5766" s="12"/>
      <c r="J5766" s="12"/>
    </row>
    <row r="5767" spans="5:10" x14ac:dyDescent="0.25">
      <c r="E5767"/>
      <c r="F5767"/>
      <c r="G5767" s="12"/>
      <c r="H5767" s="12"/>
      <c r="I5767" s="12"/>
      <c r="J5767" s="12"/>
    </row>
    <row r="5768" spans="5:10" x14ac:dyDescent="0.25">
      <c r="E5768"/>
      <c r="F5768"/>
      <c r="G5768" s="12"/>
      <c r="H5768" s="12"/>
      <c r="I5768" s="12"/>
      <c r="J5768" s="12"/>
    </row>
    <row r="5769" spans="5:10" x14ac:dyDescent="0.25">
      <c r="E5769"/>
      <c r="F5769"/>
      <c r="G5769" s="12"/>
      <c r="H5769" s="12"/>
      <c r="I5769" s="12"/>
      <c r="J5769" s="12"/>
    </row>
    <row r="5770" spans="5:10" x14ac:dyDescent="0.25">
      <c r="E5770"/>
      <c r="F5770"/>
      <c r="G5770" s="12"/>
      <c r="H5770" s="12"/>
      <c r="I5770" s="12"/>
      <c r="J5770" s="12"/>
    </row>
    <row r="5771" spans="5:10" x14ac:dyDescent="0.25">
      <c r="E5771"/>
      <c r="F5771"/>
      <c r="G5771" s="12"/>
      <c r="H5771" s="12"/>
      <c r="I5771" s="12"/>
      <c r="J5771" s="12"/>
    </row>
    <row r="5772" spans="5:10" x14ac:dyDescent="0.25">
      <c r="E5772"/>
      <c r="F5772"/>
      <c r="G5772" s="12"/>
      <c r="H5772" s="12"/>
      <c r="I5772" s="12"/>
      <c r="J5772" s="12"/>
    </row>
    <row r="5773" spans="5:10" x14ac:dyDescent="0.25">
      <c r="E5773"/>
      <c r="F5773"/>
      <c r="G5773" s="12"/>
      <c r="H5773" s="12"/>
      <c r="I5773" s="12"/>
      <c r="J5773" s="12"/>
    </row>
    <row r="5774" spans="5:10" x14ac:dyDescent="0.25">
      <c r="E5774"/>
      <c r="F5774"/>
      <c r="G5774" s="12"/>
      <c r="H5774" s="12"/>
      <c r="I5774" s="12"/>
      <c r="J5774" s="12"/>
    </row>
    <row r="5775" spans="5:10" x14ac:dyDescent="0.25">
      <c r="E5775"/>
      <c r="F5775"/>
      <c r="G5775" s="12"/>
      <c r="H5775" s="12"/>
      <c r="I5775" s="12"/>
      <c r="J5775" s="12"/>
    </row>
    <row r="5776" spans="5:10" x14ac:dyDescent="0.25">
      <c r="E5776"/>
      <c r="F5776"/>
      <c r="G5776" s="12"/>
      <c r="H5776" s="12"/>
      <c r="I5776" s="12"/>
      <c r="J5776" s="12"/>
    </row>
    <row r="5777" spans="5:10" x14ac:dyDescent="0.25">
      <c r="E5777"/>
      <c r="F5777"/>
      <c r="G5777" s="12"/>
      <c r="H5777" s="12"/>
      <c r="I5777" s="12"/>
      <c r="J5777" s="12"/>
    </row>
    <row r="5778" spans="5:10" x14ac:dyDescent="0.25">
      <c r="E5778"/>
      <c r="F5778"/>
      <c r="G5778" s="12"/>
      <c r="H5778" s="12"/>
      <c r="I5778" s="12"/>
      <c r="J5778" s="12"/>
    </row>
    <row r="5779" spans="5:10" x14ac:dyDescent="0.25">
      <c r="E5779"/>
      <c r="F5779"/>
      <c r="G5779" s="12"/>
      <c r="H5779" s="12"/>
      <c r="I5779" s="12"/>
      <c r="J5779" s="12"/>
    </row>
    <row r="5780" spans="5:10" x14ac:dyDescent="0.25">
      <c r="E5780"/>
      <c r="F5780"/>
      <c r="G5780" s="12"/>
      <c r="H5780" s="12"/>
      <c r="I5780" s="12"/>
      <c r="J5780" s="12"/>
    </row>
    <row r="5781" spans="5:10" x14ac:dyDescent="0.25">
      <c r="E5781"/>
      <c r="F5781"/>
      <c r="G5781" s="12"/>
      <c r="H5781" s="12"/>
      <c r="I5781" s="12"/>
      <c r="J5781" s="12"/>
    </row>
    <row r="5782" spans="5:10" x14ac:dyDescent="0.25">
      <c r="E5782"/>
      <c r="F5782"/>
      <c r="G5782" s="12"/>
      <c r="H5782" s="12"/>
      <c r="I5782" s="12"/>
      <c r="J5782" s="12"/>
    </row>
    <row r="5783" spans="5:10" x14ac:dyDescent="0.25">
      <c r="E5783"/>
      <c r="F5783"/>
      <c r="G5783" s="12"/>
      <c r="H5783" s="12"/>
      <c r="I5783" s="12"/>
      <c r="J5783" s="12"/>
    </row>
    <row r="5784" spans="5:10" x14ac:dyDescent="0.25">
      <c r="E5784"/>
      <c r="F5784"/>
      <c r="G5784" s="12"/>
      <c r="H5784" s="12"/>
      <c r="I5784" s="12"/>
      <c r="J5784" s="12"/>
    </row>
    <row r="5785" spans="5:10" x14ac:dyDescent="0.25">
      <c r="E5785"/>
      <c r="F5785"/>
      <c r="G5785" s="12"/>
      <c r="H5785" s="12"/>
      <c r="I5785" s="12"/>
      <c r="J5785" s="12"/>
    </row>
    <row r="5786" spans="5:10" x14ac:dyDescent="0.25">
      <c r="E5786"/>
      <c r="F5786"/>
      <c r="G5786" s="12"/>
      <c r="H5786" s="12"/>
      <c r="I5786" s="12"/>
      <c r="J5786" s="12"/>
    </row>
    <row r="5787" spans="5:10" x14ac:dyDescent="0.25">
      <c r="E5787"/>
      <c r="F5787"/>
      <c r="G5787" s="12"/>
      <c r="H5787" s="12"/>
      <c r="I5787" s="12"/>
      <c r="J5787" s="12"/>
    </row>
    <row r="5788" spans="5:10" x14ac:dyDescent="0.25">
      <c r="E5788"/>
      <c r="F5788"/>
      <c r="G5788" s="12"/>
      <c r="H5788" s="12"/>
      <c r="I5788" s="12"/>
      <c r="J5788" s="12"/>
    </row>
    <row r="5789" spans="5:10" x14ac:dyDescent="0.25">
      <c r="E5789"/>
      <c r="F5789"/>
      <c r="G5789" s="12"/>
      <c r="H5789" s="12"/>
      <c r="I5789" s="12"/>
      <c r="J5789" s="12"/>
    </row>
    <row r="5790" spans="5:10" x14ac:dyDescent="0.25">
      <c r="E5790"/>
      <c r="F5790"/>
      <c r="G5790" s="12"/>
      <c r="H5790" s="12"/>
      <c r="I5790" s="12"/>
      <c r="J5790" s="12"/>
    </row>
    <row r="5791" spans="5:10" x14ac:dyDescent="0.25">
      <c r="E5791"/>
      <c r="F5791"/>
      <c r="G5791" s="12"/>
      <c r="H5791" s="12"/>
      <c r="I5791" s="12"/>
      <c r="J5791" s="12"/>
    </row>
    <row r="5792" spans="5:10" x14ac:dyDescent="0.25">
      <c r="E5792"/>
      <c r="F5792"/>
      <c r="G5792" s="12"/>
      <c r="H5792" s="12"/>
      <c r="I5792" s="12"/>
      <c r="J5792" s="12"/>
    </row>
    <row r="5793" spans="5:10" x14ac:dyDescent="0.25">
      <c r="E5793"/>
      <c r="F5793"/>
      <c r="G5793" s="12"/>
      <c r="H5793" s="12"/>
      <c r="I5793" s="12"/>
      <c r="J5793" s="12"/>
    </row>
    <row r="5794" spans="5:10" x14ac:dyDescent="0.25">
      <c r="E5794"/>
      <c r="F5794"/>
      <c r="G5794" s="12"/>
      <c r="H5794" s="12"/>
      <c r="I5794" s="12"/>
      <c r="J5794" s="12"/>
    </row>
    <row r="5795" spans="5:10" x14ac:dyDescent="0.25">
      <c r="E5795"/>
      <c r="F5795"/>
      <c r="G5795" s="12"/>
      <c r="H5795" s="12"/>
      <c r="I5795" s="12"/>
      <c r="J5795" s="12"/>
    </row>
    <row r="5796" spans="5:10" x14ac:dyDescent="0.25">
      <c r="E5796"/>
      <c r="F5796"/>
      <c r="G5796" s="12"/>
      <c r="H5796" s="12"/>
      <c r="I5796" s="12"/>
      <c r="J5796" s="12"/>
    </row>
    <row r="5797" spans="5:10" x14ac:dyDescent="0.25">
      <c r="E5797"/>
      <c r="F5797"/>
      <c r="G5797" s="12"/>
      <c r="H5797" s="12"/>
      <c r="I5797" s="12"/>
      <c r="J5797" s="12"/>
    </row>
    <row r="5798" spans="5:10" x14ac:dyDescent="0.25">
      <c r="E5798"/>
      <c r="F5798"/>
      <c r="G5798" s="12"/>
      <c r="H5798" s="12"/>
      <c r="I5798" s="12"/>
      <c r="J5798" s="12"/>
    </row>
    <row r="5799" spans="5:10" x14ac:dyDescent="0.25">
      <c r="E5799"/>
      <c r="F5799"/>
      <c r="G5799" s="12"/>
      <c r="H5799" s="12"/>
      <c r="I5799" s="12"/>
      <c r="J5799" s="12"/>
    </row>
    <row r="5800" spans="5:10" x14ac:dyDescent="0.25">
      <c r="E5800"/>
      <c r="F5800"/>
      <c r="G5800" s="12"/>
      <c r="H5800" s="12"/>
      <c r="I5800" s="12"/>
      <c r="J5800" s="12"/>
    </row>
    <row r="5801" spans="5:10" x14ac:dyDescent="0.25">
      <c r="E5801"/>
      <c r="F5801"/>
      <c r="G5801" s="12"/>
      <c r="H5801" s="12"/>
      <c r="I5801" s="12"/>
      <c r="J5801" s="12"/>
    </row>
    <row r="5802" spans="5:10" x14ac:dyDescent="0.25">
      <c r="E5802"/>
      <c r="F5802"/>
      <c r="G5802" s="12"/>
      <c r="H5802" s="12"/>
      <c r="I5802" s="12"/>
      <c r="J5802" s="12"/>
    </row>
    <row r="5803" spans="5:10" x14ac:dyDescent="0.25">
      <c r="E5803"/>
      <c r="F5803"/>
      <c r="G5803" s="12"/>
      <c r="H5803" s="12"/>
      <c r="I5803" s="12"/>
      <c r="J5803" s="12"/>
    </row>
    <row r="5804" spans="5:10" x14ac:dyDescent="0.25">
      <c r="E5804"/>
      <c r="F5804"/>
      <c r="G5804" s="12"/>
      <c r="H5804" s="12"/>
      <c r="I5804" s="12"/>
      <c r="J5804" s="12"/>
    </row>
    <row r="5805" spans="5:10" x14ac:dyDescent="0.25">
      <c r="E5805"/>
      <c r="F5805"/>
      <c r="G5805" s="12"/>
      <c r="H5805" s="12"/>
      <c r="I5805" s="12"/>
      <c r="J5805" s="12"/>
    </row>
    <row r="5806" spans="5:10" x14ac:dyDescent="0.25">
      <c r="E5806"/>
      <c r="F5806"/>
      <c r="G5806" s="12"/>
      <c r="H5806" s="12"/>
      <c r="I5806" s="12"/>
      <c r="J5806" s="12"/>
    </row>
    <row r="5807" spans="5:10" x14ac:dyDescent="0.25">
      <c r="E5807"/>
      <c r="F5807"/>
      <c r="G5807" s="12"/>
      <c r="H5807" s="12"/>
      <c r="I5807" s="12"/>
      <c r="J5807" s="12"/>
    </row>
    <row r="5808" spans="5:10" x14ac:dyDescent="0.25">
      <c r="E5808"/>
      <c r="F5808"/>
      <c r="G5808" s="12"/>
      <c r="H5808" s="12"/>
      <c r="I5808" s="12"/>
      <c r="J5808" s="12"/>
    </row>
    <row r="5809" spans="5:10" x14ac:dyDescent="0.25">
      <c r="E5809"/>
      <c r="F5809"/>
      <c r="G5809" s="12"/>
      <c r="H5809" s="12"/>
      <c r="I5809" s="12"/>
      <c r="J5809" s="12"/>
    </row>
    <row r="5810" spans="5:10" x14ac:dyDescent="0.25">
      <c r="E5810"/>
      <c r="F5810"/>
      <c r="G5810" s="12"/>
      <c r="H5810" s="12"/>
      <c r="I5810" s="12"/>
      <c r="J5810" s="12"/>
    </row>
    <row r="5811" spans="5:10" x14ac:dyDescent="0.25">
      <c r="E5811"/>
      <c r="F5811"/>
      <c r="G5811" s="12"/>
      <c r="H5811" s="12"/>
      <c r="I5811" s="12"/>
      <c r="J5811" s="12"/>
    </row>
    <row r="5812" spans="5:10" x14ac:dyDescent="0.25">
      <c r="E5812"/>
      <c r="F5812"/>
      <c r="G5812" s="12"/>
      <c r="H5812" s="12"/>
      <c r="I5812" s="12"/>
      <c r="J5812" s="12"/>
    </row>
    <row r="5813" spans="5:10" x14ac:dyDescent="0.25">
      <c r="E5813"/>
      <c r="F5813"/>
      <c r="G5813" s="12"/>
      <c r="H5813" s="12"/>
      <c r="I5813" s="12"/>
      <c r="J5813" s="12"/>
    </row>
    <row r="5814" spans="5:10" x14ac:dyDescent="0.25">
      <c r="E5814"/>
      <c r="F5814"/>
      <c r="G5814" s="12"/>
      <c r="H5814" s="12"/>
      <c r="I5814" s="12"/>
      <c r="J5814" s="12"/>
    </row>
    <row r="5815" spans="5:10" x14ac:dyDescent="0.25">
      <c r="E5815"/>
      <c r="F5815"/>
      <c r="G5815" s="12"/>
      <c r="H5815" s="12"/>
      <c r="I5815" s="12"/>
      <c r="J5815" s="12"/>
    </row>
    <row r="5816" spans="5:10" x14ac:dyDescent="0.25">
      <c r="E5816"/>
      <c r="F5816"/>
      <c r="G5816" s="12"/>
      <c r="H5816" s="12"/>
      <c r="I5816" s="12"/>
      <c r="J5816" s="12"/>
    </row>
    <row r="5817" spans="5:10" x14ac:dyDescent="0.25">
      <c r="E5817"/>
      <c r="F5817"/>
      <c r="G5817" s="12"/>
      <c r="H5817" s="12"/>
      <c r="I5817" s="12"/>
      <c r="J5817" s="12"/>
    </row>
    <row r="5818" spans="5:10" x14ac:dyDescent="0.25">
      <c r="E5818"/>
      <c r="F5818"/>
      <c r="G5818" s="12"/>
      <c r="H5818" s="12"/>
      <c r="I5818" s="12"/>
      <c r="J5818" s="12"/>
    </row>
    <row r="5819" spans="5:10" x14ac:dyDescent="0.25">
      <c r="E5819"/>
      <c r="F5819"/>
      <c r="G5819" s="12"/>
      <c r="H5819" s="12"/>
      <c r="I5819" s="12"/>
      <c r="J5819" s="12"/>
    </row>
    <row r="5820" spans="5:10" x14ac:dyDescent="0.25">
      <c r="E5820"/>
      <c r="F5820"/>
      <c r="G5820" s="12"/>
      <c r="H5820" s="12"/>
      <c r="I5820" s="12"/>
      <c r="J5820" s="12"/>
    </row>
    <row r="5821" spans="5:10" x14ac:dyDescent="0.25">
      <c r="E5821"/>
      <c r="F5821"/>
      <c r="G5821" s="12"/>
      <c r="H5821" s="12"/>
      <c r="I5821" s="12"/>
      <c r="J5821" s="12"/>
    </row>
    <row r="5822" spans="5:10" x14ac:dyDescent="0.25">
      <c r="E5822"/>
      <c r="F5822"/>
      <c r="G5822" s="12"/>
      <c r="H5822" s="12"/>
      <c r="I5822" s="12"/>
      <c r="J5822" s="12"/>
    </row>
    <row r="5823" spans="5:10" x14ac:dyDescent="0.25">
      <c r="E5823"/>
      <c r="F5823"/>
      <c r="G5823" s="12"/>
      <c r="H5823" s="12"/>
      <c r="I5823" s="12"/>
      <c r="J5823" s="12"/>
    </row>
    <row r="5824" spans="5:10" x14ac:dyDescent="0.25">
      <c r="E5824"/>
      <c r="F5824"/>
      <c r="G5824" s="12"/>
      <c r="H5824" s="12"/>
      <c r="I5824" s="12"/>
      <c r="J5824" s="12"/>
    </row>
    <row r="5825" spans="5:10" x14ac:dyDescent="0.25">
      <c r="E5825"/>
      <c r="F5825"/>
      <c r="G5825" s="12"/>
      <c r="H5825" s="12"/>
      <c r="I5825" s="12"/>
      <c r="J5825" s="12"/>
    </row>
    <row r="5826" spans="5:10" x14ac:dyDescent="0.25">
      <c r="E5826"/>
      <c r="F5826"/>
      <c r="G5826" s="12"/>
      <c r="H5826" s="12"/>
      <c r="I5826" s="12"/>
      <c r="J5826" s="12"/>
    </row>
    <row r="5827" spans="5:10" x14ac:dyDescent="0.25">
      <c r="E5827"/>
      <c r="F5827"/>
      <c r="G5827" s="12"/>
      <c r="H5827" s="12"/>
      <c r="I5827" s="12"/>
      <c r="J5827" s="12"/>
    </row>
    <row r="5828" spans="5:10" x14ac:dyDescent="0.25">
      <c r="E5828"/>
      <c r="F5828"/>
      <c r="G5828" s="12"/>
      <c r="H5828" s="12"/>
      <c r="I5828" s="12"/>
      <c r="J5828" s="12"/>
    </row>
    <row r="5829" spans="5:10" x14ac:dyDescent="0.25">
      <c r="E5829"/>
      <c r="F5829"/>
      <c r="G5829" s="12"/>
      <c r="H5829" s="12"/>
      <c r="I5829" s="12"/>
      <c r="J5829" s="12"/>
    </row>
    <row r="5830" spans="5:10" x14ac:dyDescent="0.25">
      <c r="E5830"/>
      <c r="F5830"/>
      <c r="G5830" s="12"/>
      <c r="H5830" s="12"/>
      <c r="I5830" s="12"/>
      <c r="J5830" s="12"/>
    </row>
    <row r="5831" spans="5:10" x14ac:dyDescent="0.25">
      <c r="E5831"/>
      <c r="F5831"/>
      <c r="G5831" s="12"/>
      <c r="H5831" s="12"/>
      <c r="I5831" s="12"/>
      <c r="J5831" s="12"/>
    </row>
    <row r="5832" spans="5:10" x14ac:dyDescent="0.25">
      <c r="E5832"/>
      <c r="F5832"/>
      <c r="G5832" s="12"/>
      <c r="H5832" s="12"/>
      <c r="I5832" s="12"/>
      <c r="J5832" s="12"/>
    </row>
    <row r="5833" spans="5:10" x14ac:dyDescent="0.25">
      <c r="E5833"/>
      <c r="F5833"/>
      <c r="G5833" s="12"/>
      <c r="H5833" s="12"/>
      <c r="I5833" s="12"/>
      <c r="J5833" s="12"/>
    </row>
    <row r="5834" spans="5:10" x14ac:dyDescent="0.25">
      <c r="E5834"/>
      <c r="F5834"/>
      <c r="G5834" s="12"/>
      <c r="H5834" s="12"/>
      <c r="I5834" s="12"/>
      <c r="J5834" s="12"/>
    </row>
    <row r="5835" spans="5:10" x14ac:dyDescent="0.25">
      <c r="E5835"/>
      <c r="F5835"/>
      <c r="G5835" s="12"/>
      <c r="H5835" s="12"/>
      <c r="I5835" s="12"/>
      <c r="J5835" s="12"/>
    </row>
    <row r="5836" spans="5:10" x14ac:dyDescent="0.25">
      <c r="E5836"/>
      <c r="F5836"/>
      <c r="G5836" s="12"/>
      <c r="H5836" s="12"/>
      <c r="I5836" s="12"/>
      <c r="J5836" s="12"/>
    </row>
    <row r="5837" spans="5:10" x14ac:dyDescent="0.25">
      <c r="E5837"/>
      <c r="F5837"/>
      <c r="G5837" s="12"/>
      <c r="H5837" s="12"/>
      <c r="I5837" s="12"/>
      <c r="J5837" s="12"/>
    </row>
    <row r="5838" spans="5:10" x14ac:dyDescent="0.25">
      <c r="E5838"/>
      <c r="F5838"/>
      <c r="G5838" s="12"/>
      <c r="H5838" s="12"/>
      <c r="I5838" s="12"/>
      <c r="J5838" s="12"/>
    </row>
    <row r="5839" spans="5:10" x14ac:dyDescent="0.25">
      <c r="E5839"/>
      <c r="F5839"/>
      <c r="G5839" s="12"/>
      <c r="H5839" s="12"/>
      <c r="I5839" s="12"/>
      <c r="J5839" s="12"/>
    </row>
    <row r="5840" spans="5:10" x14ac:dyDescent="0.25">
      <c r="E5840"/>
      <c r="F5840"/>
      <c r="G5840" s="12"/>
      <c r="H5840" s="12"/>
      <c r="I5840" s="12"/>
      <c r="J5840" s="12"/>
    </row>
    <row r="5841" spans="5:10" x14ac:dyDescent="0.25">
      <c r="E5841"/>
      <c r="F5841"/>
      <c r="G5841" s="12"/>
      <c r="H5841" s="12"/>
      <c r="I5841" s="12"/>
      <c r="J5841" s="12"/>
    </row>
    <row r="5842" spans="5:10" x14ac:dyDescent="0.25">
      <c r="E5842"/>
      <c r="F5842"/>
      <c r="G5842" s="12"/>
      <c r="H5842" s="12"/>
      <c r="I5842" s="12"/>
      <c r="J5842" s="12"/>
    </row>
    <row r="5843" spans="5:10" x14ac:dyDescent="0.25">
      <c r="E5843"/>
      <c r="F5843"/>
      <c r="G5843" s="12"/>
      <c r="H5843" s="12"/>
      <c r="I5843" s="12"/>
      <c r="J5843" s="12"/>
    </row>
    <row r="5844" spans="5:10" x14ac:dyDescent="0.25">
      <c r="E5844"/>
      <c r="F5844"/>
      <c r="G5844" s="12"/>
      <c r="H5844" s="12"/>
      <c r="I5844" s="12"/>
      <c r="J5844" s="12"/>
    </row>
    <row r="5845" spans="5:10" x14ac:dyDescent="0.25">
      <c r="E5845"/>
      <c r="F5845"/>
      <c r="G5845" s="12"/>
      <c r="H5845" s="12"/>
      <c r="I5845" s="12"/>
      <c r="J5845" s="12"/>
    </row>
    <row r="5846" spans="5:10" x14ac:dyDescent="0.25">
      <c r="E5846"/>
      <c r="F5846"/>
      <c r="G5846" s="12"/>
      <c r="H5846" s="12"/>
      <c r="I5846" s="12"/>
      <c r="J5846" s="12"/>
    </row>
    <row r="5847" spans="5:10" x14ac:dyDescent="0.25">
      <c r="E5847"/>
      <c r="F5847"/>
      <c r="G5847" s="12"/>
      <c r="H5847" s="12"/>
      <c r="I5847" s="12"/>
      <c r="J5847" s="12"/>
    </row>
    <row r="5848" spans="5:10" x14ac:dyDescent="0.25">
      <c r="E5848"/>
      <c r="F5848"/>
      <c r="G5848" s="12"/>
      <c r="H5848" s="12"/>
      <c r="I5848" s="12"/>
      <c r="J5848" s="12"/>
    </row>
    <row r="5849" spans="5:10" x14ac:dyDescent="0.25">
      <c r="E5849"/>
      <c r="F5849"/>
      <c r="G5849" s="12"/>
      <c r="H5849" s="12"/>
      <c r="I5849" s="12"/>
      <c r="J5849" s="12"/>
    </row>
    <row r="5850" spans="5:10" x14ac:dyDescent="0.25">
      <c r="E5850"/>
      <c r="F5850"/>
      <c r="G5850" s="12"/>
      <c r="H5850" s="12"/>
      <c r="I5850" s="12"/>
      <c r="J5850" s="12"/>
    </row>
    <row r="5851" spans="5:10" x14ac:dyDescent="0.25">
      <c r="E5851"/>
      <c r="F5851"/>
      <c r="G5851" s="12"/>
      <c r="H5851" s="12"/>
      <c r="I5851" s="12"/>
      <c r="J5851" s="12"/>
    </row>
    <row r="5852" spans="5:10" x14ac:dyDescent="0.25">
      <c r="E5852"/>
      <c r="F5852"/>
      <c r="G5852" s="12"/>
      <c r="H5852" s="12"/>
      <c r="I5852" s="12"/>
      <c r="J5852" s="12"/>
    </row>
    <row r="5853" spans="5:10" x14ac:dyDescent="0.25">
      <c r="E5853"/>
      <c r="F5853"/>
      <c r="G5853" s="12"/>
      <c r="H5853" s="12"/>
      <c r="I5853" s="12"/>
      <c r="J5853" s="12"/>
    </row>
    <row r="5854" spans="5:10" x14ac:dyDescent="0.25">
      <c r="E5854"/>
      <c r="F5854"/>
      <c r="G5854" s="12"/>
      <c r="H5854" s="12"/>
      <c r="I5854" s="12"/>
      <c r="J5854" s="12"/>
    </row>
    <row r="5855" spans="5:10" x14ac:dyDescent="0.25">
      <c r="E5855"/>
      <c r="F5855"/>
      <c r="G5855" s="12"/>
      <c r="H5855" s="12"/>
      <c r="I5855" s="12"/>
      <c r="J5855" s="12"/>
    </row>
    <row r="5856" spans="5:10" x14ac:dyDescent="0.25">
      <c r="E5856"/>
      <c r="F5856"/>
      <c r="G5856" s="12"/>
      <c r="H5856" s="12"/>
      <c r="I5856" s="12"/>
      <c r="J5856" s="12"/>
    </row>
    <row r="5857" spans="5:10" x14ac:dyDescent="0.25">
      <c r="E5857"/>
      <c r="F5857"/>
      <c r="G5857" s="12"/>
      <c r="H5857" s="12"/>
      <c r="I5857" s="12"/>
      <c r="J5857" s="12"/>
    </row>
    <row r="5858" spans="5:10" x14ac:dyDescent="0.25">
      <c r="E5858"/>
      <c r="F5858"/>
      <c r="G5858" s="12"/>
      <c r="H5858" s="12"/>
      <c r="I5858" s="12"/>
      <c r="J5858" s="12"/>
    </row>
    <row r="5859" spans="5:10" x14ac:dyDescent="0.25">
      <c r="E5859"/>
      <c r="F5859"/>
      <c r="G5859" s="12"/>
      <c r="H5859" s="12"/>
      <c r="I5859" s="12"/>
      <c r="J5859" s="12"/>
    </row>
    <row r="5860" spans="5:10" x14ac:dyDescent="0.25">
      <c r="E5860"/>
      <c r="F5860"/>
      <c r="G5860" s="12"/>
      <c r="H5860" s="12"/>
      <c r="I5860" s="12"/>
      <c r="J5860" s="12"/>
    </row>
    <row r="5861" spans="5:10" x14ac:dyDescent="0.25">
      <c r="E5861"/>
      <c r="F5861"/>
      <c r="G5861" s="12"/>
      <c r="H5861" s="12"/>
      <c r="I5861" s="12"/>
      <c r="J5861" s="12"/>
    </row>
    <row r="5862" spans="5:10" x14ac:dyDescent="0.25">
      <c r="E5862"/>
      <c r="F5862"/>
      <c r="G5862" s="12"/>
      <c r="H5862" s="12"/>
      <c r="I5862" s="12"/>
      <c r="J5862" s="12"/>
    </row>
    <row r="5863" spans="5:10" x14ac:dyDescent="0.25">
      <c r="E5863"/>
      <c r="F5863"/>
      <c r="G5863" s="12"/>
      <c r="H5863" s="12"/>
      <c r="I5863" s="12"/>
      <c r="J5863" s="12"/>
    </row>
    <row r="5864" spans="5:10" x14ac:dyDescent="0.25">
      <c r="E5864"/>
      <c r="F5864"/>
      <c r="G5864" s="12"/>
      <c r="H5864" s="12"/>
      <c r="I5864" s="12"/>
      <c r="J5864" s="12"/>
    </row>
    <row r="5865" spans="5:10" x14ac:dyDescent="0.25">
      <c r="E5865"/>
      <c r="F5865"/>
      <c r="G5865" s="12"/>
      <c r="H5865" s="12"/>
      <c r="I5865" s="12"/>
      <c r="J5865" s="12"/>
    </row>
    <row r="5866" spans="5:10" x14ac:dyDescent="0.25">
      <c r="E5866"/>
      <c r="F5866"/>
      <c r="G5866" s="12"/>
      <c r="H5866" s="12"/>
      <c r="I5866" s="12"/>
      <c r="J5866" s="12"/>
    </row>
    <row r="5867" spans="5:10" x14ac:dyDescent="0.25">
      <c r="E5867"/>
      <c r="F5867"/>
      <c r="G5867" s="12"/>
      <c r="H5867" s="12"/>
      <c r="I5867" s="12"/>
      <c r="J5867" s="12"/>
    </row>
    <row r="5868" spans="5:10" x14ac:dyDescent="0.25">
      <c r="E5868"/>
      <c r="F5868"/>
      <c r="G5868" s="12"/>
      <c r="H5868" s="12"/>
      <c r="I5868" s="12"/>
      <c r="J5868" s="12"/>
    </row>
    <row r="5869" spans="5:10" x14ac:dyDescent="0.25">
      <c r="E5869"/>
      <c r="F5869"/>
      <c r="G5869" s="12"/>
      <c r="H5869" s="12"/>
      <c r="I5869" s="12"/>
      <c r="J5869" s="12"/>
    </row>
    <row r="5870" spans="5:10" x14ac:dyDescent="0.25">
      <c r="E5870"/>
      <c r="F5870"/>
      <c r="G5870" s="12"/>
      <c r="H5870" s="12"/>
      <c r="I5870" s="12"/>
      <c r="J5870" s="12"/>
    </row>
    <row r="5871" spans="5:10" x14ac:dyDescent="0.25">
      <c r="E5871"/>
      <c r="F5871"/>
      <c r="G5871" s="12"/>
      <c r="H5871" s="12"/>
      <c r="I5871" s="12"/>
      <c r="J5871" s="12"/>
    </row>
    <row r="5872" spans="5:10" x14ac:dyDescent="0.25">
      <c r="E5872"/>
      <c r="F5872"/>
      <c r="G5872" s="12"/>
      <c r="H5872" s="12"/>
      <c r="I5872" s="12"/>
      <c r="J5872" s="12"/>
    </row>
    <row r="5873" spans="5:10" x14ac:dyDescent="0.25">
      <c r="E5873"/>
      <c r="F5873"/>
      <c r="G5873" s="12"/>
      <c r="H5873" s="12"/>
      <c r="I5873" s="12"/>
      <c r="J5873" s="12"/>
    </row>
    <row r="5874" spans="5:10" x14ac:dyDescent="0.25">
      <c r="E5874"/>
      <c r="F5874"/>
      <c r="G5874" s="12"/>
      <c r="H5874" s="12"/>
      <c r="I5874" s="12"/>
      <c r="J5874" s="12"/>
    </row>
    <row r="5875" spans="5:10" x14ac:dyDescent="0.25">
      <c r="E5875"/>
      <c r="F5875"/>
      <c r="G5875" s="12"/>
      <c r="H5875" s="12"/>
      <c r="I5875" s="12"/>
      <c r="J5875" s="12"/>
    </row>
    <row r="5876" spans="5:10" x14ac:dyDescent="0.25">
      <c r="E5876"/>
      <c r="F5876"/>
      <c r="G5876" s="12"/>
      <c r="H5876" s="12"/>
      <c r="I5876" s="12"/>
      <c r="J5876" s="12"/>
    </row>
    <row r="5877" spans="5:10" x14ac:dyDescent="0.25">
      <c r="E5877"/>
      <c r="F5877"/>
      <c r="G5877" s="12"/>
      <c r="H5877" s="12"/>
      <c r="I5877" s="12"/>
      <c r="J5877" s="12"/>
    </row>
    <row r="5878" spans="5:10" x14ac:dyDescent="0.25">
      <c r="E5878"/>
      <c r="F5878"/>
      <c r="G5878" s="12"/>
      <c r="H5878" s="12"/>
      <c r="I5878" s="12"/>
      <c r="J5878" s="12"/>
    </row>
    <row r="5879" spans="5:10" x14ac:dyDescent="0.25">
      <c r="E5879"/>
      <c r="F5879"/>
      <c r="G5879" s="12"/>
      <c r="H5879" s="12"/>
      <c r="I5879" s="12"/>
      <c r="J5879" s="12"/>
    </row>
    <row r="5880" spans="5:10" x14ac:dyDescent="0.25">
      <c r="E5880"/>
      <c r="F5880"/>
      <c r="G5880" s="12"/>
      <c r="H5880" s="12"/>
      <c r="I5880" s="12"/>
      <c r="J5880" s="12"/>
    </row>
    <row r="5881" spans="5:10" x14ac:dyDescent="0.25">
      <c r="E5881"/>
      <c r="F5881"/>
      <c r="G5881" s="12"/>
      <c r="H5881" s="12"/>
      <c r="I5881" s="12"/>
      <c r="J5881" s="12"/>
    </row>
    <row r="5882" spans="5:10" x14ac:dyDescent="0.25">
      <c r="E5882"/>
      <c r="F5882"/>
      <c r="G5882" s="12"/>
      <c r="H5882" s="12"/>
      <c r="I5882" s="12"/>
      <c r="J5882" s="12"/>
    </row>
    <row r="5883" spans="5:10" x14ac:dyDescent="0.25">
      <c r="E5883"/>
      <c r="F5883"/>
      <c r="G5883" s="12"/>
      <c r="H5883" s="12"/>
      <c r="I5883" s="12"/>
      <c r="J5883" s="12"/>
    </row>
    <row r="5884" spans="5:10" x14ac:dyDescent="0.25">
      <c r="E5884"/>
      <c r="F5884"/>
      <c r="G5884" s="12"/>
      <c r="H5884" s="12"/>
      <c r="I5884" s="12"/>
      <c r="J5884" s="12"/>
    </row>
    <row r="5885" spans="5:10" x14ac:dyDescent="0.25">
      <c r="E5885"/>
      <c r="F5885"/>
      <c r="G5885" s="12"/>
      <c r="H5885" s="12"/>
      <c r="I5885" s="12"/>
      <c r="J5885" s="12"/>
    </row>
    <row r="5886" spans="5:10" x14ac:dyDescent="0.25">
      <c r="E5886"/>
      <c r="F5886"/>
      <c r="G5886" s="12"/>
      <c r="H5886" s="12"/>
      <c r="I5886" s="12"/>
      <c r="J5886" s="12"/>
    </row>
    <row r="5887" spans="5:10" x14ac:dyDescent="0.25">
      <c r="E5887"/>
      <c r="F5887"/>
      <c r="G5887" s="12"/>
      <c r="H5887" s="12"/>
      <c r="I5887" s="12"/>
      <c r="J5887" s="12"/>
    </row>
    <row r="5888" spans="5:10" x14ac:dyDescent="0.25">
      <c r="E5888"/>
      <c r="F5888"/>
      <c r="G5888" s="12"/>
      <c r="H5888" s="12"/>
      <c r="I5888" s="12"/>
      <c r="J5888" s="12"/>
    </row>
    <row r="5889" spans="5:10" x14ac:dyDescent="0.25">
      <c r="E5889"/>
      <c r="F5889"/>
      <c r="G5889" s="12"/>
      <c r="H5889" s="12"/>
      <c r="I5889" s="12"/>
      <c r="J5889" s="12"/>
    </row>
    <row r="5890" spans="5:10" x14ac:dyDescent="0.25">
      <c r="E5890"/>
      <c r="F5890"/>
      <c r="G5890" s="12"/>
      <c r="H5890" s="12"/>
      <c r="I5890" s="12"/>
      <c r="J5890" s="12"/>
    </row>
    <row r="5891" spans="5:10" x14ac:dyDescent="0.25">
      <c r="E5891"/>
      <c r="F5891"/>
      <c r="G5891" s="12"/>
      <c r="H5891" s="12"/>
      <c r="I5891" s="12"/>
      <c r="J5891" s="12"/>
    </row>
    <row r="5892" spans="5:10" x14ac:dyDescent="0.25">
      <c r="E5892"/>
      <c r="F5892"/>
      <c r="G5892" s="12"/>
      <c r="H5892" s="12"/>
      <c r="I5892" s="12"/>
      <c r="J5892" s="12"/>
    </row>
    <row r="5893" spans="5:10" x14ac:dyDescent="0.25">
      <c r="E5893"/>
      <c r="F5893"/>
      <c r="G5893" s="12"/>
      <c r="H5893" s="12"/>
      <c r="I5893" s="12"/>
      <c r="J5893" s="12"/>
    </row>
    <row r="5894" spans="5:10" x14ac:dyDescent="0.25">
      <c r="E5894"/>
      <c r="F5894"/>
      <c r="G5894" s="12"/>
      <c r="H5894" s="12"/>
      <c r="I5894" s="12"/>
      <c r="J5894" s="12"/>
    </row>
    <row r="5895" spans="5:10" x14ac:dyDescent="0.25">
      <c r="E5895"/>
      <c r="F5895"/>
      <c r="G5895" s="12"/>
      <c r="H5895" s="12"/>
      <c r="I5895" s="12"/>
      <c r="J5895" s="12"/>
    </row>
    <row r="5896" spans="5:10" x14ac:dyDescent="0.25">
      <c r="E5896"/>
      <c r="F5896"/>
      <c r="G5896" s="12"/>
      <c r="H5896" s="12"/>
      <c r="I5896" s="12"/>
      <c r="J5896" s="12"/>
    </row>
    <row r="5897" spans="5:10" x14ac:dyDescent="0.25">
      <c r="E5897"/>
      <c r="F5897"/>
      <c r="G5897" s="12"/>
      <c r="H5897" s="12"/>
      <c r="I5897" s="12"/>
      <c r="J5897" s="12"/>
    </row>
    <row r="5898" spans="5:10" x14ac:dyDescent="0.25">
      <c r="E5898"/>
      <c r="F5898"/>
      <c r="G5898" s="12"/>
      <c r="H5898" s="12"/>
      <c r="I5898" s="12"/>
      <c r="J5898" s="12"/>
    </row>
    <row r="5899" spans="5:10" x14ac:dyDescent="0.25">
      <c r="E5899"/>
      <c r="F5899"/>
      <c r="G5899" s="12"/>
      <c r="H5899" s="12"/>
      <c r="I5899" s="12"/>
      <c r="J5899" s="12"/>
    </row>
    <row r="5900" spans="5:10" x14ac:dyDescent="0.25">
      <c r="E5900"/>
      <c r="F5900"/>
      <c r="G5900" s="12"/>
      <c r="H5900" s="12"/>
      <c r="I5900" s="12"/>
      <c r="J5900" s="12"/>
    </row>
    <row r="5901" spans="5:10" x14ac:dyDescent="0.25">
      <c r="E5901"/>
      <c r="F5901"/>
      <c r="G5901" s="12"/>
      <c r="H5901" s="12"/>
      <c r="I5901" s="12"/>
      <c r="J5901" s="12"/>
    </row>
    <row r="5902" spans="5:10" x14ac:dyDescent="0.25">
      <c r="E5902"/>
      <c r="F5902"/>
      <c r="G5902" s="12"/>
      <c r="H5902" s="12"/>
      <c r="I5902" s="12"/>
      <c r="J5902" s="12"/>
    </row>
    <row r="5903" spans="5:10" x14ac:dyDescent="0.25">
      <c r="E5903"/>
      <c r="F5903"/>
      <c r="G5903" s="12"/>
      <c r="H5903" s="12"/>
      <c r="I5903" s="12"/>
      <c r="J5903" s="12"/>
    </row>
    <row r="5904" spans="5:10" x14ac:dyDescent="0.25">
      <c r="E5904"/>
      <c r="F5904"/>
      <c r="G5904" s="12"/>
      <c r="H5904" s="12"/>
      <c r="I5904" s="12"/>
      <c r="J5904" s="12"/>
    </row>
    <row r="5905" spans="5:10" x14ac:dyDescent="0.25">
      <c r="E5905"/>
      <c r="F5905"/>
      <c r="G5905" s="12"/>
      <c r="H5905" s="12"/>
      <c r="I5905" s="12"/>
      <c r="J5905" s="12"/>
    </row>
    <row r="5906" spans="5:10" x14ac:dyDescent="0.25">
      <c r="E5906"/>
      <c r="F5906"/>
      <c r="G5906" s="12"/>
      <c r="H5906" s="12"/>
      <c r="I5906" s="12"/>
      <c r="J5906" s="12"/>
    </row>
    <row r="5907" spans="5:10" x14ac:dyDescent="0.25">
      <c r="E5907"/>
      <c r="F5907"/>
      <c r="G5907" s="12"/>
      <c r="H5907" s="12"/>
      <c r="I5907" s="12"/>
      <c r="J5907" s="12"/>
    </row>
    <row r="5908" spans="5:10" x14ac:dyDescent="0.25">
      <c r="E5908"/>
      <c r="F5908"/>
      <c r="G5908" s="12"/>
      <c r="H5908" s="12"/>
      <c r="I5908" s="12"/>
      <c r="J5908" s="12"/>
    </row>
    <row r="5909" spans="5:10" x14ac:dyDescent="0.25">
      <c r="E5909"/>
      <c r="F5909"/>
      <c r="G5909" s="12"/>
      <c r="H5909" s="12"/>
      <c r="I5909" s="12"/>
      <c r="J5909" s="12"/>
    </row>
    <row r="5910" spans="5:10" x14ac:dyDescent="0.25">
      <c r="E5910"/>
      <c r="F5910"/>
      <c r="G5910" s="12"/>
      <c r="H5910" s="12"/>
      <c r="I5910" s="12"/>
      <c r="J5910" s="12"/>
    </row>
    <row r="5911" spans="5:10" x14ac:dyDescent="0.25">
      <c r="E5911"/>
      <c r="F5911"/>
      <c r="G5911" s="12"/>
      <c r="H5911" s="12"/>
      <c r="I5911" s="12"/>
      <c r="J5911" s="12"/>
    </row>
    <row r="5912" spans="5:10" x14ac:dyDescent="0.25">
      <c r="E5912"/>
      <c r="F5912"/>
      <c r="G5912" s="12"/>
      <c r="H5912" s="12"/>
      <c r="I5912" s="12"/>
      <c r="J5912" s="12"/>
    </row>
    <row r="5913" spans="5:10" x14ac:dyDescent="0.25">
      <c r="E5913"/>
      <c r="F5913"/>
      <c r="G5913" s="12"/>
      <c r="H5913" s="12"/>
      <c r="I5913" s="12"/>
      <c r="J5913" s="12"/>
    </row>
    <row r="5914" spans="5:10" x14ac:dyDescent="0.25">
      <c r="E5914"/>
      <c r="F5914"/>
      <c r="G5914" s="12"/>
      <c r="H5914" s="12"/>
      <c r="I5914" s="12"/>
      <c r="J5914" s="12"/>
    </row>
    <row r="5915" spans="5:10" x14ac:dyDescent="0.25">
      <c r="E5915"/>
      <c r="F5915"/>
      <c r="G5915" s="12"/>
      <c r="H5915" s="12"/>
      <c r="I5915" s="12"/>
      <c r="J5915" s="12"/>
    </row>
    <row r="5916" spans="5:10" x14ac:dyDescent="0.25">
      <c r="E5916"/>
      <c r="F5916"/>
      <c r="G5916" s="12"/>
      <c r="H5916" s="12"/>
      <c r="I5916" s="12"/>
      <c r="J5916" s="12"/>
    </row>
    <row r="5917" spans="5:10" x14ac:dyDescent="0.25">
      <c r="E5917"/>
      <c r="F5917"/>
      <c r="G5917" s="12"/>
      <c r="H5917" s="12"/>
      <c r="I5917" s="12"/>
      <c r="J5917" s="12"/>
    </row>
    <row r="5918" spans="5:10" x14ac:dyDescent="0.25">
      <c r="E5918"/>
      <c r="F5918"/>
      <c r="G5918" s="12"/>
      <c r="H5918" s="12"/>
      <c r="I5918" s="12"/>
      <c r="J5918" s="12"/>
    </row>
    <row r="5919" spans="5:10" x14ac:dyDescent="0.25">
      <c r="E5919"/>
      <c r="F5919"/>
      <c r="G5919" s="12"/>
      <c r="H5919" s="12"/>
      <c r="I5919" s="12"/>
      <c r="J5919" s="12"/>
    </row>
    <row r="5920" spans="5:10" x14ac:dyDescent="0.25">
      <c r="E5920"/>
      <c r="F5920"/>
      <c r="G5920" s="12"/>
      <c r="H5920" s="12"/>
      <c r="I5920" s="12"/>
      <c r="J5920" s="12"/>
    </row>
    <row r="5921" spans="5:10" x14ac:dyDescent="0.25">
      <c r="E5921"/>
      <c r="F5921"/>
      <c r="G5921" s="12"/>
      <c r="H5921" s="12"/>
      <c r="I5921" s="12"/>
      <c r="J5921" s="12"/>
    </row>
    <row r="5922" spans="5:10" x14ac:dyDescent="0.25">
      <c r="E5922"/>
      <c r="F5922"/>
      <c r="G5922" s="12"/>
      <c r="H5922" s="12"/>
      <c r="I5922" s="12"/>
      <c r="J5922" s="12"/>
    </row>
    <row r="5923" spans="5:10" x14ac:dyDescent="0.25">
      <c r="E5923"/>
      <c r="F5923"/>
      <c r="G5923" s="12"/>
      <c r="H5923" s="12"/>
      <c r="I5923" s="12"/>
      <c r="J5923" s="12"/>
    </row>
    <row r="5924" spans="5:10" x14ac:dyDescent="0.25">
      <c r="E5924"/>
      <c r="F5924"/>
      <c r="G5924" s="12"/>
      <c r="H5924" s="12"/>
      <c r="I5924" s="12"/>
      <c r="J5924" s="12"/>
    </row>
    <row r="5925" spans="5:10" x14ac:dyDescent="0.25">
      <c r="E5925"/>
      <c r="F5925"/>
      <c r="G5925" s="12"/>
      <c r="H5925" s="12"/>
      <c r="I5925" s="12"/>
      <c r="J5925" s="12"/>
    </row>
    <row r="5926" spans="5:10" x14ac:dyDescent="0.25">
      <c r="E5926"/>
      <c r="F5926"/>
      <c r="G5926" s="12"/>
      <c r="H5926" s="12"/>
      <c r="I5926" s="12"/>
      <c r="J5926" s="12"/>
    </row>
    <row r="5927" spans="5:10" x14ac:dyDescent="0.25">
      <c r="E5927"/>
      <c r="F5927"/>
      <c r="G5927" s="12"/>
      <c r="H5927" s="12"/>
      <c r="I5927" s="12"/>
      <c r="J5927" s="12"/>
    </row>
    <row r="5928" spans="5:10" x14ac:dyDescent="0.25">
      <c r="E5928"/>
      <c r="F5928"/>
      <c r="G5928" s="12"/>
      <c r="H5928" s="12"/>
      <c r="I5928" s="12"/>
      <c r="J5928" s="12"/>
    </row>
    <row r="5929" spans="5:10" x14ac:dyDescent="0.25">
      <c r="E5929"/>
      <c r="F5929"/>
      <c r="G5929" s="12"/>
      <c r="H5929" s="12"/>
      <c r="I5929" s="12"/>
      <c r="J5929" s="12"/>
    </row>
    <row r="5930" spans="5:10" x14ac:dyDescent="0.25">
      <c r="E5930"/>
      <c r="F5930"/>
      <c r="G5930" s="12"/>
      <c r="H5930" s="12"/>
      <c r="I5930" s="12"/>
      <c r="J5930" s="12"/>
    </row>
    <row r="5931" spans="5:10" x14ac:dyDescent="0.25">
      <c r="E5931"/>
      <c r="F5931"/>
      <c r="G5931" s="12"/>
      <c r="H5931" s="12"/>
      <c r="I5931" s="12"/>
      <c r="J5931" s="12"/>
    </row>
    <row r="5932" spans="5:10" x14ac:dyDescent="0.25">
      <c r="E5932"/>
      <c r="F5932"/>
      <c r="G5932" s="12"/>
      <c r="H5932" s="12"/>
      <c r="I5932" s="12"/>
      <c r="J5932" s="12"/>
    </row>
    <row r="5933" spans="5:10" x14ac:dyDescent="0.25">
      <c r="E5933"/>
      <c r="F5933"/>
      <c r="G5933" s="12"/>
      <c r="H5933" s="12"/>
      <c r="I5933" s="12"/>
      <c r="J5933" s="12"/>
    </row>
    <row r="5934" spans="5:10" x14ac:dyDescent="0.25">
      <c r="E5934"/>
      <c r="F5934"/>
      <c r="G5934" s="12"/>
      <c r="H5934" s="12"/>
      <c r="I5934" s="12"/>
      <c r="J5934" s="12"/>
    </row>
    <row r="5935" spans="5:10" x14ac:dyDescent="0.25">
      <c r="E5935"/>
      <c r="F5935"/>
      <c r="G5935" s="12"/>
      <c r="H5935" s="12"/>
      <c r="I5935" s="12"/>
      <c r="J5935" s="12"/>
    </row>
    <row r="5936" spans="5:10" x14ac:dyDescent="0.25">
      <c r="E5936"/>
      <c r="F5936"/>
      <c r="G5936" s="12"/>
      <c r="H5936" s="12"/>
      <c r="I5936" s="12"/>
      <c r="J5936" s="12"/>
    </row>
    <row r="5937" spans="5:10" x14ac:dyDescent="0.25">
      <c r="E5937"/>
      <c r="F5937"/>
      <c r="G5937" s="12"/>
      <c r="H5937" s="12"/>
      <c r="I5937" s="12"/>
      <c r="J5937" s="12"/>
    </row>
    <row r="5938" spans="5:10" x14ac:dyDescent="0.25">
      <c r="E5938"/>
      <c r="F5938"/>
      <c r="G5938" s="12"/>
      <c r="H5938" s="12"/>
      <c r="I5938" s="12"/>
      <c r="J5938" s="12"/>
    </row>
    <row r="5939" spans="5:10" x14ac:dyDescent="0.25">
      <c r="E5939"/>
      <c r="F5939"/>
      <c r="G5939" s="12"/>
      <c r="H5939" s="12"/>
      <c r="I5939" s="12"/>
      <c r="J5939" s="12"/>
    </row>
    <row r="5940" spans="5:10" x14ac:dyDescent="0.25">
      <c r="E5940"/>
      <c r="F5940"/>
      <c r="G5940" s="12"/>
      <c r="H5940" s="12"/>
      <c r="I5940" s="12"/>
      <c r="J5940" s="12"/>
    </row>
    <row r="5941" spans="5:10" x14ac:dyDescent="0.25">
      <c r="E5941"/>
      <c r="F5941"/>
      <c r="G5941" s="12"/>
      <c r="H5941" s="12"/>
      <c r="I5941" s="12"/>
      <c r="J5941" s="12"/>
    </row>
    <row r="5942" spans="5:10" x14ac:dyDescent="0.25">
      <c r="E5942"/>
      <c r="F5942"/>
      <c r="G5942" s="12"/>
      <c r="H5942" s="12"/>
      <c r="I5942" s="12"/>
      <c r="J5942" s="12"/>
    </row>
    <row r="5943" spans="5:10" x14ac:dyDescent="0.25">
      <c r="E5943"/>
      <c r="F5943"/>
      <c r="G5943" s="12"/>
      <c r="H5943" s="12"/>
      <c r="I5943" s="12"/>
      <c r="J5943" s="12"/>
    </row>
    <row r="5944" spans="5:10" x14ac:dyDescent="0.25">
      <c r="E5944"/>
      <c r="F5944"/>
      <c r="G5944" s="12"/>
      <c r="H5944" s="12"/>
      <c r="I5944" s="12"/>
      <c r="J5944" s="12"/>
    </row>
    <row r="5945" spans="5:10" x14ac:dyDescent="0.25">
      <c r="E5945"/>
      <c r="F5945"/>
      <c r="G5945" s="12"/>
      <c r="H5945" s="12"/>
      <c r="I5945" s="12"/>
      <c r="J5945" s="12"/>
    </row>
    <row r="5946" spans="5:10" x14ac:dyDescent="0.25">
      <c r="E5946"/>
      <c r="F5946"/>
      <c r="G5946" s="12"/>
      <c r="H5946" s="12"/>
      <c r="I5946" s="12"/>
      <c r="J5946" s="12"/>
    </row>
    <row r="5947" spans="5:10" x14ac:dyDescent="0.25">
      <c r="E5947"/>
      <c r="F5947"/>
      <c r="G5947" s="12"/>
      <c r="H5947" s="12"/>
      <c r="I5947" s="12"/>
      <c r="J5947" s="12"/>
    </row>
    <row r="5948" spans="5:10" x14ac:dyDescent="0.25">
      <c r="E5948"/>
      <c r="F5948"/>
      <c r="G5948" s="12"/>
      <c r="H5948" s="12"/>
      <c r="I5948" s="12"/>
      <c r="J5948" s="12"/>
    </row>
    <row r="5949" spans="5:10" x14ac:dyDescent="0.25">
      <c r="E5949"/>
      <c r="F5949"/>
      <c r="G5949" s="12"/>
      <c r="H5949" s="12"/>
      <c r="I5949" s="12"/>
      <c r="J5949" s="12"/>
    </row>
    <row r="5950" spans="5:10" x14ac:dyDescent="0.25">
      <c r="E5950"/>
      <c r="F5950"/>
      <c r="G5950" s="12"/>
      <c r="H5950" s="12"/>
      <c r="I5950" s="12"/>
      <c r="J5950" s="12"/>
    </row>
    <row r="5951" spans="5:10" x14ac:dyDescent="0.25">
      <c r="E5951"/>
      <c r="F5951"/>
      <c r="G5951" s="12"/>
      <c r="H5951" s="12"/>
      <c r="I5951" s="12"/>
      <c r="J5951" s="12"/>
    </row>
    <row r="5952" spans="5:10" x14ac:dyDescent="0.25">
      <c r="E5952"/>
      <c r="F5952"/>
      <c r="G5952" s="12"/>
      <c r="H5952" s="12"/>
      <c r="I5952" s="12"/>
      <c r="J5952" s="12"/>
    </row>
    <row r="5953" spans="5:10" x14ac:dyDescent="0.25">
      <c r="E5953"/>
      <c r="F5953"/>
      <c r="G5953" s="12"/>
      <c r="H5953" s="12"/>
      <c r="I5953" s="12"/>
      <c r="J5953" s="12"/>
    </row>
    <row r="5954" spans="5:10" x14ac:dyDescent="0.25">
      <c r="E5954"/>
      <c r="F5954"/>
      <c r="G5954" s="12"/>
      <c r="H5954" s="12"/>
      <c r="I5954" s="12"/>
      <c r="J5954" s="12"/>
    </row>
    <row r="5955" spans="5:10" x14ac:dyDescent="0.25">
      <c r="E5955"/>
      <c r="F5955"/>
      <c r="G5955" s="12"/>
      <c r="H5955" s="12"/>
      <c r="I5955" s="12"/>
      <c r="J5955" s="12"/>
    </row>
    <row r="5956" spans="5:10" x14ac:dyDescent="0.25">
      <c r="E5956"/>
      <c r="F5956"/>
      <c r="G5956" s="12"/>
      <c r="H5956" s="12"/>
      <c r="I5956" s="12"/>
      <c r="J5956" s="12"/>
    </row>
    <row r="5957" spans="5:10" x14ac:dyDescent="0.25">
      <c r="E5957"/>
      <c r="F5957"/>
      <c r="G5957" s="12"/>
      <c r="H5957" s="12"/>
      <c r="I5957" s="12"/>
      <c r="J5957" s="12"/>
    </row>
    <row r="5958" spans="5:10" x14ac:dyDescent="0.25">
      <c r="E5958"/>
      <c r="F5958"/>
      <c r="G5958" s="12"/>
      <c r="H5958" s="12"/>
      <c r="I5958" s="12"/>
      <c r="J5958" s="12"/>
    </row>
    <row r="5959" spans="5:10" x14ac:dyDescent="0.25">
      <c r="E5959"/>
      <c r="F5959"/>
      <c r="G5959" s="12"/>
      <c r="H5959" s="12"/>
      <c r="I5959" s="12"/>
      <c r="J5959" s="12"/>
    </row>
    <row r="5960" spans="5:10" x14ac:dyDescent="0.25">
      <c r="E5960"/>
      <c r="F5960"/>
      <c r="G5960" s="12"/>
      <c r="H5960" s="12"/>
      <c r="I5960" s="12"/>
      <c r="J5960" s="12"/>
    </row>
    <row r="5961" spans="5:10" x14ac:dyDescent="0.25">
      <c r="E5961"/>
      <c r="F5961"/>
      <c r="G5961" s="12"/>
      <c r="H5961" s="12"/>
      <c r="I5961" s="12"/>
      <c r="J5961" s="12"/>
    </row>
    <row r="5962" spans="5:10" x14ac:dyDescent="0.25">
      <c r="E5962"/>
      <c r="F5962"/>
      <c r="G5962" s="12"/>
      <c r="H5962" s="12"/>
      <c r="I5962" s="12"/>
      <c r="J5962" s="12"/>
    </row>
    <row r="5963" spans="5:10" x14ac:dyDescent="0.25">
      <c r="E5963"/>
      <c r="F5963"/>
      <c r="G5963" s="12"/>
      <c r="H5963" s="12"/>
      <c r="I5963" s="12"/>
      <c r="J5963" s="12"/>
    </row>
    <row r="5964" spans="5:10" x14ac:dyDescent="0.25">
      <c r="E5964"/>
      <c r="F5964"/>
      <c r="G5964" s="12"/>
      <c r="H5964" s="12"/>
      <c r="I5964" s="12"/>
      <c r="J5964" s="12"/>
    </row>
    <row r="5965" spans="5:10" x14ac:dyDescent="0.25">
      <c r="E5965"/>
      <c r="F5965"/>
      <c r="G5965" s="12"/>
      <c r="H5965" s="12"/>
      <c r="I5965" s="12"/>
      <c r="J5965" s="12"/>
    </row>
    <row r="5966" spans="5:10" x14ac:dyDescent="0.25">
      <c r="E5966"/>
      <c r="F5966"/>
      <c r="G5966" s="12"/>
      <c r="H5966" s="12"/>
      <c r="I5966" s="12"/>
      <c r="J5966" s="12"/>
    </row>
    <row r="5967" spans="5:10" x14ac:dyDescent="0.25">
      <c r="E5967"/>
      <c r="F5967"/>
      <c r="G5967" s="12"/>
      <c r="H5967" s="12"/>
      <c r="I5967" s="12"/>
      <c r="J5967" s="12"/>
    </row>
    <row r="5968" spans="5:10" x14ac:dyDescent="0.25">
      <c r="E5968"/>
      <c r="F5968"/>
      <c r="G5968" s="12"/>
      <c r="H5968" s="12"/>
      <c r="I5968" s="12"/>
      <c r="J5968" s="12"/>
    </row>
    <row r="5969" spans="5:10" x14ac:dyDescent="0.25">
      <c r="E5969"/>
      <c r="F5969"/>
      <c r="G5969" s="12"/>
      <c r="H5969" s="12"/>
      <c r="I5969" s="12"/>
      <c r="J5969" s="12"/>
    </row>
    <row r="5970" spans="5:10" x14ac:dyDescent="0.25">
      <c r="E5970"/>
      <c r="F5970"/>
      <c r="G5970" s="12"/>
      <c r="H5970" s="12"/>
      <c r="I5970" s="12"/>
      <c r="J5970" s="12"/>
    </row>
    <row r="5971" spans="5:10" x14ac:dyDescent="0.25">
      <c r="E5971"/>
      <c r="F5971"/>
      <c r="G5971" s="12"/>
      <c r="H5971" s="12"/>
      <c r="I5971" s="12"/>
      <c r="J5971" s="12"/>
    </row>
    <row r="5972" spans="5:10" x14ac:dyDescent="0.25">
      <c r="E5972"/>
      <c r="F5972"/>
      <c r="G5972" s="12"/>
      <c r="H5972" s="12"/>
      <c r="I5972" s="12"/>
      <c r="J5972" s="12"/>
    </row>
    <row r="5973" spans="5:10" x14ac:dyDescent="0.25">
      <c r="E5973"/>
      <c r="F5973"/>
      <c r="G5973" s="12"/>
      <c r="H5973" s="12"/>
      <c r="I5973" s="12"/>
      <c r="J5973" s="12"/>
    </row>
    <row r="5974" spans="5:10" x14ac:dyDescent="0.25">
      <c r="E5974"/>
      <c r="F5974"/>
      <c r="G5974" s="12"/>
      <c r="H5974" s="12"/>
      <c r="I5974" s="12"/>
      <c r="J5974" s="12"/>
    </row>
    <row r="5975" spans="5:10" x14ac:dyDescent="0.25">
      <c r="E5975"/>
      <c r="F5975"/>
      <c r="G5975" s="12"/>
      <c r="H5975" s="12"/>
      <c r="I5975" s="12"/>
      <c r="J5975" s="12"/>
    </row>
    <row r="5976" spans="5:10" x14ac:dyDescent="0.25">
      <c r="E5976"/>
      <c r="F5976"/>
      <c r="G5976" s="12"/>
      <c r="H5976" s="12"/>
      <c r="I5976" s="12"/>
      <c r="J5976" s="12"/>
    </row>
    <row r="5977" spans="5:10" x14ac:dyDescent="0.25">
      <c r="E5977"/>
      <c r="F5977"/>
      <c r="G5977" s="12"/>
      <c r="H5977" s="12"/>
      <c r="I5977" s="12"/>
      <c r="J5977" s="12"/>
    </row>
    <row r="5978" spans="5:10" x14ac:dyDescent="0.25">
      <c r="E5978"/>
      <c r="F5978"/>
      <c r="G5978" s="12"/>
      <c r="H5978" s="12"/>
      <c r="I5978" s="12"/>
      <c r="J5978" s="12"/>
    </row>
    <row r="5979" spans="5:10" x14ac:dyDescent="0.25">
      <c r="E5979"/>
      <c r="F5979"/>
      <c r="G5979" s="12"/>
      <c r="H5979" s="12"/>
      <c r="I5979" s="12"/>
      <c r="J5979" s="12"/>
    </row>
    <row r="5980" spans="5:10" x14ac:dyDescent="0.25">
      <c r="E5980"/>
      <c r="F5980"/>
      <c r="G5980" s="12"/>
      <c r="H5980" s="12"/>
      <c r="I5980" s="12"/>
      <c r="J5980" s="12"/>
    </row>
    <row r="5981" spans="5:10" x14ac:dyDescent="0.25">
      <c r="E5981"/>
      <c r="F5981"/>
      <c r="G5981" s="12"/>
      <c r="H5981" s="12"/>
      <c r="I5981" s="12"/>
      <c r="J5981" s="12"/>
    </row>
    <row r="5982" spans="5:10" x14ac:dyDescent="0.25">
      <c r="E5982"/>
      <c r="F5982"/>
      <c r="G5982" s="12"/>
      <c r="H5982" s="12"/>
      <c r="I5982" s="12"/>
      <c r="J5982" s="12"/>
    </row>
    <row r="5983" spans="5:10" x14ac:dyDescent="0.25">
      <c r="E5983"/>
      <c r="F5983"/>
      <c r="G5983" s="12"/>
      <c r="H5983" s="12"/>
      <c r="I5983" s="12"/>
      <c r="J5983" s="12"/>
    </row>
    <row r="5984" spans="5:10" x14ac:dyDescent="0.25">
      <c r="E5984"/>
      <c r="F5984"/>
      <c r="G5984" s="12"/>
      <c r="H5984" s="12"/>
      <c r="I5984" s="12"/>
      <c r="J5984" s="12"/>
    </row>
    <row r="5985" spans="5:10" x14ac:dyDescent="0.25">
      <c r="E5985"/>
      <c r="F5985"/>
      <c r="G5985" s="12"/>
      <c r="H5985" s="12"/>
      <c r="I5985" s="12"/>
      <c r="J5985" s="12"/>
    </row>
    <row r="5986" spans="5:10" x14ac:dyDescent="0.25">
      <c r="E5986"/>
      <c r="F5986"/>
      <c r="G5986" s="12"/>
      <c r="H5986" s="12"/>
      <c r="I5986" s="12"/>
      <c r="J5986" s="12"/>
    </row>
    <row r="5987" spans="5:10" x14ac:dyDescent="0.25">
      <c r="E5987"/>
      <c r="F5987"/>
      <c r="G5987" s="12"/>
      <c r="H5987" s="12"/>
      <c r="I5987" s="12"/>
      <c r="J5987" s="12"/>
    </row>
    <row r="5988" spans="5:10" x14ac:dyDescent="0.25">
      <c r="E5988"/>
      <c r="F5988"/>
      <c r="G5988" s="12"/>
      <c r="H5988" s="12"/>
      <c r="I5988" s="12"/>
      <c r="J5988" s="12"/>
    </row>
    <row r="5989" spans="5:10" x14ac:dyDescent="0.25">
      <c r="E5989"/>
      <c r="F5989"/>
      <c r="G5989" s="12"/>
      <c r="H5989" s="12"/>
      <c r="I5989" s="12"/>
      <c r="J5989" s="12"/>
    </row>
    <row r="5990" spans="5:10" x14ac:dyDescent="0.25">
      <c r="E5990"/>
      <c r="F5990"/>
      <c r="G5990" s="12"/>
      <c r="H5990" s="12"/>
      <c r="I5990" s="12"/>
      <c r="J5990" s="12"/>
    </row>
    <row r="5991" spans="5:10" x14ac:dyDescent="0.25">
      <c r="E5991"/>
      <c r="F5991"/>
      <c r="G5991" s="12"/>
      <c r="H5991" s="12"/>
      <c r="I5991" s="12"/>
      <c r="J5991" s="12"/>
    </row>
    <row r="5992" spans="5:10" x14ac:dyDescent="0.25">
      <c r="E5992"/>
      <c r="F5992"/>
      <c r="G5992" s="12"/>
      <c r="H5992" s="12"/>
      <c r="I5992" s="12"/>
      <c r="J5992" s="12"/>
    </row>
    <row r="5993" spans="5:10" x14ac:dyDescent="0.25">
      <c r="E5993"/>
      <c r="F5993"/>
      <c r="G5993" s="12"/>
      <c r="H5993" s="12"/>
      <c r="I5993" s="12"/>
      <c r="J5993" s="12"/>
    </row>
    <row r="5994" spans="5:10" x14ac:dyDescent="0.25">
      <c r="E5994"/>
      <c r="F5994"/>
      <c r="G5994" s="12"/>
      <c r="H5994" s="12"/>
      <c r="I5994" s="12"/>
      <c r="J5994" s="12"/>
    </row>
    <row r="5995" spans="5:10" x14ac:dyDescent="0.25">
      <c r="E5995"/>
      <c r="F5995"/>
      <c r="G5995" s="12"/>
      <c r="H5995" s="12"/>
      <c r="I5995" s="12"/>
      <c r="J5995" s="12"/>
    </row>
    <row r="5996" spans="5:10" x14ac:dyDescent="0.25">
      <c r="E5996"/>
      <c r="F5996"/>
      <c r="G5996" s="12"/>
      <c r="H5996" s="12"/>
      <c r="I5996" s="12"/>
      <c r="J5996" s="12"/>
    </row>
    <row r="5997" spans="5:10" x14ac:dyDescent="0.25">
      <c r="E5997"/>
      <c r="F5997"/>
      <c r="G5997" s="12"/>
      <c r="H5997" s="12"/>
      <c r="I5997" s="12"/>
      <c r="J5997" s="12"/>
    </row>
    <row r="5998" spans="5:10" x14ac:dyDescent="0.25">
      <c r="E5998"/>
      <c r="F5998"/>
      <c r="G5998" s="12"/>
      <c r="H5998" s="12"/>
      <c r="I5998" s="12"/>
      <c r="J5998" s="12"/>
    </row>
    <row r="5999" spans="5:10" x14ac:dyDescent="0.25">
      <c r="E5999"/>
      <c r="F5999"/>
      <c r="G5999" s="12"/>
      <c r="H5999" s="12"/>
      <c r="I5999" s="12"/>
      <c r="J5999" s="12"/>
    </row>
    <row r="6000" spans="5:10" x14ac:dyDescent="0.25">
      <c r="E6000"/>
      <c r="F6000"/>
      <c r="G6000" s="12"/>
      <c r="H6000" s="12"/>
      <c r="I6000" s="12"/>
      <c r="J6000" s="12"/>
    </row>
    <row r="6001" spans="5:10" x14ac:dyDescent="0.25">
      <c r="E6001"/>
      <c r="F6001"/>
      <c r="G6001" s="12"/>
      <c r="H6001" s="12"/>
      <c r="I6001" s="12"/>
      <c r="J6001" s="12"/>
    </row>
    <row r="6002" spans="5:10" x14ac:dyDescent="0.25">
      <c r="E6002"/>
      <c r="F6002"/>
      <c r="G6002" s="12"/>
      <c r="H6002" s="12"/>
      <c r="I6002" s="12"/>
      <c r="J6002" s="12"/>
    </row>
    <row r="6003" spans="5:10" x14ac:dyDescent="0.25">
      <c r="E6003"/>
      <c r="F6003"/>
      <c r="G6003" s="12"/>
      <c r="H6003" s="12"/>
      <c r="I6003" s="12"/>
      <c r="J6003" s="12"/>
    </row>
    <row r="6004" spans="5:10" x14ac:dyDescent="0.25">
      <c r="E6004"/>
      <c r="F6004"/>
      <c r="G6004" s="12"/>
      <c r="H6004" s="12"/>
      <c r="I6004" s="12"/>
      <c r="J6004" s="12"/>
    </row>
    <row r="6005" spans="5:10" x14ac:dyDescent="0.25">
      <c r="E6005"/>
      <c r="F6005"/>
      <c r="G6005" s="12"/>
      <c r="H6005" s="12"/>
      <c r="I6005" s="12"/>
      <c r="J6005" s="12"/>
    </row>
    <row r="6006" spans="5:10" x14ac:dyDescent="0.25">
      <c r="E6006"/>
      <c r="F6006"/>
      <c r="G6006" s="12"/>
      <c r="H6006" s="12"/>
      <c r="I6006" s="12"/>
      <c r="J6006" s="12"/>
    </row>
    <row r="6007" spans="5:10" x14ac:dyDescent="0.25">
      <c r="E6007"/>
      <c r="F6007"/>
      <c r="G6007" s="12"/>
      <c r="H6007" s="12"/>
      <c r="I6007" s="12"/>
      <c r="J6007" s="12"/>
    </row>
    <row r="6008" spans="5:10" x14ac:dyDescent="0.25">
      <c r="E6008"/>
      <c r="F6008"/>
      <c r="G6008" s="12"/>
      <c r="H6008" s="12"/>
      <c r="I6008" s="12"/>
      <c r="J6008" s="12"/>
    </row>
    <row r="6009" spans="5:10" x14ac:dyDescent="0.25">
      <c r="E6009"/>
      <c r="F6009"/>
      <c r="G6009" s="12"/>
      <c r="H6009" s="12"/>
      <c r="I6009" s="12"/>
      <c r="J6009" s="12"/>
    </row>
    <row r="6010" spans="5:10" x14ac:dyDescent="0.25">
      <c r="E6010"/>
      <c r="F6010"/>
      <c r="G6010" s="12"/>
      <c r="H6010" s="12"/>
      <c r="I6010" s="12"/>
      <c r="J6010" s="12"/>
    </row>
    <row r="6011" spans="5:10" x14ac:dyDescent="0.25">
      <c r="E6011"/>
      <c r="F6011"/>
      <c r="G6011" s="12"/>
      <c r="H6011" s="12"/>
      <c r="I6011" s="12"/>
      <c r="J6011" s="12"/>
    </row>
    <row r="6012" spans="5:10" x14ac:dyDescent="0.25">
      <c r="E6012"/>
      <c r="F6012"/>
      <c r="G6012" s="12"/>
      <c r="H6012" s="12"/>
      <c r="I6012" s="12"/>
      <c r="J6012" s="12"/>
    </row>
    <row r="6013" spans="5:10" x14ac:dyDescent="0.25">
      <c r="E6013"/>
      <c r="F6013"/>
      <c r="G6013" s="12"/>
      <c r="H6013" s="12"/>
      <c r="I6013" s="12"/>
      <c r="J6013" s="12"/>
    </row>
    <row r="6014" spans="5:10" x14ac:dyDescent="0.25">
      <c r="E6014"/>
      <c r="F6014"/>
      <c r="G6014" s="12"/>
      <c r="H6014" s="12"/>
      <c r="I6014" s="12"/>
      <c r="J6014" s="12"/>
    </row>
    <row r="6015" spans="5:10" x14ac:dyDescent="0.25">
      <c r="E6015"/>
      <c r="F6015"/>
      <c r="G6015" s="12"/>
      <c r="H6015" s="12"/>
      <c r="I6015" s="12"/>
      <c r="J6015" s="12"/>
    </row>
    <row r="6016" spans="5:10" x14ac:dyDescent="0.25">
      <c r="E6016"/>
      <c r="F6016"/>
      <c r="G6016" s="12"/>
      <c r="H6016" s="12"/>
      <c r="I6016" s="12"/>
      <c r="J6016" s="12"/>
    </row>
    <row r="6017" spans="5:10" x14ac:dyDescent="0.25">
      <c r="E6017"/>
      <c r="F6017"/>
      <c r="G6017" s="12"/>
      <c r="H6017" s="12"/>
      <c r="I6017" s="12"/>
      <c r="J6017" s="12"/>
    </row>
    <row r="6018" spans="5:10" x14ac:dyDescent="0.25">
      <c r="E6018"/>
      <c r="F6018"/>
      <c r="G6018" s="12"/>
      <c r="H6018" s="12"/>
      <c r="I6018" s="12"/>
      <c r="J6018" s="12"/>
    </row>
    <row r="6019" spans="5:10" x14ac:dyDescent="0.25">
      <c r="E6019"/>
      <c r="F6019"/>
      <c r="G6019" s="12"/>
      <c r="H6019" s="12"/>
      <c r="I6019" s="12"/>
      <c r="J6019" s="12"/>
    </row>
    <row r="6020" spans="5:10" x14ac:dyDescent="0.25">
      <c r="E6020"/>
      <c r="F6020"/>
      <c r="G6020" s="12"/>
      <c r="H6020" s="12"/>
      <c r="I6020" s="12"/>
      <c r="J6020" s="12"/>
    </row>
    <row r="6021" spans="5:10" x14ac:dyDescent="0.25">
      <c r="E6021"/>
      <c r="F6021"/>
      <c r="G6021" s="12"/>
      <c r="H6021" s="12"/>
      <c r="I6021" s="12"/>
      <c r="J6021" s="12"/>
    </row>
    <row r="6022" spans="5:10" x14ac:dyDescent="0.25">
      <c r="E6022"/>
      <c r="F6022"/>
      <c r="G6022" s="12"/>
      <c r="H6022" s="12"/>
      <c r="I6022" s="12"/>
      <c r="J6022" s="12"/>
    </row>
    <row r="6023" spans="5:10" x14ac:dyDescent="0.25">
      <c r="E6023"/>
      <c r="F6023"/>
      <c r="G6023" s="12"/>
      <c r="H6023" s="12"/>
      <c r="I6023" s="12"/>
      <c r="J6023" s="12"/>
    </row>
    <row r="6024" spans="5:10" x14ac:dyDescent="0.25">
      <c r="E6024"/>
      <c r="F6024"/>
      <c r="G6024" s="12"/>
      <c r="H6024" s="12"/>
      <c r="I6024" s="12"/>
      <c r="J6024" s="12"/>
    </row>
    <row r="6025" spans="5:10" x14ac:dyDescent="0.25">
      <c r="E6025"/>
      <c r="F6025"/>
      <c r="G6025" s="12"/>
      <c r="H6025" s="12"/>
      <c r="I6025" s="12"/>
      <c r="J6025" s="12"/>
    </row>
    <row r="6026" spans="5:10" x14ac:dyDescent="0.25">
      <c r="E6026"/>
      <c r="F6026"/>
      <c r="G6026" s="12"/>
      <c r="H6026" s="12"/>
      <c r="I6026" s="12"/>
      <c r="J6026" s="12"/>
    </row>
    <row r="6027" spans="5:10" x14ac:dyDescent="0.25">
      <c r="E6027"/>
      <c r="F6027"/>
      <c r="G6027" s="12"/>
      <c r="H6027" s="12"/>
      <c r="I6027" s="12"/>
      <c r="J6027" s="12"/>
    </row>
    <row r="6028" spans="5:10" x14ac:dyDescent="0.25">
      <c r="E6028"/>
      <c r="F6028"/>
      <c r="G6028" s="12"/>
      <c r="H6028" s="12"/>
      <c r="I6028" s="12"/>
      <c r="J6028" s="12"/>
    </row>
    <row r="6029" spans="5:10" x14ac:dyDescent="0.25">
      <c r="E6029"/>
      <c r="F6029"/>
      <c r="G6029" s="12"/>
      <c r="H6029" s="12"/>
      <c r="I6029" s="12"/>
      <c r="J6029" s="12"/>
    </row>
    <row r="6030" spans="5:10" x14ac:dyDescent="0.25">
      <c r="E6030"/>
      <c r="F6030"/>
      <c r="G6030" s="12"/>
      <c r="H6030" s="12"/>
      <c r="I6030" s="12"/>
      <c r="J6030" s="12"/>
    </row>
    <row r="6031" spans="5:10" x14ac:dyDescent="0.25">
      <c r="E6031"/>
      <c r="F6031"/>
      <c r="G6031" s="12"/>
      <c r="H6031" s="12"/>
      <c r="I6031" s="12"/>
      <c r="J6031" s="12"/>
    </row>
    <row r="6032" spans="5:10" x14ac:dyDescent="0.25">
      <c r="E6032"/>
      <c r="F6032"/>
      <c r="G6032" s="12"/>
      <c r="H6032" s="12"/>
      <c r="I6032" s="12"/>
      <c r="J6032" s="12"/>
    </row>
    <row r="6033" spans="5:10" x14ac:dyDescent="0.25">
      <c r="E6033"/>
      <c r="F6033"/>
      <c r="G6033" s="12"/>
      <c r="H6033" s="12"/>
      <c r="I6033" s="12"/>
      <c r="J6033" s="12"/>
    </row>
    <row r="6034" spans="5:10" x14ac:dyDescent="0.25">
      <c r="E6034"/>
      <c r="F6034"/>
      <c r="G6034" s="12"/>
      <c r="H6034" s="12"/>
      <c r="I6034" s="12"/>
      <c r="J6034" s="12"/>
    </row>
    <row r="6035" spans="5:10" x14ac:dyDescent="0.25">
      <c r="E6035"/>
      <c r="F6035"/>
      <c r="G6035" s="12"/>
      <c r="H6035" s="12"/>
      <c r="I6035" s="12"/>
      <c r="J6035" s="12"/>
    </row>
    <row r="6036" spans="5:10" x14ac:dyDescent="0.25">
      <c r="E6036"/>
      <c r="F6036"/>
      <c r="G6036" s="12"/>
      <c r="H6036" s="12"/>
      <c r="I6036" s="12"/>
      <c r="J6036" s="12"/>
    </row>
    <row r="6037" spans="5:10" x14ac:dyDescent="0.25">
      <c r="E6037"/>
      <c r="F6037"/>
      <c r="G6037" s="12"/>
      <c r="H6037" s="12"/>
      <c r="I6037" s="12"/>
      <c r="J6037" s="12"/>
    </row>
    <row r="6038" spans="5:10" x14ac:dyDescent="0.25">
      <c r="E6038"/>
      <c r="F6038"/>
      <c r="G6038" s="12"/>
      <c r="H6038" s="12"/>
      <c r="I6038" s="12"/>
      <c r="J6038" s="12"/>
    </row>
    <row r="6039" spans="5:10" x14ac:dyDescent="0.25">
      <c r="E6039"/>
      <c r="F6039"/>
      <c r="G6039" s="12"/>
      <c r="H6039" s="12"/>
      <c r="I6039" s="12"/>
      <c r="J6039" s="12"/>
    </row>
    <row r="6040" spans="5:10" x14ac:dyDescent="0.25">
      <c r="E6040"/>
      <c r="F6040"/>
      <c r="G6040" s="12"/>
      <c r="H6040" s="12"/>
      <c r="I6040" s="12"/>
      <c r="J6040" s="12"/>
    </row>
    <row r="6041" spans="5:10" x14ac:dyDescent="0.25">
      <c r="E6041"/>
      <c r="F6041"/>
      <c r="G6041" s="12"/>
      <c r="H6041" s="12"/>
      <c r="I6041" s="12"/>
      <c r="J6041" s="12"/>
    </row>
    <row r="6042" spans="5:10" x14ac:dyDescent="0.25">
      <c r="E6042"/>
      <c r="F6042"/>
      <c r="G6042" s="12"/>
      <c r="H6042" s="12"/>
      <c r="I6042" s="12"/>
      <c r="J6042" s="12"/>
    </row>
    <row r="6043" spans="5:10" x14ac:dyDescent="0.25">
      <c r="E6043"/>
      <c r="F6043"/>
      <c r="G6043" s="12"/>
      <c r="H6043" s="12"/>
      <c r="I6043" s="12"/>
      <c r="J6043" s="12"/>
    </row>
    <row r="6044" spans="5:10" x14ac:dyDescent="0.25">
      <c r="E6044"/>
      <c r="F6044"/>
      <c r="G6044" s="12"/>
      <c r="H6044" s="12"/>
      <c r="I6044" s="12"/>
      <c r="J6044" s="12"/>
    </row>
    <row r="6045" spans="5:10" x14ac:dyDescent="0.25">
      <c r="E6045"/>
      <c r="F6045"/>
      <c r="G6045" s="12"/>
      <c r="H6045" s="12"/>
      <c r="I6045" s="12"/>
      <c r="J6045" s="12"/>
    </row>
    <row r="6046" spans="5:10" x14ac:dyDescent="0.25">
      <c r="E6046"/>
      <c r="F6046"/>
      <c r="G6046" s="12"/>
      <c r="H6046" s="12"/>
      <c r="I6046" s="12"/>
      <c r="J6046" s="12"/>
    </row>
    <row r="6047" spans="5:10" x14ac:dyDescent="0.25">
      <c r="E6047"/>
      <c r="F6047"/>
      <c r="G6047" s="12"/>
      <c r="H6047" s="12"/>
      <c r="I6047" s="12"/>
      <c r="J6047" s="12"/>
    </row>
    <row r="6048" spans="5:10" x14ac:dyDescent="0.25">
      <c r="E6048"/>
      <c r="F6048"/>
      <c r="G6048" s="12"/>
      <c r="H6048" s="12"/>
      <c r="I6048" s="12"/>
      <c r="J6048" s="12"/>
    </row>
    <row r="6049" spans="5:10" x14ac:dyDescent="0.25">
      <c r="E6049"/>
      <c r="F6049"/>
      <c r="G6049" s="12"/>
      <c r="H6049" s="12"/>
      <c r="I6049" s="12"/>
      <c r="J6049" s="12"/>
    </row>
    <row r="6050" spans="5:10" x14ac:dyDescent="0.25">
      <c r="E6050"/>
      <c r="F6050"/>
      <c r="G6050" s="12"/>
      <c r="H6050" s="12"/>
      <c r="I6050" s="12"/>
      <c r="J6050" s="12"/>
    </row>
    <row r="6051" spans="5:10" x14ac:dyDescent="0.25">
      <c r="E6051"/>
      <c r="F6051"/>
      <c r="G6051" s="12"/>
      <c r="H6051" s="12"/>
      <c r="I6051" s="12"/>
      <c r="J6051" s="12"/>
    </row>
    <row r="6052" spans="5:10" x14ac:dyDescent="0.25">
      <c r="E6052"/>
      <c r="F6052"/>
      <c r="G6052" s="12"/>
      <c r="H6052" s="12"/>
      <c r="I6052" s="12"/>
      <c r="J6052" s="12"/>
    </row>
    <row r="6053" spans="5:10" x14ac:dyDescent="0.25">
      <c r="E6053"/>
      <c r="F6053"/>
      <c r="G6053" s="12"/>
      <c r="H6053" s="12"/>
      <c r="I6053" s="12"/>
      <c r="J6053" s="12"/>
    </row>
    <row r="6054" spans="5:10" x14ac:dyDescent="0.25">
      <c r="E6054"/>
      <c r="F6054"/>
      <c r="G6054" s="12"/>
      <c r="H6054" s="12"/>
      <c r="I6054" s="12"/>
      <c r="J6054" s="12"/>
    </row>
    <row r="6055" spans="5:10" x14ac:dyDescent="0.25">
      <c r="E6055"/>
      <c r="F6055"/>
      <c r="G6055" s="12"/>
      <c r="H6055" s="12"/>
      <c r="I6055" s="12"/>
      <c r="J6055" s="12"/>
    </row>
    <row r="6056" spans="5:10" x14ac:dyDescent="0.25">
      <c r="E6056"/>
      <c r="F6056"/>
      <c r="G6056" s="12"/>
      <c r="H6056" s="12"/>
      <c r="I6056" s="12"/>
      <c r="J6056" s="12"/>
    </row>
    <row r="6057" spans="5:10" x14ac:dyDescent="0.25">
      <c r="E6057"/>
      <c r="F6057"/>
      <c r="G6057" s="12"/>
      <c r="H6057" s="12"/>
      <c r="I6057" s="12"/>
      <c r="J6057" s="12"/>
    </row>
    <row r="6058" spans="5:10" x14ac:dyDescent="0.25">
      <c r="E6058"/>
      <c r="F6058"/>
      <c r="G6058" s="12"/>
      <c r="H6058" s="12"/>
      <c r="I6058" s="12"/>
      <c r="J6058" s="12"/>
    </row>
    <row r="6059" spans="5:10" x14ac:dyDescent="0.25">
      <c r="E6059"/>
      <c r="F6059"/>
      <c r="G6059" s="12"/>
      <c r="H6059" s="12"/>
      <c r="I6059" s="12"/>
      <c r="J6059" s="12"/>
    </row>
    <row r="6060" spans="5:10" x14ac:dyDescent="0.25">
      <c r="E6060"/>
      <c r="F6060"/>
      <c r="G6060" s="12"/>
      <c r="H6060" s="12"/>
      <c r="I6060" s="12"/>
      <c r="J6060" s="12"/>
    </row>
    <row r="6061" spans="5:10" x14ac:dyDescent="0.25">
      <c r="E6061"/>
      <c r="F6061"/>
      <c r="G6061" s="12"/>
      <c r="H6061" s="12"/>
      <c r="I6061" s="12"/>
      <c r="J6061" s="12"/>
    </row>
    <row r="6062" spans="5:10" x14ac:dyDescent="0.25">
      <c r="E6062"/>
      <c r="F6062"/>
      <c r="G6062" s="12"/>
      <c r="H6062" s="12"/>
      <c r="I6062" s="12"/>
      <c r="J6062" s="12"/>
    </row>
    <row r="6063" spans="5:10" x14ac:dyDescent="0.25">
      <c r="E6063"/>
      <c r="F6063"/>
      <c r="G6063" s="12"/>
      <c r="H6063" s="12"/>
      <c r="I6063" s="12"/>
      <c r="J6063" s="12"/>
    </row>
    <row r="6064" spans="5:10" x14ac:dyDescent="0.25">
      <c r="E6064"/>
      <c r="F6064"/>
      <c r="G6064" s="12"/>
      <c r="H6064" s="12"/>
      <c r="I6064" s="12"/>
      <c r="J6064" s="12"/>
    </row>
    <row r="6065" spans="5:10" x14ac:dyDescent="0.25">
      <c r="E6065"/>
      <c r="F6065"/>
      <c r="G6065" s="12"/>
      <c r="H6065" s="12"/>
      <c r="I6065" s="12"/>
      <c r="J6065" s="12"/>
    </row>
    <row r="6066" spans="5:10" x14ac:dyDescent="0.25">
      <c r="E6066"/>
      <c r="F6066"/>
      <c r="G6066" s="12"/>
      <c r="H6066" s="12"/>
      <c r="I6066" s="12"/>
      <c r="J6066" s="12"/>
    </row>
    <row r="6067" spans="5:10" x14ac:dyDescent="0.25">
      <c r="E6067"/>
      <c r="F6067"/>
      <c r="G6067" s="12"/>
      <c r="H6067" s="12"/>
      <c r="I6067" s="12"/>
      <c r="J6067" s="12"/>
    </row>
    <row r="6068" spans="5:10" x14ac:dyDescent="0.25">
      <c r="E6068"/>
      <c r="F6068"/>
      <c r="G6068" s="12"/>
      <c r="H6068" s="12"/>
      <c r="I6068" s="12"/>
      <c r="J6068" s="12"/>
    </row>
    <row r="6069" spans="5:10" x14ac:dyDescent="0.25">
      <c r="E6069"/>
      <c r="F6069"/>
      <c r="G6069" s="12"/>
      <c r="H6069" s="12"/>
      <c r="I6069" s="12"/>
      <c r="J6069" s="12"/>
    </row>
    <row r="6070" spans="5:10" x14ac:dyDescent="0.25">
      <c r="E6070"/>
      <c r="F6070"/>
      <c r="G6070" s="12"/>
      <c r="H6070" s="12"/>
      <c r="I6070" s="12"/>
      <c r="J6070" s="12"/>
    </row>
    <row r="6071" spans="5:10" x14ac:dyDescent="0.25">
      <c r="E6071"/>
      <c r="F6071"/>
      <c r="G6071" s="12"/>
      <c r="H6071" s="12"/>
      <c r="I6071" s="12"/>
      <c r="J6071" s="12"/>
    </row>
    <row r="6072" spans="5:10" x14ac:dyDescent="0.25">
      <c r="E6072"/>
      <c r="F6072"/>
      <c r="G6072" s="12"/>
      <c r="H6072" s="12"/>
      <c r="I6072" s="12"/>
      <c r="J6072" s="12"/>
    </row>
    <row r="6073" spans="5:10" x14ac:dyDescent="0.25">
      <c r="E6073"/>
      <c r="F6073"/>
      <c r="G6073" s="12"/>
      <c r="H6073" s="12"/>
      <c r="I6073" s="12"/>
      <c r="J6073" s="12"/>
    </row>
    <row r="6074" spans="5:10" x14ac:dyDescent="0.25">
      <c r="E6074"/>
      <c r="F6074"/>
      <c r="G6074" s="12"/>
      <c r="H6074" s="12"/>
      <c r="I6074" s="12"/>
      <c r="J6074" s="12"/>
    </row>
    <row r="6075" spans="5:10" x14ac:dyDescent="0.25">
      <c r="E6075"/>
      <c r="F6075"/>
      <c r="G6075" s="12"/>
      <c r="H6075" s="12"/>
      <c r="I6075" s="12"/>
      <c r="J6075" s="12"/>
    </row>
    <row r="6076" spans="5:10" x14ac:dyDescent="0.25">
      <c r="E6076"/>
      <c r="F6076"/>
      <c r="G6076" s="12"/>
      <c r="H6076" s="12"/>
      <c r="I6076" s="12"/>
      <c r="J6076" s="12"/>
    </row>
    <row r="6077" spans="5:10" x14ac:dyDescent="0.25">
      <c r="E6077"/>
      <c r="F6077"/>
      <c r="G6077" s="12"/>
      <c r="H6077" s="12"/>
      <c r="I6077" s="12"/>
      <c r="J6077" s="12"/>
    </row>
    <row r="6078" spans="5:10" x14ac:dyDescent="0.25">
      <c r="E6078"/>
      <c r="F6078"/>
      <c r="G6078" s="12"/>
      <c r="H6078" s="12"/>
      <c r="I6078" s="12"/>
      <c r="J6078" s="12"/>
    </row>
    <row r="6079" spans="5:10" x14ac:dyDescent="0.25">
      <c r="E6079"/>
      <c r="F6079"/>
      <c r="G6079" s="12"/>
      <c r="H6079" s="12"/>
      <c r="I6079" s="12"/>
      <c r="J6079" s="12"/>
    </row>
    <row r="6080" spans="5:10" x14ac:dyDescent="0.25">
      <c r="E6080"/>
      <c r="F6080"/>
      <c r="G6080" s="12"/>
      <c r="H6080" s="12"/>
      <c r="I6080" s="12"/>
      <c r="J6080" s="12"/>
    </row>
    <row r="6081" spans="5:10" x14ac:dyDescent="0.25">
      <c r="E6081"/>
      <c r="F6081"/>
      <c r="G6081" s="12"/>
      <c r="H6081" s="12"/>
      <c r="I6081" s="12"/>
      <c r="J6081" s="12"/>
    </row>
    <row r="6082" spans="5:10" x14ac:dyDescent="0.25">
      <c r="E6082"/>
      <c r="F6082"/>
      <c r="G6082" s="12"/>
      <c r="H6082" s="12"/>
      <c r="I6082" s="12"/>
      <c r="J6082" s="12"/>
    </row>
    <row r="6083" spans="5:10" x14ac:dyDescent="0.25">
      <c r="E6083"/>
      <c r="F6083"/>
      <c r="G6083" s="12"/>
      <c r="H6083" s="12"/>
      <c r="I6083" s="12"/>
      <c r="J6083" s="12"/>
    </row>
    <row r="6084" spans="5:10" x14ac:dyDescent="0.25">
      <c r="E6084"/>
      <c r="F6084"/>
      <c r="G6084" s="12"/>
      <c r="H6084" s="12"/>
      <c r="I6084" s="12"/>
      <c r="J6084" s="12"/>
    </row>
    <row r="6085" spans="5:10" x14ac:dyDescent="0.25">
      <c r="E6085"/>
      <c r="F6085"/>
      <c r="G6085" s="12"/>
      <c r="H6085" s="12"/>
      <c r="I6085" s="12"/>
      <c r="J6085" s="12"/>
    </row>
    <row r="6086" spans="5:10" x14ac:dyDescent="0.25">
      <c r="E6086"/>
      <c r="F6086"/>
      <c r="G6086" s="12"/>
      <c r="H6086" s="12"/>
      <c r="I6086" s="12"/>
      <c r="J6086" s="12"/>
    </row>
    <row r="6087" spans="5:10" x14ac:dyDescent="0.25">
      <c r="E6087"/>
      <c r="F6087"/>
      <c r="G6087" s="12"/>
      <c r="H6087" s="12"/>
      <c r="I6087" s="12"/>
      <c r="J6087" s="12"/>
    </row>
    <row r="6088" spans="5:10" x14ac:dyDescent="0.25">
      <c r="E6088"/>
      <c r="F6088"/>
      <c r="G6088" s="12"/>
      <c r="H6088" s="12"/>
      <c r="I6088" s="12"/>
      <c r="J6088" s="12"/>
    </row>
    <row r="6089" spans="5:10" x14ac:dyDescent="0.25">
      <c r="E6089"/>
      <c r="F6089"/>
      <c r="G6089" s="12"/>
      <c r="H6089" s="12"/>
      <c r="I6089" s="12"/>
      <c r="J6089" s="12"/>
    </row>
    <row r="6090" spans="5:10" x14ac:dyDescent="0.25">
      <c r="E6090"/>
      <c r="F6090"/>
      <c r="G6090" s="12"/>
      <c r="H6090" s="12"/>
      <c r="I6090" s="12"/>
      <c r="J6090" s="12"/>
    </row>
    <row r="6091" spans="5:10" x14ac:dyDescent="0.25">
      <c r="E6091"/>
      <c r="F6091"/>
      <c r="G6091" s="12"/>
      <c r="H6091" s="12"/>
      <c r="I6091" s="12"/>
      <c r="J6091" s="12"/>
    </row>
    <row r="6092" spans="5:10" x14ac:dyDescent="0.25">
      <c r="E6092"/>
      <c r="F6092"/>
      <c r="G6092" s="12"/>
      <c r="H6092" s="12"/>
      <c r="I6092" s="12"/>
      <c r="J6092" s="12"/>
    </row>
    <row r="6093" spans="5:10" x14ac:dyDescent="0.25">
      <c r="E6093"/>
      <c r="F6093"/>
      <c r="G6093" s="12"/>
      <c r="H6093" s="12"/>
      <c r="I6093" s="12"/>
      <c r="J6093" s="12"/>
    </row>
    <row r="6094" spans="5:10" x14ac:dyDescent="0.25">
      <c r="E6094"/>
      <c r="F6094"/>
      <c r="G6094" s="12"/>
      <c r="H6094" s="12"/>
      <c r="I6094" s="12"/>
      <c r="J6094" s="12"/>
    </row>
    <row r="6095" spans="5:10" x14ac:dyDescent="0.25">
      <c r="E6095"/>
      <c r="F6095"/>
      <c r="G6095" s="12"/>
      <c r="H6095" s="12"/>
      <c r="I6095" s="12"/>
      <c r="J6095" s="12"/>
    </row>
    <row r="6096" spans="5:10" x14ac:dyDescent="0.25">
      <c r="E6096"/>
      <c r="F6096"/>
      <c r="G6096" s="12"/>
      <c r="H6096" s="12"/>
      <c r="I6096" s="12"/>
      <c r="J6096" s="12"/>
    </row>
    <row r="6097" spans="5:10" x14ac:dyDescent="0.25">
      <c r="E6097"/>
      <c r="F6097"/>
      <c r="G6097" s="12"/>
      <c r="H6097" s="12"/>
      <c r="I6097" s="12"/>
      <c r="J6097" s="12"/>
    </row>
    <row r="6098" spans="5:10" x14ac:dyDescent="0.25">
      <c r="E6098"/>
      <c r="F6098"/>
      <c r="G6098" s="12"/>
      <c r="H6098" s="12"/>
      <c r="I6098" s="12"/>
      <c r="J6098" s="12"/>
    </row>
    <row r="6099" spans="5:10" x14ac:dyDescent="0.25">
      <c r="E6099"/>
      <c r="F6099"/>
      <c r="G6099" s="12"/>
      <c r="H6099" s="12"/>
      <c r="I6099" s="12"/>
      <c r="J6099" s="12"/>
    </row>
    <row r="6100" spans="5:10" x14ac:dyDescent="0.25">
      <c r="E6100"/>
      <c r="F6100"/>
      <c r="G6100" s="12"/>
      <c r="H6100" s="12"/>
      <c r="I6100" s="12"/>
      <c r="J6100" s="12"/>
    </row>
    <row r="6101" spans="5:10" x14ac:dyDescent="0.25">
      <c r="E6101"/>
      <c r="F6101"/>
      <c r="G6101" s="12"/>
      <c r="H6101" s="12"/>
      <c r="I6101" s="12"/>
      <c r="J6101" s="12"/>
    </row>
    <row r="6102" spans="5:10" x14ac:dyDescent="0.25">
      <c r="E6102"/>
      <c r="F6102"/>
      <c r="G6102" s="12"/>
      <c r="H6102" s="12"/>
      <c r="I6102" s="12"/>
      <c r="J6102" s="12"/>
    </row>
    <row r="6103" spans="5:10" x14ac:dyDescent="0.25">
      <c r="E6103"/>
      <c r="F6103"/>
      <c r="G6103" s="12"/>
      <c r="H6103" s="12"/>
      <c r="I6103" s="12"/>
      <c r="J6103" s="12"/>
    </row>
    <row r="6104" spans="5:10" x14ac:dyDescent="0.25">
      <c r="E6104"/>
      <c r="F6104"/>
      <c r="G6104" s="12"/>
      <c r="H6104" s="12"/>
      <c r="I6104" s="12"/>
      <c r="J6104" s="12"/>
    </row>
    <row r="6105" spans="5:10" x14ac:dyDescent="0.25">
      <c r="E6105"/>
      <c r="F6105"/>
      <c r="G6105" s="12"/>
      <c r="H6105" s="12"/>
      <c r="I6105" s="12"/>
      <c r="J6105" s="12"/>
    </row>
    <row r="6106" spans="5:10" x14ac:dyDescent="0.25">
      <c r="E6106"/>
      <c r="F6106"/>
      <c r="G6106" s="12"/>
      <c r="H6106" s="12"/>
      <c r="I6106" s="12"/>
      <c r="J6106" s="12"/>
    </row>
    <row r="6107" spans="5:10" x14ac:dyDescent="0.25">
      <c r="E6107"/>
      <c r="F6107"/>
      <c r="G6107" s="12"/>
      <c r="H6107" s="12"/>
      <c r="I6107" s="12"/>
      <c r="J6107" s="12"/>
    </row>
    <row r="6108" spans="5:10" x14ac:dyDescent="0.25">
      <c r="E6108"/>
      <c r="F6108"/>
      <c r="G6108" s="12"/>
      <c r="H6108" s="12"/>
      <c r="I6108" s="12"/>
      <c r="J6108" s="12"/>
    </row>
    <row r="6109" spans="5:10" x14ac:dyDescent="0.25">
      <c r="E6109"/>
      <c r="F6109"/>
      <c r="G6109" s="12"/>
      <c r="H6109" s="12"/>
      <c r="I6109" s="12"/>
      <c r="J6109" s="12"/>
    </row>
    <row r="6110" spans="5:10" x14ac:dyDescent="0.25">
      <c r="E6110"/>
      <c r="F6110"/>
      <c r="G6110" s="12"/>
      <c r="H6110" s="12"/>
      <c r="I6110" s="12"/>
      <c r="J6110" s="12"/>
    </row>
    <row r="6111" spans="5:10" x14ac:dyDescent="0.25">
      <c r="E6111"/>
      <c r="F6111"/>
      <c r="G6111" s="12"/>
      <c r="H6111" s="12"/>
      <c r="I6111" s="12"/>
      <c r="J6111" s="12"/>
    </row>
    <row r="6112" spans="5:10" x14ac:dyDescent="0.25">
      <c r="E6112"/>
      <c r="F6112"/>
      <c r="G6112" s="12"/>
      <c r="H6112" s="12"/>
      <c r="I6112" s="12"/>
      <c r="J6112" s="12"/>
    </row>
    <row r="6113" spans="5:10" x14ac:dyDescent="0.25">
      <c r="E6113"/>
      <c r="F6113"/>
      <c r="G6113" s="12"/>
      <c r="H6113" s="12"/>
      <c r="I6113" s="12"/>
      <c r="J6113" s="12"/>
    </row>
    <row r="6114" spans="5:10" x14ac:dyDescent="0.25">
      <c r="E6114"/>
      <c r="F6114"/>
      <c r="G6114" s="12"/>
      <c r="H6114" s="12"/>
      <c r="I6114" s="12"/>
      <c r="J6114" s="12"/>
    </row>
    <row r="6115" spans="5:10" x14ac:dyDescent="0.25">
      <c r="E6115"/>
      <c r="F6115"/>
      <c r="G6115" s="12"/>
      <c r="H6115" s="12"/>
      <c r="I6115" s="12"/>
      <c r="J6115" s="12"/>
    </row>
    <row r="6116" spans="5:10" x14ac:dyDescent="0.25">
      <c r="E6116"/>
      <c r="F6116"/>
      <c r="G6116" s="12"/>
      <c r="H6116" s="12"/>
      <c r="I6116" s="12"/>
      <c r="J6116" s="12"/>
    </row>
    <row r="6117" spans="5:10" x14ac:dyDescent="0.25">
      <c r="E6117"/>
      <c r="F6117"/>
      <c r="G6117" s="12"/>
      <c r="H6117" s="12"/>
      <c r="I6117" s="12"/>
      <c r="J6117" s="12"/>
    </row>
    <row r="6118" spans="5:10" x14ac:dyDescent="0.25">
      <c r="E6118"/>
      <c r="F6118"/>
      <c r="G6118" s="12"/>
      <c r="H6118" s="12"/>
      <c r="I6118" s="12"/>
      <c r="J6118" s="12"/>
    </row>
    <row r="6119" spans="5:10" x14ac:dyDescent="0.25">
      <c r="E6119"/>
      <c r="F6119"/>
      <c r="G6119" s="12"/>
      <c r="H6119" s="12"/>
      <c r="I6119" s="12"/>
      <c r="J6119" s="12"/>
    </row>
    <row r="6120" spans="5:10" x14ac:dyDescent="0.25">
      <c r="E6120"/>
      <c r="F6120"/>
      <c r="G6120" s="12"/>
      <c r="H6120" s="12"/>
      <c r="I6120" s="12"/>
      <c r="J6120" s="12"/>
    </row>
    <row r="6121" spans="5:10" x14ac:dyDescent="0.25">
      <c r="E6121"/>
      <c r="F6121"/>
      <c r="G6121" s="12"/>
      <c r="H6121" s="12"/>
      <c r="I6121" s="12"/>
      <c r="J6121" s="12"/>
    </row>
    <row r="6122" spans="5:10" x14ac:dyDescent="0.25">
      <c r="E6122"/>
      <c r="F6122"/>
      <c r="G6122" s="12"/>
      <c r="H6122" s="12"/>
      <c r="I6122" s="12"/>
      <c r="J6122" s="12"/>
    </row>
    <row r="6123" spans="5:10" x14ac:dyDescent="0.25">
      <c r="E6123"/>
      <c r="F6123"/>
      <c r="G6123" s="12"/>
      <c r="H6123" s="12"/>
      <c r="I6123" s="12"/>
      <c r="J6123" s="12"/>
    </row>
    <row r="6124" spans="5:10" x14ac:dyDescent="0.25">
      <c r="E6124"/>
      <c r="F6124"/>
      <c r="G6124" s="12"/>
      <c r="H6124" s="12"/>
      <c r="I6124" s="12"/>
      <c r="J6124" s="12"/>
    </row>
    <row r="6125" spans="5:10" x14ac:dyDescent="0.25">
      <c r="E6125"/>
      <c r="F6125"/>
      <c r="G6125" s="12"/>
      <c r="H6125" s="12"/>
      <c r="I6125" s="12"/>
      <c r="J6125" s="12"/>
    </row>
    <row r="6126" spans="5:10" x14ac:dyDescent="0.25">
      <c r="E6126"/>
      <c r="F6126"/>
      <c r="G6126" s="12"/>
      <c r="H6126" s="12"/>
      <c r="I6126" s="12"/>
      <c r="J6126" s="12"/>
    </row>
    <row r="6127" spans="5:10" x14ac:dyDescent="0.25">
      <c r="E6127"/>
      <c r="F6127"/>
      <c r="G6127" s="12"/>
      <c r="H6127" s="12"/>
      <c r="I6127" s="12"/>
      <c r="J6127" s="12"/>
    </row>
    <row r="6128" spans="5:10" x14ac:dyDescent="0.25">
      <c r="E6128"/>
      <c r="F6128"/>
      <c r="G6128" s="12"/>
      <c r="H6128" s="12"/>
      <c r="I6128" s="12"/>
      <c r="J6128" s="12"/>
    </row>
    <row r="6129" spans="5:10" x14ac:dyDescent="0.25">
      <c r="E6129"/>
      <c r="F6129"/>
      <c r="G6129" s="12"/>
      <c r="H6129" s="12"/>
      <c r="I6129" s="12"/>
      <c r="J6129" s="12"/>
    </row>
    <row r="6130" spans="5:10" x14ac:dyDescent="0.25">
      <c r="E6130"/>
      <c r="F6130"/>
      <c r="G6130" s="12"/>
      <c r="H6130" s="12"/>
      <c r="I6130" s="12"/>
      <c r="J6130" s="12"/>
    </row>
    <row r="6131" spans="5:10" x14ac:dyDescent="0.25">
      <c r="E6131"/>
      <c r="F6131"/>
      <c r="G6131" s="12"/>
      <c r="H6131" s="12"/>
      <c r="I6131" s="12"/>
      <c r="J6131" s="12"/>
    </row>
    <row r="6132" spans="5:10" x14ac:dyDescent="0.25">
      <c r="E6132"/>
      <c r="F6132"/>
      <c r="G6132" s="12"/>
      <c r="H6132" s="12"/>
      <c r="I6132" s="12"/>
      <c r="J6132" s="12"/>
    </row>
    <row r="6133" spans="5:10" x14ac:dyDescent="0.25">
      <c r="E6133"/>
      <c r="F6133"/>
      <c r="G6133" s="12"/>
      <c r="H6133" s="12"/>
      <c r="I6133" s="12"/>
      <c r="J6133" s="12"/>
    </row>
    <row r="6134" spans="5:10" x14ac:dyDescent="0.25">
      <c r="E6134"/>
      <c r="F6134"/>
      <c r="G6134" s="12"/>
      <c r="H6134" s="12"/>
      <c r="I6134" s="12"/>
      <c r="J6134" s="12"/>
    </row>
    <row r="6135" spans="5:10" x14ac:dyDescent="0.25">
      <c r="E6135"/>
      <c r="F6135"/>
      <c r="G6135" s="12"/>
      <c r="H6135" s="12"/>
      <c r="I6135" s="12"/>
      <c r="J6135" s="12"/>
    </row>
    <row r="6136" spans="5:10" x14ac:dyDescent="0.25">
      <c r="E6136"/>
      <c r="F6136"/>
      <c r="G6136" s="12"/>
      <c r="H6136" s="12"/>
      <c r="I6136" s="12"/>
      <c r="J6136" s="12"/>
    </row>
    <row r="6137" spans="5:10" x14ac:dyDescent="0.25">
      <c r="E6137"/>
      <c r="F6137"/>
      <c r="G6137" s="12"/>
      <c r="H6137" s="12"/>
      <c r="I6137" s="12"/>
      <c r="J6137" s="12"/>
    </row>
    <row r="6138" spans="5:10" x14ac:dyDescent="0.25">
      <c r="E6138"/>
      <c r="F6138"/>
      <c r="G6138" s="12"/>
      <c r="H6138" s="12"/>
      <c r="I6138" s="12"/>
      <c r="J6138" s="12"/>
    </row>
    <row r="6139" spans="5:10" x14ac:dyDescent="0.25">
      <c r="E6139"/>
      <c r="F6139"/>
      <c r="G6139" s="12"/>
      <c r="H6139" s="12"/>
      <c r="I6139" s="12"/>
      <c r="J6139" s="12"/>
    </row>
    <row r="6140" spans="5:10" x14ac:dyDescent="0.25">
      <c r="E6140"/>
      <c r="F6140"/>
      <c r="G6140" s="12"/>
      <c r="H6140" s="12"/>
      <c r="I6140" s="12"/>
      <c r="J6140" s="12"/>
    </row>
    <row r="6141" spans="5:10" x14ac:dyDescent="0.25">
      <c r="E6141"/>
      <c r="F6141"/>
      <c r="G6141" s="12"/>
      <c r="H6141" s="12"/>
      <c r="I6141" s="12"/>
      <c r="J6141" s="12"/>
    </row>
    <row r="6142" spans="5:10" x14ac:dyDescent="0.25">
      <c r="E6142"/>
      <c r="F6142"/>
      <c r="G6142" s="12"/>
      <c r="H6142" s="12"/>
      <c r="I6142" s="12"/>
      <c r="J6142" s="12"/>
    </row>
    <row r="6143" spans="5:10" x14ac:dyDescent="0.25">
      <c r="E6143"/>
      <c r="F6143"/>
      <c r="G6143" s="12"/>
      <c r="H6143" s="12"/>
      <c r="I6143" s="12"/>
      <c r="J6143" s="12"/>
    </row>
    <row r="6144" spans="5:10" x14ac:dyDescent="0.25">
      <c r="E6144"/>
      <c r="F6144"/>
      <c r="G6144" s="12"/>
      <c r="H6144" s="12"/>
      <c r="I6144" s="12"/>
      <c r="J6144" s="12"/>
    </row>
    <row r="6145" spans="5:10" x14ac:dyDescent="0.25">
      <c r="E6145"/>
      <c r="F6145"/>
      <c r="G6145" s="12"/>
      <c r="H6145" s="12"/>
      <c r="I6145" s="12"/>
      <c r="J6145" s="12"/>
    </row>
    <row r="6146" spans="5:10" x14ac:dyDescent="0.25">
      <c r="E6146"/>
      <c r="F6146"/>
      <c r="G6146" s="12"/>
      <c r="H6146" s="12"/>
      <c r="I6146" s="12"/>
      <c r="J6146" s="12"/>
    </row>
    <row r="6147" spans="5:10" x14ac:dyDescent="0.25">
      <c r="E6147"/>
      <c r="F6147"/>
      <c r="G6147" s="12"/>
      <c r="H6147" s="12"/>
      <c r="I6147" s="12"/>
      <c r="J6147" s="12"/>
    </row>
    <row r="6148" spans="5:10" x14ac:dyDescent="0.25">
      <c r="E6148"/>
      <c r="F6148"/>
      <c r="G6148" s="12"/>
      <c r="H6148" s="12"/>
      <c r="I6148" s="12"/>
      <c r="J6148" s="12"/>
    </row>
    <row r="6149" spans="5:10" x14ac:dyDescent="0.25">
      <c r="E6149"/>
      <c r="F6149"/>
      <c r="G6149" s="12"/>
      <c r="H6149" s="12"/>
      <c r="I6149" s="12"/>
      <c r="J6149" s="12"/>
    </row>
    <row r="6150" spans="5:10" x14ac:dyDescent="0.25">
      <c r="E6150"/>
      <c r="F6150"/>
      <c r="G6150" s="12"/>
      <c r="H6150" s="12"/>
      <c r="I6150" s="12"/>
      <c r="J6150" s="12"/>
    </row>
    <row r="6151" spans="5:10" x14ac:dyDescent="0.25">
      <c r="E6151"/>
      <c r="F6151"/>
      <c r="G6151" s="12"/>
      <c r="H6151" s="12"/>
      <c r="I6151" s="12"/>
      <c r="J6151" s="12"/>
    </row>
    <row r="6152" spans="5:10" x14ac:dyDescent="0.25">
      <c r="E6152"/>
      <c r="F6152"/>
      <c r="G6152" s="12"/>
      <c r="H6152" s="12"/>
      <c r="I6152" s="12"/>
      <c r="J6152" s="12"/>
    </row>
    <row r="6153" spans="5:10" x14ac:dyDescent="0.25">
      <c r="E6153"/>
      <c r="F6153"/>
      <c r="G6153" s="12"/>
      <c r="H6153" s="12"/>
      <c r="I6153" s="12"/>
      <c r="J6153" s="12"/>
    </row>
    <row r="6154" spans="5:10" x14ac:dyDescent="0.25">
      <c r="E6154"/>
      <c r="F6154"/>
      <c r="G6154" s="12"/>
      <c r="H6154" s="12"/>
      <c r="I6154" s="12"/>
      <c r="J6154" s="12"/>
    </row>
    <row r="6155" spans="5:10" x14ac:dyDescent="0.25">
      <c r="E6155"/>
      <c r="F6155"/>
      <c r="G6155" s="12"/>
      <c r="H6155" s="12"/>
      <c r="I6155" s="12"/>
      <c r="J6155" s="12"/>
    </row>
    <row r="6156" spans="5:10" x14ac:dyDescent="0.25">
      <c r="E6156"/>
      <c r="F6156"/>
      <c r="G6156" s="12"/>
      <c r="H6156" s="12"/>
      <c r="I6156" s="12"/>
      <c r="J6156" s="12"/>
    </row>
    <row r="6157" spans="5:10" x14ac:dyDescent="0.25">
      <c r="E6157"/>
      <c r="F6157"/>
      <c r="G6157" s="12"/>
      <c r="H6157" s="12"/>
      <c r="I6157" s="12"/>
      <c r="J6157" s="12"/>
    </row>
    <row r="6158" spans="5:10" x14ac:dyDescent="0.25">
      <c r="E6158"/>
      <c r="F6158"/>
      <c r="G6158" s="12"/>
      <c r="H6158" s="12"/>
      <c r="I6158" s="12"/>
      <c r="J6158" s="12"/>
    </row>
    <row r="6159" spans="5:10" x14ac:dyDescent="0.25">
      <c r="E6159"/>
      <c r="F6159"/>
      <c r="G6159" s="12"/>
      <c r="H6159" s="12"/>
      <c r="I6159" s="12"/>
      <c r="J6159" s="12"/>
    </row>
    <row r="6160" spans="5:10" x14ac:dyDescent="0.25">
      <c r="E6160"/>
      <c r="F6160"/>
      <c r="G6160" s="12"/>
      <c r="H6160" s="12"/>
      <c r="I6160" s="12"/>
      <c r="J6160" s="12"/>
    </row>
    <row r="6161" spans="5:10" x14ac:dyDescent="0.25">
      <c r="E6161"/>
      <c r="F6161"/>
      <c r="G6161" s="12"/>
      <c r="H6161" s="12"/>
      <c r="I6161" s="12"/>
      <c r="J6161" s="12"/>
    </row>
    <row r="6162" spans="5:10" x14ac:dyDescent="0.25">
      <c r="E6162"/>
      <c r="F6162"/>
      <c r="G6162" s="12"/>
      <c r="H6162" s="12"/>
      <c r="I6162" s="12"/>
      <c r="J6162" s="12"/>
    </row>
    <row r="6163" spans="5:10" x14ac:dyDescent="0.25">
      <c r="E6163"/>
      <c r="F6163"/>
      <c r="G6163" s="12"/>
      <c r="H6163" s="12"/>
      <c r="I6163" s="12"/>
      <c r="J6163" s="12"/>
    </row>
    <row r="6164" spans="5:10" x14ac:dyDescent="0.25">
      <c r="E6164"/>
      <c r="F6164"/>
      <c r="G6164" s="12"/>
      <c r="H6164" s="12"/>
      <c r="I6164" s="12"/>
      <c r="J6164" s="12"/>
    </row>
    <row r="6165" spans="5:10" x14ac:dyDescent="0.25">
      <c r="E6165"/>
      <c r="F6165"/>
      <c r="G6165" s="12"/>
      <c r="H6165" s="12"/>
      <c r="I6165" s="12"/>
      <c r="J6165" s="12"/>
    </row>
    <row r="6166" spans="5:10" x14ac:dyDescent="0.25">
      <c r="E6166"/>
      <c r="F6166"/>
      <c r="G6166" s="12"/>
      <c r="H6166" s="12"/>
      <c r="I6166" s="12"/>
      <c r="J6166" s="12"/>
    </row>
    <row r="6167" spans="5:10" x14ac:dyDescent="0.25">
      <c r="E6167"/>
      <c r="F6167"/>
      <c r="G6167" s="12"/>
      <c r="H6167" s="12"/>
      <c r="I6167" s="12"/>
      <c r="J6167" s="12"/>
    </row>
    <row r="6168" spans="5:10" x14ac:dyDescent="0.25">
      <c r="E6168"/>
      <c r="F6168"/>
      <c r="G6168" s="12"/>
      <c r="H6168" s="12"/>
      <c r="I6168" s="12"/>
      <c r="J6168" s="12"/>
    </row>
    <row r="6169" spans="5:10" x14ac:dyDescent="0.25">
      <c r="E6169"/>
      <c r="F6169"/>
      <c r="G6169" s="12"/>
      <c r="H6169" s="12"/>
      <c r="I6169" s="12"/>
      <c r="J6169" s="12"/>
    </row>
    <row r="6170" spans="5:10" x14ac:dyDescent="0.25">
      <c r="E6170"/>
      <c r="F6170"/>
      <c r="G6170" s="12"/>
      <c r="H6170" s="12"/>
      <c r="I6170" s="12"/>
      <c r="J6170" s="12"/>
    </row>
    <row r="6171" spans="5:10" x14ac:dyDescent="0.25">
      <c r="E6171"/>
      <c r="F6171"/>
      <c r="G6171" s="12"/>
      <c r="H6171" s="12"/>
      <c r="I6171" s="12"/>
      <c r="J6171" s="12"/>
    </row>
    <row r="6172" spans="5:10" x14ac:dyDescent="0.25">
      <c r="E6172"/>
      <c r="F6172"/>
      <c r="G6172" s="12"/>
      <c r="H6172" s="12"/>
      <c r="I6172" s="12"/>
      <c r="J6172" s="12"/>
    </row>
    <row r="6173" spans="5:10" x14ac:dyDescent="0.25">
      <c r="E6173"/>
      <c r="F6173"/>
      <c r="G6173" s="12"/>
      <c r="H6173" s="12"/>
      <c r="I6173" s="12"/>
      <c r="J6173" s="12"/>
    </row>
    <row r="6174" spans="5:10" x14ac:dyDescent="0.25">
      <c r="E6174"/>
      <c r="F6174"/>
      <c r="G6174" s="12"/>
      <c r="H6174" s="12"/>
      <c r="I6174" s="12"/>
      <c r="J6174" s="12"/>
    </row>
    <row r="6175" spans="5:10" x14ac:dyDescent="0.25">
      <c r="E6175"/>
      <c r="F6175"/>
      <c r="G6175" s="12"/>
      <c r="H6175" s="12"/>
      <c r="I6175" s="12"/>
      <c r="J6175" s="12"/>
    </row>
    <row r="6176" spans="5:10" x14ac:dyDescent="0.25">
      <c r="E6176"/>
      <c r="F6176"/>
      <c r="G6176" s="12"/>
      <c r="H6176" s="12"/>
      <c r="I6176" s="12"/>
      <c r="J6176" s="12"/>
    </row>
    <row r="6177" spans="5:10" x14ac:dyDescent="0.25">
      <c r="E6177"/>
      <c r="F6177"/>
      <c r="G6177" s="12"/>
      <c r="H6177" s="12"/>
      <c r="I6177" s="12"/>
      <c r="J6177" s="12"/>
    </row>
    <row r="6178" spans="5:10" x14ac:dyDescent="0.25">
      <c r="E6178"/>
      <c r="F6178"/>
      <c r="G6178" s="12"/>
      <c r="H6178" s="12"/>
      <c r="I6178" s="12"/>
      <c r="J6178" s="12"/>
    </row>
    <row r="6179" spans="5:10" x14ac:dyDescent="0.25">
      <c r="E6179"/>
      <c r="F6179"/>
      <c r="G6179" s="12"/>
      <c r="H6179" s="12"/>
      <c r="I6179" s="12"/>
      <c r="J6179" s="12"/>
    </row>
    <row r="6180" spans="5:10" x14ac:dyDescent="0.25">
      <c r="E6180"/>
      <c r="F6180"/>
      <c r="G6180" s="12"/>
      <c r="H6180" s="12"/>
      <c r="I6180" s="12"/>
      <c r="J6180" s="12"/>
    </row>
    <row r="6181" spans="5:10" x14ac:dyDescent="0.25">
      <c r="E6181"/>
      <c r="F6181"/>
      <c r="G6181" s="12"/>
      <c r="H6181" s="12"/>
      <c r="I6181" s="12"/>
      <c r="J6181" s="12"/>
    </row>
    <row r="6182" spans="5:10" x14ac:dyDescent="0.25">
      <c r="E6182"/>
      <c r="F6182"/>
      <c r="G6182" s="12"/>
      <c r="H6182" s="12"/>
      <c r="I6182" s="12"/>
      <c r="J6182" s="12"/>
    </row>
    <row r="6183" spans="5:10" x14ac:dyDescent="0.25">
      <c r="E6183"/>
      <c r="F6183"/>
      <c r="G6183" s="12"/>
      <c r="H6183" s="12"/>
      <c r="I6183" s="12"/>
      <c r="J6183" s="12"/>
    </row>
    <row r="6184" spans="5:10" x14ac:dyDescent="0.25">
      <c r="E6184"/>
      <c r="F6184"/>
      <c r="G6184" s="12"/>
      <c r="H6184" s="12"/>
      <c r="I6184" s="12"/>
      <c r="J6184" s="12"/>
    </row>
    <row r="6185" spans="5:10" x14ac:dyDescent="0.25">
      <c r="E6185"/>
      <c r="F6185"/>
      <c r="G6185" s="12"/>
      <c r="H6185" s="12"/>
      <c r="I6185" s="12"/>
      <c r="J6185" s="12"/>
    </row>
    <row r="6186" spans="5:10" x14ac:dyDescent="0.25">
      <c r="E6186"/>
      <c r="F6186"/>
      <c r="G6186" s="12"/>
      <c r="H6186" s="12"/>
      <c r="I6186" s="12"/>
      <c r="J6186" s="12"/>
    </row>
    <row r="6187" spans="5:10" x14ac:dyDescent="0.25">
      <c r="E6187"/>
      <c r="F6187"/>
      <c r="G6187" s="12"/>
      <c r="H6187" s="12"/>
      <c r="I6187" s="12"/>
      <c r="J6187" s="12"/>
    </row>
    <row r="6188" spans="5:10" x14ac:dyDescent="0.25">
      <c r="E6188"/>
      <c r="F6188"/>
      <c r="G6188" s="12"/>
      <c r="H6188" s="12"/>
      <c r="I6188" s="12"/>
      <c r="J6188" s="12"/>
    </row>
    <row r="6189" spans="5:10" x14ac:dyDescent="0.25">
      <c r="E6189"/>
      <c r="F6189"/>
      <c r="G6189" s="12"/>
      <c r="H6189" s="12"/>
      <c r="I6189" s="12"/>
      <c r="J6189" s="12"/>
    </row>
    <row r="6190" spans="5:10" x14ac:dyDescent="0.25">
      <c r="E6190"/>
      <c r="F6190"/>
      <c r="G6190" s="12"/>
      <c r="H6190" s="12"/>
      <c r="I6190" s="12"/>
      <c r="J6190" s="12"/>
    </row>
    <row r="6191" spans="5:10" x14ac:dyDescent="0.25">
      <c r="E6191"/>
      <c r="F6191"/>
      <c r="G6191" s="12"/>
      <c r="H6191" s="12"/>
      <c r="I6191" s="12"/>
      <c r="J6191" s="12"/>
    </row>
    <row r="6192" spans="5:10" x14ac:dyDescent="0.25">
      <c r="E6192"/>
      <c r="F6192"/>
      <c r="G6192" s="12"/>
      <c r="H6192" s="12"/>
      <c r="I6192" s="12"/>
      <c r="J6192" s="12"/>
    </row>
    <row r="6193" spans="5:10" x14ac:dyDescent="0.25">
      <c r="E6193"/>
      <c r="F6193"/>
      <c r="G6193" s="12"/>
      <c r="H6193" s="12"/>
      <c r="I6193" s="12"/>
      <c r="J6193" s="12"/>
    </row>
    <row r="6194" spans="5:10" x14ac:dyDescent="0.25">
      <c r="E6194"/>
      <c r="F6194"/>
      <c r="G6194" s="12"/>
      <c r="H6194" s="12"/>
      <c r="I6194" s="12"/>
      <c r="J6194" s="12"/>
    </row>
    <row r="6195" spans="5:10" x14ac:dyDescent="0.25">
      <c r="E6195"/>
      <c r="F6195"/>
      <c r="G6195" s="12"/>
      <c r="H6195" s="12"/>
      <c r="I6195" s="12"/>
      <c r="J6195" s="12"/>
    </row>
    <row r="6196" spans="5:10" x14ac:dyDescent="0.25">
      <c r="E6196"/>
      <c r="F6196"/>
      <c r="G6196" s="12"/>
      <c r="H6196" s="12"/>
      <c r="I6196" s="12"/>
      <c r="J6196" s="12"/>
    </row>
    <row r="6197" spans="5:10" x14ac:dyDescent="0.25">
      <c r="E6197"/>
      <c r="F6197"/>
      <c r="G6197" s="12"/>
      <c r="H6197" s="12"/>
      <c r="I6197" s="12"/>
      <c r="J6197" s="12"/>
    </row>
    <row r="6198" spans="5:10" x14ac:dyDescent="0.25">
      <c r="E6198"/>
      <c r="F6198"/>
      <c r="G6198" s="12"/>
      <c r="H6198" s="12"/>
      <c r="I6198" s="12"/>
      <c r="J6198" s="12"/>
    </row>
    <row r="6199" spans="5:10" x14ac:dyDescent="0.25">
      <c r="E6199"/>
      <c r="F6199"/>
      <c r="G6199" s="12"/>
      <c r="H6199" s="12"/>
      <c r="I6199" s="12"/>
      <c r="J6199" s="12"/>
    </row>
    <row r="6200" spans="5:10" x14ac:dyDescent="0.25">
      <c r="E6200"/>
      <c r="F6200"/>
      <c r="G6200" s="12"/>
      <c r="H6200" s="12"/>
      <c r="I6200" s="12"/>
      <c r="J6200" s="12"/>
    </row>
    <row r="6201" spans="5:10" x14ac:dyDescent="0.25">
      <c r="E6201"/>
      <c r="F6201"/>
      <c r="G6201" s="12"/>
      <c r="H6201" s="12"/>
      <c r="I6201" s="12"/>
      <c r="J6201" s="12"/>
    </row>
    <row r="6202" spans="5:10" x14ac:dyDescent="0.25">
      <c r="E6202"/>
      <c r="F6202"/>
      <c r="G6202" s="12"/>
      <c r="H6202" s="12"/>
      <c r="I6202" s="12"/>
      <c r="J6202" s="12"/>
    </row>
    <row r="6203" spans="5:10" x14ac:dyDescent="0.25">
      <c r="E6203"/>
      <c r="F6203"/>
      <c r="G6203" s="12"/>
      <c r="H6203" s="12"/>
      <c r="I6203" s="12"/>
      <c r="J6203" s="12"/>
    </row>
    <row r="6204" spans="5:10" x14ac:dyDescent="0.25">
      <c r="E6204"/>
      <c r="F6204"/>
      <c r="G6204" s="12"/>
      <c r="H6204" s="12"/>
      <c r="I6204" s="12"/>
      <c r="J6204" s="12"/>
    </row>
    <row r="6205" spans="5:10" x14ac:dyDescent="0.25">
      <c r="E6205"/>
      <c r="F6205"/>
      <c r="G6205" s="12"/>
      <c r="H6205" s="12"/>
      <c r="I6205" s="12"/>
      <c r="J6205" s="12"/>
    </row>
    <row r="6206" spans="5:10" x14ac:dyDescent="0.25">
      <c r="E6206"/>
      <c r="F6206"/>
      <c r="G6206" s="12"/>
      <c r="H6206" s="12"/>
      <c r="I6206" s="12"/>
      <c r="J6206" s="12"/>
    </row>
    <row r="6207" spans="5:10" x14ac:dyDescent="0.25">
      <c r="E6207"/>
      <c r="F6207"/>
      <c r="G6207" s="12"/>
      <c r="H6207" s="12"/>
      <c r="I6207" s="12"/>
      <c r="J6207" s="12"/>
    </row>
    <row r="6208" spans="5:10" x14ac:dyDescent="0.25">
      <c r="E6208"/>
      <c r="F6208"/>
      <c r="G6208" s="12"/>
      <c r="H6208" s="12"/>
      <c r="I6208" s="12"/>
      <c r="J6208" s="12"/>
    </row>
    <row r="6209" spans="5:10" x14ac:dyDescent="0.25">
      <c r="E6209"/>
      <c r="F6209"/>
      <c r="G6209" s="12"/>
      <c r="H6209" s="12"/>
      <c r="I6209" s="12"/>
      <c r="J6209" s="12"/>
    </row>
    <row r="6210" spans="5:10" x14ac:dyDescent="0.25">
      <c r="E6210"/>
      <c r="F6210"/>
      <c r="G6210" s="12"/>
      <c r="H6210" s="12"/>
      <c r="I6210" s="12"/>
      <c r="J6210" s="12"/>
    </row>
    <row r="6211" spans="5:10" x14ac:dyDescent="0.25">
      <c r="E6211"/>
      <c r="F6211"/>
      <c r="G6211" s="12"/>
      <c r="H6211" s="12"/>
      <c r="I6211" s="12"/>
      <c r="J6211" s="12"/>
    </row>
    <row r="6212" spans="5:10" x14ac:dyDescent="0.25">
      <c r="E6212"/>
      <c r="F6212"/>
      <c r="G6212" s="12"/>
      <c r="H6212" s="12"/>
      <c r="I6212" s="12"/>
      <c r="J6212" s="12"/>
    </row>
    <row r="6213" spans="5:10" x14ac:dyDescent="0.25">
      <c r="E6213"/>
      <c r="F6213"/>
      <c r="G6213" s="12"/>
      <c r="H6213" s="12"/>
      <c r="I6213" s="12"/>
      <c r="J6213" s="12"/>
    </row>
    <row r="6214" spans="5:10" x14ac:dyDescent="0.25">
      <c r="E6214"/>
      <c r="F6214"/>
      <c r="G6214" s="12"/>
      <c r="H6214" s="12"/>
      <c r="I6214" s="12"/>
      <c r="J6214" s="12"/>
    </row>
    <row r="6215" spans="5:10" x14ac:dyDescent="0.25">
      <c r="E6215"/>
      <c r="F6215"/>
      <c r="G6215" s="12"/>
      <c r="H6215" s="12"/>
      <c r="I6215" s="12"/>
      <c r="J6215" s="12"/>
    </row>
    <row r="6216" spans="5:10" x14ac:dyDescent="0.25">
      <c r="E6216"/>
      <c r="F6216"/>
      <c r="G6216" s="12"/>
      <c r="H6216" s="12"/>
      <c r="I6216" s="12"/>
      <c r="J6216" s="12"/>
    </row>
    <row r="6217" spans="5:10" x14ac:dyDescent="0.25">
      <c r="E6217"/>
      <c r="F6217"/>
      <c r="G6217" s="12"/>
      <c r="H6217" s="12"/>
      <c r="I6217" s="12"/>
      <c r="J6217" s="12"/>
    </row>
    <row r="6218" spans="5:10" x14ac:dyDescent="0.25">
      <c r="E6218"/>
      <c r="F6218"/>
      <c r="G6218" s="12"/>
      <c r="H6218" s="12"/>
      <c r="I6218" s="12"/>
      <c r="J6218" s="12"/>
    </row>
    <row r="6219" spans="5:10" x14ac:dyDescent="0.25">
      <c r="E6219"/>
      <c r="F6219"/>
      <c r="G6219" s="12"/>
      <c r="H6219" s="12"/>
      <c r="I6219" s="12"/>
      <c r="J6219" s="12"/>
    </row>
    <row r="6220" spans="5:10" x14ac:dyDescent="0.25">
      <c r="E6220"/>
      <c r="F6220"/>
      <c r="G6220" s="12"/>
      <c r="H6220" s="12"/>
      <c r="I6220" s="12"/>
      <c r="J6220" s="12"/>
    </row>
    <row r="6221" spans="5:10" x14ac:dyDescent="0.25">
      <c r="E6221"/>
      <c r="F6221"/>
      <c r="G6221" s="12"/>
      <c r="H6221" s="12"/>
      <c r="I6221" s="12"/>
      <c r="J6221" s="12"/>
    </row>
    <row r="6222" spans="5:10" x14ac:dyDescent="0.25">
      <c r="E6222"/>
      <c r="F6222"/>
      <c r="G6222" s="12"/>
      <c r="H6222" s="12"/>
      <c r="I6222" s="12"/>
      <c r="J6222" s="12"/>
    </row>
    <row r="6223" spans="5:10" x14ac:dyDescent="0.25">
      <c r="E6223"/>
      <c r="F6223"/>
      <c r="G6223" s="12"/>
      <c r="H6223" s="12"/>
      <c r="I6223" s="12"/>
      <c r="J6223" s="12"/>
    </row>
    <row r="6224" spans="5:10" x14ac:dyDescent="0.25">
      <c r="E6224"/>
      <c r="F6224"/>
      <c r="G6224" s="12"/>
      <c r="H6224" s="12"/>
      <c r="I6224" s="12"/>
      <c r="J6224" s="12"/>
    </row>
    <row r="6225" spans="5:10" x14ac:dyDescent="0.25">
      <c r="E6225"/>
      <c r="F6225"/>
      <c r="G6225" s="12"/>
      <c r="H6225" s="12"/>
      <c r="I6225" s="12"/>
      <c r="J6225" s="12"/>
    </row>
    <row r="6226" spans="5:10" x14ac:dyDescent="0.25">
      <c r="E6226"/>
      <c r="F6226"/>
      <c r="G6226" s="12"/>
      <c r="H6226" s="12"/>
      <c r="I6226" s="12"/>
      <c r="J6226" s="12"/>
    </row>
    <row r="6227" spans="5:10" x14ac:dyDescent="0.25">
      <c r="E6227"/>
      <c r="F6227"/>
      <c r="G6227" s="12"/>
      <c r="H6227" s="12"/>
      <c r="I6227" s="12"/>
      <c r="J6227" s="12"/>
    </row>
    <row r="6228" spans="5:10" x14ac:dyDescent="0.25">
      <c r="E6228"/>
      <c r="F6228"/>
      <c r="G6228" s="12"/>
      <c r="H6228" s="12"/>
      <c r="I6228" s="12"/>
      <c r="J6228" s="12"/>
    </row>
    <row r="6229" spans="5:10" x14ac:dyDescent="0.25">
      <c r="E6229"/>
      <c r="F6229"/>
      <c r="G6229" s="12"/>
      <c r="H6229" s="12"/>
      <c r="I6229" s="12"/>
      <c r="J6229" s="12"/>
    </row>
    <row r="6230" spans="5:10" x14ac:dyDescent="0.25">
      <c r="E6230"/>
      <c r="F6230"/>
      <c r="G6230" s="12"/>
      <c r="H6230" s="12"/>
      <c r="I6230" s="12"/>
      <c r="J6230" s="12"/>
    </row>
    <row r="6231" spans="5:10" x14ac:dyDescent="0.25">
      <c r="E6231"/>
      <c r="F6231"/>
      <c r="G6231" s="12"/>
      <c r="H6231" s="12"/>
      <c r="I6231" s="12"/>
      <c r="J6231" s="12"/>
    </row>
    <row r="6232" spans="5:10" x14ac:dyDescent="0.25">
      <c r="E6232"/>
      <c r="F6232"/>
      <c r="G6232" s="12"/>
      <c r="H6232" s="12"/>
      <c r="I6232" s="12"/>
      <c r="J6232" s="12"/>
    </row>
    <row r="6233" spans="5:10" x14ac:dyDescent="0.25">
      <c r="E6233"/>
      <c r="F6233"/>
      <c r="G6233" s="12"/>
      <c r="H6233" s="12"/>
      <c r="I6233" s="12"/>
      <c r="J6233" s="12"/>
    </row>
    <row r="6234" spans="5:10" x14ac:dyDescent="0.25">
      <c r="E6234"/>
      <c r="F6234"/>
      <c r="G6234" s="12"/>
      <c r="H6234" s="12"/>
      <c r="I6234" s="12"/>
      <c r="J6234" s="12"/>
    </row>
    <row r="6235" spans="5:10" x14ac:dyDescent="0.25">
      <c r="E6235"/>
      <c r="F6235"/>
      <c r="G6235" s="12"/>
      <c r="H6235" s="12"/>
      <c r="I6235" s="12"/>
      <c r="J6235" s="12"/>
    </row>
    <row r="6236" spans="5:10" x14ac:dyDescent="0.25">
      <c r="E6236"/>
      <c r="F6236"/>
      <c r="G6236" s="12"/>
      <c r="H6236" s="12"/>
      <c r="I6236" s="12"/>
      <c r="J6236" s="12"/>
    </row>
    <row r="6237" spans="5:10" x14ac:dyDescent="0.25">
      <c r="E6237"/>
      <c r="F6237"/>
      <c r="G6237" s="12"/>
      <c r="H6237" s="12"/>
      <c r="I6237" s="12"/>
      <c r="J6237" s="12"/>
    </row>
    <row r="6238" spans="5:10" x14ac:dyDescent="0.25">
      <c r="E6238"/>
      <c r="F6238"/>
      <c r="G6238" s="12"/>
      <c r="H6238" s="12"/>
      <c r="I6238" s="12"/>
      <c r="J6238" s="12"/>
    </row>
    <row r="6239" spans="5:10" x14ac:dyDescent="0.25">
      <c r="E6239"/>
      <c r="F6239"/>
      <c r="G6239" s="12"/>
      <c r="H6239" s="12"/>
      <c r="I6239" s="12"/>
      <c r="J6239" s="12"/>
    </row>
    <row r="6240" spans="5:10" x14ac:dyDescent="0.25">
      <c r="E6240"/>
      <c r="F6240"/>
      <c r="G6240" s="12"/>
      <c r="H6240" s="12"/>
      <c r="I6240" s="12"/>
      <c r="J6240" s="12"/>
    </row>
    <row r="6241" spans="5:10" x14ac:dyDescent="0.25">
      <c r="E6241"/>
      <c r="F6241"/>
      <c r="G6241" s="12"/>
      <c r="H6241" s="12"/>
      <c r="I6241" s="12"/>
      <c r="J6241" s="12"/>
    </row>
    <row r="6242" spans="5:10" x14ac:dyDescent="0.25">
      <c r="E6242"/>
      <c r="F6242"/>
      <c r="G6242" s="12"/>
      <c r="H6242" s="12"/>
      <c r="I6242" s="12"/>
      <c r="J6242" s="12"/>
    </row>
    <row r="6243" spans="5:10" x14ac:dyDescent="0.25">
      <c r="E6243"/>
      <c r="F6243"/>
      <c r="G6243" s="12"/>
      <c r="H6243" s="12"/>
      <c r="I6243" s="12"/>
      <c r="J6243" s="12"/>
    </row>
    <row r="6244" spans="5:10" x14ac:dyDescent="0.25">
      <c r="E6244"/>
      <c r="F6244"/>
      <c r="G6244" s="12"/>
      <c r="H6244" s="12"/>
      <c r="I6244" s="12"/>
      <c r="J6244" s="12"/>
    </row>
    <row r="6245" spans="5:10" x14ac:dyDescent="0.25">
      <c r="E6245"/>
      <c r="F6245"/>
      <c r="G6245" s="12"/>
      <c r="H6245" s="12"/>
      <c r="I6245" s="12"/>
      <c r="J6245" s="12"/>
    </row>
    <row r="6246" spans="5:10" x14ac:dyDescent="0.25">
      <c r="E6246"/>
      <c r="F6246"/>
      <c r="G6246" s="12"/>
      <c r="H6246" s="12"/>
      <c r="I6246" s="12"/>
      <c r="J6246" s="12"/>
    </row>
    <row r="6247" spans="5:10" x14ac:dyDescent="0.25">
      <c r="E6247"/>
      <c r="F6247"/>
      <c r="G6247" s="12"/>
      <c r="H6247" s="12"/>
      <c r="I6247" s="12"/>
      <c r="J6247" s="12"/>
    </row>
    <row r="6248" spans="5:10" x14ac:dyDescent="0.25">
      <c r="E6248"/>
      <c r="F6248"/>
      <c r="G6248" s="12"/>
      <c r="H6248" s="12"/>
      <c r="I6248" s="12"/>
      <c r="J6248" s="12"/>
    </row>
    <row r="6249" spans="5:10" x14ac:dyDescent="0.25">
      <c r="E6249"/>
      <c r="F6249"/>
      <c r="G6249" s="12"/>
      <c r="H6249" s="12"/>
      <c r="I6249" s="12"/>
      <c r="J6249" s="12"/>
    </row>
    <row r="6250" spans="5:10" x14ac:dyDescent="0.25">
      <c r="E6250"/>
      <c r="F6250"/>
      <c r="G6250" s="12"/>
      <c r="H6250" s="12"/>
      <c r="I6250" s="12"/>
      <c r="J6250" s="12"/>
    </row>
    <row r="6251" spans="5:10" x14ac:dyDescent="0.25">
      <c r="E6251"/>
      <c r="F6251"/>
      <c r="G6251" s="12"/>
      <c r="H6251" s="12"/>
      <c r="I6251" s="12"/>
      <c r="J6251" s="12"/>
    </row>
    <row r="6252" spans="5:10" x14ac:dyDescent="0.25">
      <c r="E6252"/>
      <c r="F6252"/>
      <c r="G6252" s="12"/>
      <c r="H6252" s="12"/>
      <c r="I6252" s="12"/>
      <c r="J6252" s="12"/>
    </row>
    <row r="6253" spans="5:10" x14ac:dyDescent="0.25">
      <c r="E6253"/>
      <c r="F6253"/>
      <c r="G6253" s="12"/>
      <c r="H6253" s="12"/>
      <c r="I6253" s="12"/>
      <c r="J6253" s="12"/>
    </row>
    <row r="6254" spans="5:10" x14ac:dyDescent="0.25">
      <c r="E6254"/>
      <c r="F6254"/>
      <c r="G6254" s="12"/>
      <c r="H6254" s="12"/>
      <c r="I6254" s="12"/>
      <c r="J6254" s="12"/>
    </row>
    <row r="6255" spans="5:10" x14ac:dyDescent="0.25">
      <c r="E6255"/>
      <c r="F6255"/>
      <c r="G6255" s="12"/>
      <c r="H6255" s="12"/>
      <c r="I6255" s="12"/>
      <c r="J6255" s="12"/>
    </row>
    <row r="6256" spans="5:10" x14ac:dyDescent="0.25">
      <c r="E6256"/>
      <c r="F6256"/>
      <c r="G6256" s="12"/>
      <c r="H6256" s="12"/>
      <c r="I6256" s="12"/>
      <c r="J6256" s="12"/>
    </row>
    <row r="6257" spans="5:10" x14ac:dyDescent="0.25">
      <c r="E6257"/>
      <c r="F6257"/>
      <c r="G6257" s="12"/>
      <c r="H6257" s="12"/>
      <c r="I6257" s="12"/>
      <c r="J6257" s="12"/>
    </row>
    <row r="6258" spans="5:10" x14ac:dyDescent="0.25">
      <c r="E6258"/>
      <c r="F6258"/>
      <c r="G6258" s="12"/>
      <c r="H6258" s="12"/>
      <c r="I6258" s="12"/>
      <c r="J6258" s="12"/>
    </row>
    <row r="6259" spans="5:10" x14ac:dyDescent="0.25">
      <c r="E6259"/>
      <c r="F6259"/>
      <c r="G6259" s="12"/>
      <c r="H6259" s="12"/>
      <c r="I6259" s="12"/>
      <c r="J6259" s="12"/>
    </row>
    <row r="6260" spans="5:10" x14ac:dyDescent="0.25">
      <c r="E6260"/>
      <c r="F6260"/>
      <c r="G6260" s="12"/>
      <c r="H6260" s="12"/>
      <c r="I6260" s="12"/>
      <c r="J6260" s="12"/>
    </row>
    <row r="6261" spans="5:10" x14ac:dyDescent="0.25">
      <c r="E6261"/>
      <c r="F6261"/>
      <c r="G6261" s="12"/>
      <c r="H6261" s="12"/>
      <c r="I6261" s="12"/>
      <c r="J6261" s="12"/>
    </row>
    <row r="6262" spans="5:10" x14ac:dyDescent="0.25">
      <c r="E6262"/>
      <c r="F6262"/>
      <c r="G6262" s="12"/>
      <c r="H6262" s="12"/>
      <c r="I6262" s="12"/>
      <c r="J6262" s="12"/>
    </row>
    <row r="6263" spans="5:10" x14ac:dyDescent="0.25">
      <c r="E6263"/>
      <c r="F6263"/>
      <c r="G6263" s="12"/>
      <c r="H6263" s="12"/>
      <c r="I6263" s="12"/>
      <c r="J6263" s="12"/>
    </row>
    <row r="6264" spans="5:10" x14ac:dyDescent="0.25">
      <c r="E6264"/>
      <c r="F6264"/>
      <c r="G6264" s="12"/>
      <c r="H6264" s="12"/>
      <c r="I6264" s="12"/>
      <c r="J6264" s="12"/>
    </row>
    <row r="6265" spans="5:10" x14ac:dyDescent="0.25">
      <c r="E6265"/>
      <c r="F6265"/>
      <c r="G6265" s="12"/>
      <c r="H6265" s="12"/>
      <c r="I6265" s="12"/>
      <c r="J6265" s="12"/>
    </row>
    <row r="6266" spans="5:10" x14ac:dyDescent="0.25">
      <c r="E6266"/>
      <c r="F6266"/>
      <c r="G6266" s="12"/>
      <c r="H6266" s="12"/>
      <c r="I6266" s="12"/>
      <c r="J6266" s="12"/>
    </row>
    <row r="6267" spans="5:10" x14ac:dyDescent="0.25">
      <c r="E6267"/>
      <c r="F6267"/>
      <c r="G6267" s="12"/>
      <c r="H6267" s="12"/>
      <c r="I6267" s="12"/>
      <c r="J6267" s="12"/>
    </row>
    <row r="6268" spans="5:10" x14ac:dyDescent="0.25">
      <c r="E6268"/>
      <c r="F6268"/>
      <c r="G6268" s="12"/>
      <c r="H6268" s="12"/>
      <c r="I6268" s="12"/>
      <c r="J6268" s="12"/>
    </row>
    <row r="6269" spans="5:10" x14ac:dyDescent="0.25">
      <c r="E6269"/>
      <c r="F6269"/>
      <c r="G6269" s="12"/>
      <c r="H6269" s="12"/>
      <c r="I6269" s="12"/>
      <c r="J6269" s="12"/>
    </row>
    <row r="6270" spans="5:10" x14ac:dyDescent="0.25">
      <c r="E6270"/>
      <c r="F6270"/>
      <c r="G6270" s="12"/>
      <c r="H6270" s="12"/>
      <c r="I6270" s="12"/>
      <c r="J6270" s="12"/>
    </row>
    <row r="6271" spans="5:10" x14ac:dyDescent="0.25">
      <c r="E6271"/>
      <c r="F6271"/>
      <c r="G6271" s="12"/>
      <c r="H6271" s="12"/>
      <c r="I6271" s="12"/>
      <c r="J6271" s="12"/>
    </row>
    <row r="6272" spans="5:10" x14ac:dyDescent="0.25">
      <c r="E6272"/>
      <c r="F6272"/>
      <c r="G6272" s="12"/>
      <c r="H6272" s="12"/>
      <c r="I6272" s="12"/>
      <c r="J6272" s="12"/>
    </row>
    <row r="6273" spans="5:10" x14ac:dyDescent="0.25">
      <c r="E6273"/>
      <c r="F6273"/>
      <c r="G6273" s="12"/>
      <c r="H6273" s="12"/>
      <c r="I6273" s="12"/>
      <c r="J6273" s="12"/>
    </row>
    <row r="6274" spans="5:10" x14ac:dyDescent="0.25">
      <c r="E6274"/>
      <c r="F6274"/>
      <c r="G6274" s="12"/>
      <c r="H6274" s="12"/>
      <c r="I6274" s="12"/>
      <c r="J6274" s="12"/>
    </row>
    <row r="6275" spans="5:10" x14ac:dyDescent="0.25">
      <c r="E6275"/>
      <c r="F6275"/>
      <c r="G6275" s="12"/>
      <c r="H6275" s="12"/>
      <c r="I6275" s="12"/>
      <c r="J6275" s="12"/>
    </row>
    <row r="6276" spans="5:10" x14ac:dyDescent="0.25">
      <c r="E6276"/>
      <c r="F6276"/>
      <c r="G6276" s="12"/>
      <c r="H6276" s="12"/>
      <c r="I6276" s="12"/>
      <c r="J6276" s="12"/>
    </row>
    <row r="6277" spans="5:10" x14ac:dyDescent="0.25">
      <c r="E6277"/>
      <c r="F6277"/>
      <c r="G6277" s="12"/>
      <c r="H6277" s="12"/>
      <c r="I6277" s="12"/>
      <c r="J6277" s="12"/>
    </row>
    <row r="6278" spans="5:10" x14ac:dyDescent="0.25">
      <c r="E6278"/>
      <c r="F6278"/>
      <c r="G6278" s="12"/>
      <c r="H6278" s="12"/>
      <c r="I6278" s="12"/>
      <c r="J6278" s="12"/>
    </row>
    <row r="6279" spans="5:10" x14ac:dyDescent="0.25">
      <c r="E6279"/>
      <c r="F6279"/>
      <c r="G6279" s="12"/>
      <c r="H6279" s="12"/>
      <c r="I6279" s="12"/>
      <c r="J6279" s="12"/>
    </row>
    <row r="6280" spans="5:10" x14ac:dyDescent="0.25">
      <c r="E6280"/>
      <c r="F6280"/>
      <c r="G6280" s="12"/>
      <c r="H6280" s="12"/>
      <c r="I6280" s="12"/>
      <c r="J6280" s="12"/>
    </row>
    <row r="6281" spans="5:10" x14ac:dyDescent="0.25">
      <c r="E6281"/>
      <c r="F6281"/>
      <c r="G6281" s="12"/>
      <c r="H6281" s="12"/>
      <c r="I6281" s="12"/>
      <c r="J6281" s="12"/>
    </row>
    <row r="6282" spans="5:10" x14ac:dyDescent="0.25">
      <c r="E6282"/>
      <c r="F6282"/>
      <c r="G6282" s="12"/>
      <c r="H6282" s="12"/>
      <c r="I6282" s="12"/>
      <c r="J6282" s="12"/>
    </row>
    <row r="6283" spans="5:10" x14ac:dyDescent="0.25">
      <c r="E6283"/>
      <c r="F6283"/>
      <c r="G6283" s="12"/>
      <c r="H6283" s="12"/>
      <c r="I6283" s="12"/>
      <c r="J6283" s="12"/>
    </row>
    <row r="6284" spans="5:10" x14ac:dyDescent="0.25">
      <c r="E6284"/>
      <c r="F6284"/>
      <c r="G6284" s="12"/>
      <c r="H6284" s="12"/>
      <c r="I6284" s="12"/>
      <c r="J6284" s="12"/>
    </row>
    <row r="6285" spans="5:10" x14ac:dyDescent="0.25">
      <c r="E6285"/>
      <c r="F6285"/>
      <c r="G6285" s="12"/>
      <c r="H6285" s="12"/>
      <c r="I6285" s="12"/>
      <c r="J6285" s="12"/>
    </row>
    <row r="6286" spans="5:10" x14ac:dyDescent="0.25">
      <c r="E6286"/>
      <c r="F6286"/>
      <c r="G6286" s="12"/>
      <c r="H6286" s="12"/>
      <c r="I6286" s="12"/>
      <c r="J6286" s="12"/>
    </row>
    <row r="6287" spans="5:10" x14ac:dyDescent="0.25">
      <c r="E6287"/>
      <c r="F6287"/>
      <c r="G6287" s="12"/>
      <c r="H6287" s="12"/>
      <c r="I6287" s="12"/>
      <c r="J6287" s="12"/>
    </row>
    <row r="6288" spans="5:10" x14ac:dyDescent="0.25">
      <c r="E6288"/>
      <c r="F6288"/>
      <c r="G6288" s="12"/>
      <c r="H6288" s="12"/>
      <c r="I6288" s="12"/>
      <c r="J6288" s="12"/>
    </row>
    <row r="6289" spans="5:10" x14ac:dyDescent="0.25">
      <c r="E6289"/>
      <c r="F6289"/>
      <c r="G6289" s="12"/>
      <c r="H6289" s="12"/>
      <c r="I6289" s="12"/>
      <c r="J6289" s="12"/>
    </row>
    <row r="6290" spans="5:10" x14ac:dyDescent="0.25">
      <c r="E6290"/>
      <c r="F6290"/>
      <c r="G6290" s="12"/>
      <c r="H6290" s="12"/>
      <c r="I6290" s="12"/>
      <c r="J6290" s="12"/>
    </row>
    <row r="6291" spans="5:10" x14ac:dyDescent="0.25">
      <c r="E6291"/>
      <c r="F6291"/>
      <c r="G6291" s="12"/>
      <c r="H6291" s="12"/>
      <c r="I6291" s="12"/>
      <c r="J6291" s="12"/>
    </row>
    <row r="6292" spans="5:10" x14ac:dyDescent="0.25">
      <c r="E6292"/>
      <c r="F6292"/>
      <c r="G6292" s="12"/>
      <c r="H6292" s="12"/>
      <c r="I6292" s="12"/>
      <c r="J6292" s="12"/>
    </row>
    <row r="6293" spans="5:10" x14ac:dyDescent="0.25">
      <c r="E6293"/>
      <c r="F6293"/>
      <c r="G6293" s="12"/>
      <c r="H6293" s="12"/>
      <c r="I6293" s="12"/>
      <c r="J6293" s="12"/>
    </row>
    <row r="6294" spans="5:10" x14ac:dyDescent="0.25">
      <c r="E6294"/>
      <c r="F6294"/>
      <c r="G6294" s="12"/>
      <c r="H6294" s="12"/>
      <c r="I6294" s="12"/>
      <c r="J6294" s="12"/>
    </row>
    <row r="6295" spans="5:10" x14ac:dyDescent="0.25">
      <c r="E6295"/>
      <c r="F6295"/>
      <c r="G6295" s="12"/>
      <c r="H6295" s="12"/>
      <c r="I6295" s="12"/>
      <c r="J6295" s="12"/>
    </row>
    <row r="6296" spans="5:10" x14ac:dyDescent="0.25">
      <c r="E6296"/>
      <c r="F6296"/>
      <c r="G6296" s="12"/>
      <c r="H6296" s="12"/>
      <c r="I6296" s="12"/>
      <c r="J6296" s="12"/>
    </row>
    <row r="6297" spans="5:10" x14ac:dyDescent="0.25">
      <c r="E6297"/>
      <c r="F6297"/>
      <c r="G6297" s="12"/>
      <c r="H6297" s="12"/>
      <c r="I6297" s="12"/>
      <c r="J6297" s="12"/>
    </row>
    <row r="6298" spans="5:10" x14ac:dyDescent="0.25">
      <c r="E6298"/>
      <c r="F6298"/>
      <c r="G6298" s="12"/>
      <c r="H6298" s="12"/>
      <c r="I6298" s="12"/>
      <c r="J6298" s="12"/>
    </row>
    <row r="6299" spans="5:10" x14ac:dyDescent="0.25">
      <c r="E6299"/>
      <c r="F6299"/>
      <c r="G6299" s="12"/>
      <c r="H6299" s="12"/>
      <c r="I6299" s="12"/>
      <c r="J6299" s="12"/>
    </row>
    <row r="6300" spans="5:10" x14ac:dyDescent="0.25">
      <c r="E6300"/>
      <c r="F6300"/>
      <c r="G6300" s="12"/>
      <c r="H6300" s="12"/>
      <c r="I6300" s="12"/>
      <c r="J6300" s="12"/>
    </row>
    <row r="6301" spans="5:10" x14ac:dyDescent="0.25">
      <c r="E6301"/>
      <c r="F6301"/>
      <c r="G6301" s="12"/>
      <c r="H6301" s="12"/>
      <c r="I6301" s="12"/>
      <c r="J6301" s="12"/>
    </row>
    <row r="6302" spans="5:10" x14ac:dyDescent="0.25">
      <c r="E6302"/>
      <c r="F6302"/>
      <c r="G6302" s="12"/>
      <c r="H6302" s="12"/>
      <c r="I6302" s="12"/>
      <c r="J6302" s="12"/>
    </row>
    <row r="6303" spans="5:10" x14ac:dyDescent="0.25">
      <c r="E6303"/>
      <c r="F6303"/>
      <c r="G6303" s="12"/>
      <c r="H6303" s="12"/>
      <c r="I6303" s="12"/>
      <c r="J6303" s="12"/>
    </row>
    <row r="6304" spans="5:10" x14ac:dyDescent="0.25">
      <c r="E6304"/>
      <c r="F6304"/>
      <c r="G6304" s="12"/>
      <c r="H6304" s="12"/>
      <c r="I6304" s="12"/>
      <c r="J6304" s="12"/>
    </row>
    <row r="6305" spans="5:10" x14ac:dyDescent="0.25">
      <c r="E6305"/>
      <c r="F6305"/>
      <c r="G6305" s="12"/>
      <c r="H6305" s="12"/>
      <c r="I6305" s="12"/>
      <c r="J6305" s="12"/>
    </row>
    <row r="6306" spans="5:10" x14ac:dyDescent="0.25">
      <c r="E6306"/>
      <c r="F6306"/>
      <c r="G6306" s="12"/>
      <c r="H6306" s="12"/>
      <c r="I6306" s="12"/>
      <c r="J6306" s="12"/>
    </row>
    <row r="6307" spans="5:10" x14ac:dyDescent="0.25">
      <c r="E6307"/>
      <c r="F6307"/>
      <c r="G6307" s="12"/>
      <c r="H6307" s="12"/>
      <c r="I6307" s="12"/>
      <c r="J6307" s="12"/>
    </row>
    <row r="6308" spans="5:10" x14ac:dyDescent="0.25">
      <c r="E6308"/>
      <c r="F6308"/>
      <c r="G6308" s="12"/>
      <c r="H6308" s="12"/>
      <c r="I6308" s="12"/>
      <c r="J6308" s="12"/>
    </row>
    <row r="6309" spans="5:10" x14ac:dyDescent="0.25">
      <c r="E6309"/>
      <c r="F6309"/>
      <c r="G6309" s="12"/>
      <c r="H6309" s="12"/>
      <c r="I6309" s="12"/>
      <c r="J6309" s="12"/>
    </row>
    <row r="6310" spans="5:10" x14ac:dyDescent="0.25">
      <c r="E6310"/>
      <c r="F6310"/>
      <c r="G6310" s="12"/>
      <c r="H6310" s="12"/>
      <c r="I6310" s="12"/>
      <c r="J6310" s="12"/>
    </row>
    <row r="6311" spans="5:10" x14ac:dyDescent="0.25">
      <c r="E6311"/>
      <c r="F6311"/>
      <c r="G6311" s="12"/>
      <c r="H6311" s="12"/>
      <c r="I6311" s="12"/>
      <c r="J6311" s="12"/>
    </row>
    <row r="6312" spans="5:10" x14ac:dyDescent="0.25">
      <c r="E6312"/>
      <c r="F6312"/>
      <c r="G6312" s="12"/>
      <c r="H6312" s="12"/>
      <c r="I6312" s="12"/>
      <c r="J6312" s="12"/>
    </row>
    <row r="6313" spans="5:10" x14ac:dyDescent="0.25">
      <c r="E6313"/>
      <c r="F6313"/>
      <c r="G6313" s="12"/>
      <c r="H6313" s="12"/>
      <c r="I6313" s="12"/>
      <c r="J6313" s="12"/>
    </row>
    <row r="6314" spans="5:10" x14ac:dyDescent="0.25">
      <c r="E6314"/>
      <c r="F6314"/>
      <c r="G6314" s="12"/>
      <c r="H6314" s="12"/>
      <c r="I6314" s="12"/>
      <c r="J6314" s="12"/>
    </row>
    <row r="6315" spans="5:10" x14ac:dyDescent="0.25">
      <c r="E6315"/>
      <c r="F6315"/>
      <c r="G6315" s="12"/>
      <c r="H6315" s="12"/>
      <c r="I6315" s="12"/>
      <c r="J6315" s="12"/>
    </row>
    <row r="6316" spans="5:10" x14ac:dyDescent="0.25">
      <c r="E6316"/>
      <c r="F6316"/>
      <c r="G6316" s="12"/>
      <c r="H6316" s="12"/>
      <c r="I6316" s="12"/>
      <c r="J6316" s="12"/>
    </row>
    <row r="6317" spans="5:10" x14ac:dyDescent="0.25">
      <c r="E6317"/>
      <c r="F6317"/>
      <c r="G6317" s="12"/>
      <c r="H6317" s="12"/>
      <c r="I6317" s="12"/>
      <c r="J6317" s="12"/>
    </row>
    <row r="6318" spans="5:10" x14ac:dyDescent="0.25">
      <c r="E6318"/>
      <c r="F6318"/>
      <c r="G6318" s="12"/>
      <c r="H6318" s="12"/>
      <c r="I6318" s="12"/>
      <c r="J6318" s="12"/>
    </row>
    <row r="6319" spans="5:10" x14ac:dyDescent="0.25">
      <c r="E6319"/>
      <c r="F6319"/>
      <c r="G6319" s="12"/>
      <c r="H6319" s="12"/>
      <c r="I6319" s="12"/>
      <c r="J6319" s="12"/>
    </row>
    <row r="6320" spans="5:10" x14ac:dyDescent="0.25">
      <c r="E6320"/>
      <c r="F6320"/>
      <c r="G6320" s="12"/>
      <c r="H6320" s="12"/>
      <c r="I6320" s="12"/>
      <c r="J6320" s="12"/>
    </row>
    <row r="6321" spans="5:10" x14ac:dyDescent="0.25">
      <c r="E6321"/>
      <c r="F6321"/>
      <c r="G6321" s="12"/>
      <c r="H6321" s="12"/>
      <c r="I6321" s="12"/>
      <c r="J6321" s="12"/>
    </row>
    <row r="6322" spans="5:10" x14ac:dyDescent="0.25">
      <c r="E6322"/>
      <c r="F6322"/>
      <c r="G6322" s="12"/>
      <c r="H6322" s="12"/>
      <c r="I6322" s="12"/>
      <c r="J6322" s="12"/>
    </row>
    <row r="6323" spans="5:10" x14ac:dyDescent="0.25">
      <c r="E6323"/>
      <c r="F6323"/>
      <c r="G6323" s="12"/>
      <c r="H6323" s="12"/>
      <c r="I6323" s="12"/>
      <c r="J6323" s="12"/>
    </row>
    <row r="6324" spans="5:10" x14ac:dyDescent="0.25">
      <c r="E6324"/>
      <c r="F6324"/>
      <c r="G6324" s="12"/>
      <c r="H6324" s="12"/>
      <c r="I6324" s="12"/>
      <c r="J6324" s="12"/>
    </row>
    <row r="6325" spans="5:10" x14ac:dyDescent="0.25">
      <c r="E6325"/>
      <c r="F6325"/>
      <c r="G6325" s="12"/>
      <c r="H6325" s="12"/>
      <c r="I6325" s="12"/>
      <c r="J6325" s="12"/>
    </row>
    <row r="6326" spans="5:10" x14ac:dyDescent="0.25">
      <c r="E6326"/>
      <c r="F6326"/>
      <c r="G6326" s="12"/>
      <c r="H6326" s="12"/>
      <c r="I6326" s="12"/>
      <c r="J6326" s="12"/>
    </row>
    <row r="6327" spans="5:10" x14ac:dyDescent="0.25">
      <c r="E6327"/>
      <c r="F6327"/>
      <c r="G6327" s="12"/>
      <c r="H6327" s="12"/>
      <c r="I6327" s="12"/>
      <c r="J6327" s="12"/>
    </row>
    <row r="6328" spans="5:10" x14ac:dyDescent="0.25">
      <c r="E6328"/>
      <c r="F6328"/>
      <c r="G6328" s="12"/>
      <c r="H6328" s="12"/>
      <c r="I6328" s="12"/>
      <c r="J6328" s="12"/>
    </row>
    <row r="6329" spans="5:10" x14ac:dyDescent="0.25">
      <c r="E6329"/>
      <c r="F6329"/>
      <c r="G6329" s="12"/>
      <c r="H6329" s="12"/>
      <c r="I6329" s="12"/>
      <c r="J6329" s="12"/>
    </row>
    <row r="6330" spans="5:10" x14ac:dyDescent="0.25">
      <c r="E6330"/>
      <c r="F6330"/>
      <c r="G6330" s="12"/>
      <c r="H6330" s="12"/>
      <c r="I6330" s="12"/>
      <c r="J6330" s="12"/>
    </row>
    <row r="6331" spans="5:10" x14ac:dyDescent="0.25">
      <c r="E6331"/>
      <c r="F6331"/>
      <c r="G6331" s="12"/>
      <c r="H6331" s="12"/>
      <c r="I6331" s="12"/>
      <c r="J6331" s="12"/>
    </row>
    <row r="6332" spans="5:10" x14ac:dyDescent="0.25">
      <c r="E6332"/>
      <c r="F6332"/>
      <c r="G6332" s="12"/>
      <c r="H6332" s="12"/>
      <c r="I6332" s="12"/>
      <c r="J6332" s="12"/>
    </row>
    <row r="6333" spans="5:10" x14ac:dyDescent="0.25">
      <c r="E6333"/>
      <c r="F6333"/>
      <c r="G6333" s="12"/>
      <c r="H6333" s="12"/>
      <c r="I6333" s="12"/>
      <c r="J6333" s="12"/>
    </row>
    <row r="6334" spans="5:10" x14ac:dyDescent="0.25">
      <c r="E6334"/>
      <c r="F6334"/>
      <c r="G6334" s="12"/>
      <c r="H6334" s="12"/>
      <c r="I6334" s="12"/>
      <c r="J6334" s="12"/>
    </row>
    <row r="6335" spans="5:10" x14ac:dyDescent="0.25">
      <c r="E6335"/>
      <c r="F6335"/>
      <c r="G6335" s="12"/>
      <c r="H6335" s="12"/>
      <c r="I6335" s="12"/>
      <c r="J6335" s="12"/>
    </row>
    <row r="6336" spans="5:10" x14ac:dyDescent="0.25">
      <c r="E6336"/>
      <c r="F6336"/>
      <c r="G6336" s="12"/>
      <c r="H6336" s="12"/>
      <c r="I6336" s="12"/>
      <c r="J6336" s="12"/>
    </row>
    <row r="6337" spans="5:10" x14ac:dyDescent="0.25">
      <c r="E6337"/>
      <c r="F6337"/>
      <c r="G6337" s="12"/>
      <c r="H6337" s="12"/>
      <c r="I6337" s="12"/>
      <c r="J6337" s="12"/>
    </row>
    <row r="6338" spans="5:10" x14ac:dyDescent="0.25">
      <c r="E6338"/>
      <c r="F6338"/>
      <c r="G6338" s="12"/>
      <c r="H6338" s="12"/>
      <c r="I6338" s="12"/>
      <c r="J6338" s="12"/>
    </row>
    <row r="6339" spans="5:10" x14ac:dyDescent="0.25">
      <c r="E6339"/>
      <c r="F6339"/>
      <c r="G6339" s="12"/>
      <c r="H6339" s="12"/>
      <c r="I6339" s="12"/>
      <c r="J6339" s="12"/>
    </row>
    <row r="6340" spans="5:10" x14ac:dyDescent="0.25">
      <c r="E6340"/>
      <c r="F6340"/>
      <c r="G6340" s="12"/>
      <c r="H6340" s="12"/>
      <c r="I6340" s="12"/>
      <c r="J6340" s="12"/>
    </row>
    <row r="6341" spans="5:10" x14ac:dyDescent="0.25">
      <c r="E6341"/>
      <c r="F6341"/>
      <c r="G6341" s="12"/>
      <c r="H6341" s="12"/>
      <c r="I6341" s="12"/>
      <c r="J6341" s="12"/>
    </row>
    <row r="6342" spans="5:10" x14ac:dyDescent="0.25">
      <c r="E6342"/>
      <c r="F6342"/>
      <c r="G6342" s="12"/>
      <c r="H6342" s="12"/>
      <c r="I6342" s="12"/>
      <c r="J6342" s="12"/>
    </row>
    <row r="6343" spans="5:10" x14ac:dyDescent="0.25">
      <c r="E6343"/>
      <c r="F6343"/>
      <c r="G6343" s="12"/>
      <c r="H6343" s="12"/>
      <c r="I6343" s="12"/>
      <c r="J6343" s="12"/>
    </row>
    <row r="6344" spans="5:10" x14ac:dyDescent="0.25">
      <c r="E6344"/>
      <c r="F6344"/>
      <c r="G6344" s="12"/>
      <c r="H6344" s="12"/>
      <c r="I6344" s="12"/>
      <c r="J6344" s="12"/>
    </row>
    <row r="6345" spans="5:10" x14ac:dyDescent="0.25">
      <c r="E6345"/>
      <c r="F6345"/>
      <c r="G6345" s="12"/>
      <c r="H6345" s="12"/>
      <c r="I6345" s="12"/>
      <c r="J6345" s="12"/>
    </row>
    <row r="6346" spans="5:10" x14ac:dyDescent="0.25">
      <c r="E6346"/>
      <c r="F6346"/>
      <c r="G6346" s="12"/>
      <c r="H6346" s="12"/>
      <c r="I6346" s="12"/>
      <c r="J6346" s="12"/>
    </row>
    <row r="6347" spans="5:10" x14ac:dyDescent="0.25">
      <c r="E6347"/>
      <c r="F6347"/>
      <c r="G6347" s="12"/>
      <c r="H6347" s="12"/>
      <c r="I6347" s="12"/>
      <c r="J6347" s="12"/>
    </row>
    <row r="6348" spans="5:10" x14ac:dyDescent="0.25">
      <c r="E6348"/>
      <c r="F6348"/>
      <c r="G6348" s="12"/>
      <c r="H6348" s="12"/>
      <c r="I6348" s="12"/>
      <c r="J6348" s="12"/>
    </row>
    <row r="6349" spans="5:10" x14ac:dyDescent="0.25">
      <c r="E6349"/>
      <c r="F6349"/>
      <c r="G6349" s="12"/>
      <c r="H6349" s="12"/>
      <c r="I6349" s="12"/>
      <c r="J6349" s="12"/>
    </row>
    <row r="6350" spans="5:10" x14ac:dyDescent="0.25">
      <c r="E6350"/>
      <c r="F6350"/>
      <c r="G6350" s="12"/>
      <c r="H6350" s="12"/>
      <c r="I6350" s="12"/>
      <c r="J6350" s="12"/>
    </row>
    <row r="6351" spans="5:10" x14ac:dyDescent="0.25">
      <c r="E6351"/>
      <c r="F6351"/>
      <c r="G6351" s="12"/>
      <c r="H6351" s="12"/>
      <c r="I6351" s="12"/>
      <c r="J6351" s="12"/>
    </row>
    <row r="6352" spans="5:10" x14ac:dyDescent="0.25">
      <c r="E6352"/>
      <c r="F6352"/>
      <c r="G6352" s="12"/>
      <c r="H6352" s="12"/>
      <c r="I6352" s="12"/>
      <c r="J6352" s="12"/>
    </row>
    <row r="6353" spans="5:10" x14ac:dyDescent="0.25">
      <c r="E6353"/>
      <c r="F6353"/>
      <c r="G6353" s="12"/>
      <c r="H6353" s="12"/>
      <c r="I6353" s="12"/>
      <c r="J6353" s="12"/>
    </row>
    <row r="6354" spans="5:10" x14ac:dyDescent="0.25">
      <c r="E6354"/>
      <c r="F6354"/>
      <c r="G6354" s="12"/>
      <c r="H6354" s="12"/>
      <c r="I6354" s="12"/>
      <c r="J6354" s="12"/>
    </row>
    <row r="6355" spans="5:10" x14ac:dyDescent="0.25">
      <c r="E6355"/>
      <c r="F6355"/>
      <c r="G6355" s="12"/>
      <c r="H6355" s="12"/>
      <c r="I6355" s="12"/>
      <c r="J6355" s="12"/>
    </row>
    <row r="6356" spans="5:10" x14ac:dyDescent="0.25">
      <c r="E6356"/>
      <c r="F6356"/>
      <c r="G6356" s="12"/>
      <c r="H6356" s="12"/>
      <c r="I6356" s="12"/>
      <c r="J6356" s="12"/>
    </row>
    <row r="6357" spans="5:10" x14ac:dyDescent="0.25">
      <c r="E6357"/>
      <c r="F6357"/>
      <c r="G6357" s="12"/>
      <c r="H6357" s="12"/>
      <c r="I6357" s="12"/>
      <c r="J6357" s="12"/>
    </row>
    <row r="6358" spans="5:10" x14ac:dyDescent="0.25">
      <c r="E6358"/>
      <c r="F6358"/>
      <c r="G6358" s="12"/>
      <c r="H6358" s="12"/>
      <c r="I6358" s="12"/>
      <c r="J6358" s="12"/>
    </row>
    <row r="6359" spans="5:10" x14ac:dyDescent="0.25">
      <c r="E6359"/>
      <c r="F6359"/>
      <c r="G6359" s="12"/>
      <c r="H6359" s="12"/>
      <c r="I6359" s="12"/>
      <c r="J6359" s="12"/>
    </row>
    <row r="6360" spans="5:10" x14ac:dyDescent="0.25">
      <c r="E6360"/>
      <c r="F6360"/>
      <c r="G6360" s="12"/>
      <c r="H6360" s="12"/>
      <c r="I6360" s="12"/>
      <c r="J6360" s="12"/>
    </row>
    <row r="6361" spans="5:10" x14ac:dyDescent="0.25">
      <c r="E6361"/>
      <c r="F6361"/>
      <c r="G6361" s="12"/>
      <c r="H6361" s="12"/>
      <c r="I6361" s="12"/>
      <c r="J6361" s="12"/>
    </row>
    <row r="6362" spans="5:10" x14ac:dyDescent="0.25">
      <c r="E6362"/>
      <c r="F6362"/>
      <c r="G6362" s="12"/>
      <c r="H6362" s="12"/>
      <c r="I6362" s="12"/>
      <c r="J6362" s="12"/>
    </row>
    <row r="6363" spans="5:10" x14ac:dyDescent="0.25">
      <c r="E6363"/>
      <c r="F6363"/>
      <c r="G6363" s="12"/>
      <c r="H6363" s="12"/>
      <c r="I6363" s="12"/>
      <c r="J6363" s="12"/>
    </row>
    <row r="6364" spans="5:10" x14ac:dyDescent="0.25">
      <c r="E6364"/>
      <c r="F6364"/>
      <c r="G6364" s="12"/>
      <c r="H6364" s="12"/>
      <c r="I6364" s="12"/>
      <c r="J6364" s="12"/>
    </row>
    <row r="6365" spans="5:10" x14ac:dyDescent="0.25">
      <c r="E6365"/>
      <c r="F6365"/>
      <c r="G6365" s="12"/>
      <c r="H6365" s="12"/>
      <c r="I6365" s="12"/>
      <c r="J6365" s="12"/>
    </row>
    <row r="6366" spans="5:10" x14ac:dyDescent="0.25">
      <c r="E6366"/>
      <c r="F6366"/>
      <c r="G6366" s="12"/>
      <c r="H6366" s="12"/>
      <c r="I6366" s="12"/>
      <c r="J6366" s="12"/>
    </row>
    <row r="6367" spans="5:10" x14ac:dyDescent="0.25">
      <c r="E6367"/>
      <c r="F6367"/>
      <c r="G6367" s="12"/>
      <c r="H6367" s="12"/>
      <c r="I6367" s="12"/>
      <c r="J6367" s="12"/>
    </row>
    <row r="6368" spans="5:10" x14ac:dyDescent="0.25">
      <c r="E6368"/>
      <c r="F6368"/>
      <c r="G6368" s="12"/>
      <c r="H6368" s="12"/>
      <c r="I6368" s="12"/>
      <c r="J6368" s="12"/>
    </row>
    <row r="6369" spans="5:10" x14ac:dyDescent="0.25">
      <c r="E6369"/>
      <c r="F6369"/>
      <c r="G6369" s="12"/>
      <c r="H6369" s="12"/>
      <c r="I6369" s="12"/>
      <c r="J6369" s="12"/>
    </row>
    <row r="6370" spans="5:10" x14ac:dyDescent="0.25">
      <c r="E6370"/>
      <c r="F6370"/>
      <c r="G6370" s="12"/>
      <c r="H6370" s="12"/>
      <c r="I6370" s="12"/>
      <c r="J6370" s="12"/>
    </row>
    <row r="6371" spans="5:10" x14ac:dyDescent="0.25">
      <c r="E6371"/>
      <c r="F6371"/>
      <c r="G6371" s="12"/>
      <c r="H6371" s="12"/>
      <c r="I6371" s="12"/>
      <c r="J6371" s="12"/>
    </row>
    <row r="6372" spans="5:10" x14ac:dyDescent="0.25">
      <c r="E6372"/>
      <c r="F6372"/>
      <c r="G6372" s="12"/>
      <c r="H6372" s="12"/>
      <c r="I6372" s="12"/>
      <c r="J6372" s="12"/>
    </row>
    <row r="6373" spans="5:10" x14ac:dyDescent="0.25">
      <c r="E6373"/>
      <c r="F6373"/>
      <c r="G6373" s="12"/>
      <c r="H6373" s="12"/>
      <c r="I6373" s="12"/>
      <c r="J6373" s="12"/>
    </row>
    <row r="6374" spans="5:10" x14ac:dyDescent="0.25">
      <c r="E6374"/>
      <c r="F6374"/>
      <c r="G6374" s="12"/>
      <c r="H6374" s="12"/>
      <c r="I6374" s="12"/>
      <c r="J6374" s="12"/>
    </row>
    <row r="6375" spans="5:10" x14ac:dyDescent="0.25">
      <c r="E6375"/>
      <c r="F6375"/>
      <c r="G6375" s="12"/>
      <c r="H6375" s="12"/>
      <c r="I6375" s="12"/>
      <c r="J6375" s="12"/>
    </row>
    <row r="6376" spans="5:10" x14ac:dyDescent="0.25">
      <c r="E6376"/>
      <c r="F6376"/>
      <c r="G6376" s="12"/>
      <c r="H6376" s="12"/>
      <c r="I6376" s="12"/>
      <c r="J6376" s="12"/>
    </row>
    <row r="6377" spans="5:10" x14ac:dyDescent="0.25">
      <c r="E6377"/>
      <c r="F6377"/>
      <c r="G6377" s="12"/>
      <c r="H6377" s="12"/>
      <c r="I6377" s="12"/>
      <c r="J6377" s="12"/>
    </row>
    <row r="6378" spans="5:10" x14ac:dyDescent="0.25">
      <c r="E6378"/>
      <c r="F6378"/>
      <c r="G6378" s="12"/>
      <c r="H6378" s="12"/>
      <c r="I6378" s="12"/>
      <c r="J6378" s="12"/>
    </row>
    <row r="6379" spans="5:10" x14ac:dyDescent="0.25">
      <c r="E6379"/>
      <c r="F6379"/>
      <c r="G6379" s="12"/>
      <c r="H6379" s="12"/>
      <c r="I6379" s="12"/>
      <c r="J6379" s="12"/>
    </row>
    <row r="6380" spans="5:10" x14ac:dyDescent="0.25">
      <c r="E6380"/>
      <c r="F6380"/>
      <c r="G6380" s="12"/>
      <c r="H6380" s="12"/>
      <c r="I6380" s="12"/>
      <c r="J6380" s="12"/>
    </row>
    <row r="6381" spans="5:10" x14ac:dyDescent="0.25">
      <c r="E6381"/>
      <c r="F6381"/>
      <c r="G6381" s="12"/>
      <c r="H6381" s="12"/>
      <c r="I6381" s="12"/>
      <c r="J6381" s="12"/>
    </row>
    <row r="6382" spans="5:10" x14ac:dyDescent="0.25">
      <c r="E6382"/>
      <c r="F6382"/>
      <c r="G6382" s="12"/>
      <c r="H6382" s="12"/>
      <c r="I6382" s="12"/>
      <c r="J6382" s="12"/>
    </row>
    <row r="6383" spans="5:10" x14ac:dyDescent="0.25">
      <c r="E6383"/>
      <c r="F6383"/>
      <c r="G6383" s="12"/>
      <c r="H6383" s="12"/>
      <c r="I6383" s="12"/>
      <c r="J6383" s="12"/>
    </row>
    <row r="6384" spans="5:10" x14ac:dyDescent="0.25">
      <c r="E6384"/>
      <c r="F6384"/>
      <c r="G6384" s="12"/>
      <c r="H6384" s="12"/>
      <c r="I6384" s="12"/>
      <c r="J6384" s="12"/>
    </row>
    <row r="6385" spans="5:10" x14ac:dyDescent="0.25">
      <c r="E6385"/>
      <c r="F6385"/>
      <c r="G6385" s="12"/>
      <c r="H6385" s="12"/>
      <c r="I6385" s="12"/>
      <c r="J6385" s="12"/>
    </row>
    <row r="6386" spans="5:10" x14ac:dyDescent="0.25">
      <c r="E6386"/>
      <c r="F6386"/>
      <c r="G6386" s="12"/>
      <c r="H6386" s="12"/>
      <c r="I6386" s="12"/>
      <c r="J6386" s="12"/>
    </row>
    <row r="6387" spans="5:10" x14ac:dyDescent="0.25">
      <c r="E6387"/>
      <c r="F6387"/>
      <c r="G6387" s="12"/>
      <c r="H6387" s="12"/>
      <c r="I6387" s="12"/>
      <c r="J6387" s="12"/>
    </row>
    <row r="6388" spans="5:10" x14ac:dyDescent="0.25">
      <c r="E6388"/>
      <c r="F6388"/>
      <c r="G6388" s="12"/>
      <c r="H6388" s="12"/>
      <c r="I6388" s="12"/>
      <c r="J6388" s="12"/>
    </row>
    <row r="6389" spans="5:10" x14ac:dyDescent="0.25">
      <c r="E6389"/>
      <c r="F6389"/>
      <c r="G6389" s="12"/>
      <c r="H6389" s="12"/>
      <c r="I6389" s="12"/>
      <c r="J6389" s="12"/>
    </row>
    <row r="6390" spans="5:10" x14ac:dyDescent="0.25">
      <c r="E6390"/>
      <c r="F6390"/>
      <c r="G6390" s="12"/>
      <c r="H6390" s="12"/>
      <c r="I6390" s="12"/>
      <c r="J6390" s="12"/>
    </row>
    <row r="6391" spans="5:10" x14ac:dyDescent="0.25">
      <c r="E6391"/>
      <c r="F6391"/>
      <c r="G6391" s="12"/>
      <c r="H6391" s="12"/>
      <c r="I6391" s="12"/>
      <c r="J6391" s="12"/>
    </row>
    <row r="6392" spans="5:10" x14ac:dyDescent="0.25">
      <c r="E6392"/>
      <c r="F6392"/>
      <c r="G6392" s="12"/>
      <c r="H6392" s="12"/>
      <c r="I6392" s="12"/>
      <c r="J6392" s="12"/>
    </row>
    <row r="6393" spans="5:10" x14ac:dyDescent="0.25">
      <c r="E6393"/>
      <c r="F6393"/>
      <c r="G6393" s="12"/>
      <c r="H6393" s="12"/>
      <c r="I6393" s="12"/>
      <c r="J6393" s="12"/>
    </row>
    <row r="6394" spans="5:10" x14ac:dyDescent="0.25">
      <c r="E6394"/>
      <c r="F6394"/>
      <c r="G6394" s="12"/>
      <c r="H6394" s="12"/>
      <c r="I6394" s="12"/>
      <c r="J6394" s="12"/>
    </row>
    <row r="6395" spans="5:10" x14ac:dyDescent="0.25">
      <c r="E6395"/>
      <c r="F6395"/>
      <c r="G6395" s="12"/>
      <c r="H6395" s="12"/>
      <c r="I6395" s="12"/>
      <c r="J6395" s="12"/>
    </row>
    <row r="6396" spans="5:10" x14ac:dyDescent="0.25">
      <c r="E6396"/>
      <c r="F6396"/>
      <c r="G6396" s="12"/>
      <c r="H6396" s="12"/>
      <c r="I6396" s="12"/>
      <c r="J6396" s="12"/>
    </row>
    <row r="6397" spans="5:10" x14ac:dyDescent="0.25">
      <c r="E6397"/>
      <c r="F6397"/>
      <c r="G6397" s="12"/>
      <c r="H6397" s="12"/>
      <c r="I6397" s="12"/>
      <c r="J6397" s="12"/>
    </row>
    <row r="6398" spans="5:10" x14ac:dyDescent="0.25">
      <c r="E6398"/>
      <c r="F6398"/>
      <c r="G6398" s="12"/>
      <c r="H6398" s="12"/>
      <c r="I6398" s="12"/>
      <c r="J6398" s="12"/>
    </row>
    <row r="6399" spans="5:10" x14ac:dyDescent="0.25">
      <c r="E6399"/>
      <c r="F6399"/>
      <c r="G6399" s="12"/>
      <c r="H6399" s="12"/>
      <c r="I6399" s="12"/>
      <c r="J6399" s="12"/>
    </row>
    <row r="6400" spans="5:10" x14ac:dyDescent="0.25">
      <c r="E6400"/>
      <c r="F6400"/>
      <c r="G6400" s="12"/>
      <c r="H6400" s="12"/>
      <c r="I6400" s="12"/>
      <c r="J6400" s="12"/>
    </row>
    <row r="6401" spans="5:10" x14ac:dyDescent="0.25">
      <c r="E6401"/>
      <c r="F6401"/>
      <c r="G6401" s="12"/>
      <c r="H6401" s="12"/>
      <c r="I6401" s="12"/>
      <c r="J6401" s="12"/>
    </row>
    <row r="6402" spans="5:10" x14ac:dyDescent="0.25">
      <c r="E6402"/>
      <c r="F6402"/>
      <c r="G6402" s="12"/>
      <c r="H6402" s="12"/>
      <c r="I6402" s="12"/>
      <c r="J6402" s="12"/>
    </row>
    <row r="6403" spans="5:10" x14ac:dyDescent="0.25">
      <c r="E6403"/>
      <c r="F6403"/>
      <c r="G6403" s="12"/>
      <c r="H6403" s="12"/>
      <c r="I6403" s="12"/>
      <c r="J6403" s="12"/>
    </row>
    <row r="6404" spans="5:10" x14ac:dyDescent="0.25">
      <c r="E6404"/>
      <c r="F6404"/>
      <c r="G6404" s="12"/>
      <c r="H6404" s="12"/>
      <c r="I6404" s="12"/>
      <c r="J6404" s="12"/>
    </row>
    <row r="6405" spans="5:10" x14ac:dyDescent="0.25">
      <c r="E6405"/>
      <c r="F6405"/>
      <c r="G6405" s="12"/>
      <c r="H6405" s="12"/>
      <c r="I6405" s="12"/>
      <c r="J6405" s="12"/>
    </row>
    <row r="6406" spans="5:10" x14ac:dyDescent="0.25">
      <c r="E6406"/>
      <c r="F6406"/>
      <c r="G6406" s="12"/>
      <c r="H6406" s="12"/>
      <c r="I6406" s="12"/>
      <c r="J6406" s="12"/>
    </row>
    <row r="6407" spans="5:10" x14ac:dyDescent="0.25">
      <c r="E6407"/>
      <c r="F6407"/>
      <c r="G6407" s="12"/>
      <c r="H6407" s="12"/>
      <c r="I6407" s="12"/>
      <c r="J6407" s="12"/>
    </row>
    <row r="6408" spans="5:10" x14ac:dyDescent="0.25">
      <c r="E6408"/>
      <c r="F6408"/>
      <c r="G6408" s="12"/>
      <c r="H6408" s="12"/>
      <c r="I6408" s="12"/>
      <c r="J6408" s="12"/>
    </row>
    <row r="6409" spans="5:10" x14ac:dyDescent="0.25">
      <c r="E6409"/>
      <c r="F6409"/>
      <c r="G6409" s="12"/>
      <c r="H6409" s="12"/>
      <c r="I6409" s="12"/>
      <c r="J6409" s="12"/>
    </row>
    <row r="6410" spans="5:10" x14ac:dyDescent="0.25">
      <c r="E6410"/>
      <c r="F6410"/>
      <c r="G6410" s="12"/>
      <c r="H6410" s="12"/>
      <c r="I6410" s="12"/>
      <c r="J6410" s="12"/>
    </row>
    <row r="6411" spans="5:10" x14ac:dyDescent="0.25">
      <c r="E6411"/>
      <c r="F6411"/>
      <c r="G6411" s="12"/>
      <c r="H6411" s="12"/>
      <c r="I6411" s="12"/>
      <c r="J6411" s="12"/>
    </row>
    <row r="6412" spans="5:10" x14ac:dyDescent="0.25">
      <c r="E6412"/>
      <c r="F6412"/>
      <c r="G6412" s="12"/>
      <c r="H6412" s="12"/>
      <c r="I6412" s="12"/>
      <c r="J6412" s="12"/>
    </row>
    <row r="6413" spans="5:10" x14ac:dyDescent="0.25">
      <c r="E6413"/>
      <c r="F6413"/>
      <c r="G6413" s="12"/>
      <c r="H6413" s="12"/>
      <c r="I6413" s="12"/>
      <c r="J6413" s="12"/>
    </row>
    <row r="6414" spans="5:10" x14ac:dyDescent="0.25">
      <c r="E6414"/>
      <c r="F6414"/>
      <c r="G6414" s="12"/>
      <c r="H6414" s="12"/>
      <c r="I6414" s="12"/>
      <c r="J6414" s="12"/>
    </row>
    <row r="6415" spans="5:10" x14ac:dyDescent="0.25">
      <c r="E6415"/>
      <c r="F6415"/>
      <c r="G6415" s="12"/>
      <c r="H6415" s="12"/>
      <c r="I6415" s="12"/>
      <c r="J6415" s="12"/>
    </row>
    <row r="6416" spans="5:10" x14ac:dyDescent="0.25">
      <c r="E6416"/>
      <c r="F6416"/>
      <c r="G6416" s="12"/>
      <c r="H6416" s="12"/>
      <c r="I6416" s="12"/>
      <c r="J6416" s="12"/>
    </row>
    <row r="6417" spans="5:10" x14ac:dyDescent="0.25">
      <c r="E6417"/>
      <c r="F6417"/>
      <c r="G6417" s="12"/>
      <c r="H6417" s="12"/>
      <c r="I6417" s="12"/>
      <c r="J6417" s="12"/>
    </row>
    <row r="6418" spans="5:10" x14ac:dyDescent="0.25">
      <c r="E6418"/>
      <c r="F6418"/>
      <c r="G6418" s="12"/>
      <c r="H6418" s="12"/>
      <c r="I6418" s="12"/>
      <c r="J6418" s="12"/>
    </row>
    <row r="6419" spans="5:10" x14ac:dyDescent="0.25">
      <c r="E6419"/>
      <c r="F6419"/>
      <c r="G6419" s="12"/>
      <c r="H6419" s="12"/>
      <c r="I6419" s="12"/>
      <c r="J6419" s="12"/>
    </row>
    <row r="6420" spans="5:10" x14ac:dyDescent="0.25">
      <c r="E6420"/>
      <c r="F6420"/>
      <c r="G6420" s="12"/>
      <c r="H6420" s="12"/>
      <c r="I6420" s="12"/>
      <c r="J6420" s="12"/>
    </row>
    <row r="6421" spans="5:10" x14ac:dyDescent="0.25">
      <c r="E6421"/>
      <c r="F6421"/>
      <c r="G6421" s="12"/>
      <c r="H6421" s="12"/>
      <c r="I6421" s="12"/>
      <c r="J6421" s="12"/>
    </row>
    <row r="6422" spans="5:10" x14ac:dyDescent="0.25">
      <c r="E6422"/>
      <c r="F6422"/>
      <c r="G6422" s="12"/>
      <c r="H6422" s="12"/>
      <c r="I6422" s="12"/>
      <c r="J6422" s="12"/>
    </row>
    <row r="6423" spans="5:10" x14ac:dyDescent="0.25">
      <c r="E6423"/>
      <c r="F6423"/>
      <c r="G6423" s="12"/>
      <c r="H6423" s="12"/>
      <c r="I6423" s="12"/>
      <c r="J6423" s="12"/>
    </row>
    <row r="6424" spans="5:10" x14ac:dyDescent="0.25">
      <c r="E6424"/>
      <c r="F6424"/>
      <c r="G6424" s="12"/>
      <c r="H6424" s="12"/>
      <c r="I6424" s="12"/>
      <c r="J6424" s="12"/>
    </row>
    <row r="6425" spans="5:10" x14ac:dyDescent="0.25">
      <c r="E6425"/>
      <c r="F6425"/>
      <c r="G6425" s="12"/>
      <c r="H6425" s="12"/>
      <c r="I6425" s="12"/>
      <c r="J6425" s="12"/>
    </row>
    <row r="6426" spans="5:10" x14ac:dyDescent="0.25">
      <c r="E6426"/>
      <c r="F6426"/>
      <c r="G6426" s="12"/>
      <c r="H6426" s="12"/>
      <c r="I6426" s="12"/>
      <c r="J6426" s="12"/>
    </row>
    <row r="6427" spans="5:10" x14ac:dyDescent="0.25">
      <c r="E6427"/>
      <c r="F6427"/>
      <c r="G6427" s="12"/>
      <c r="H6427" s="12"/>
      <c r="I6427" s="12"/>
      <c r="J6427" s="12"/>
    </row>
    <row r="6428" spans="5:10" x14ac:dyDescent="0.25">
      <c r="E6428"/>
      <c r="F6428"/>
      <c r="G6428" s="12"/>
      <c r="H6428" s="12"/>
      <c r="I6428" s="12"/>
      <c r="J6428" s="12"/>
    </row>
    <row r="6429" spans="5:10" x14ac:dyDescent="0.25">
      <c r="E6429"/>
      <c r="F6429"/>
      <c r="G6429" s="12"/>
      <c r="H6429" s="12"/>
      <c r="I6429" s="12"/>
      <c r="J6429" s="12"/>
    </row>
    <row r="6430" spans="5:10" x14ac:dyDescent="0.25">
      <c r="E6430"/>
      <c r="F6430"/>
      <c r="G6430" s="12"/>
      <c r="H6430" s="12"/>
      <c r="I6430" s="12"/>
      <c r="J6430" s="12"/>
    </row>
    <row r="6431" spans="5:10" x14ac:dyDescent="0.25">
      <c r="E6431"/>
      <c r="F6431"/>
      <c r="G6431" s="12"/>
      <c r="H6431" s="12"/>
      <c r="I6431" s="12"/>
      <c r="J6431" s="12"/>
    </row>
    <row r="6432" spans="5:10" x14ac:dyDescent="0.25">
      <c r="E6432"/>
      <c r="F6432"/>
      <c r="G6432" s="12"/>
      <c r="H6432" s="12"/>
      <c r="I6432" s="12"/>
      <c r="J6432" s="12"/>
    </row>
    <row r="6433" spans="5:10" x14ac:dyDescent="0.25">
      <c r="E6433"/>
      <c r="F6433"/>
      <c r="G6433" s="12"/>
      <c r="H6433" s="12"/>
      <c r="I6433" s="12"/>
      <c r="J6433" s="12"/>
    </row>
    <row r="6434" spans="5:10" x14ac:dyDescent="0.25">
      <c r="E6434"/>
      <c r="F6434"/>
      <c r="G6434" s="12"/>
      <c r="H6434" s="12"/>
      <c r="I6434" s="12"/>
      <c r="J6434" s="12"/>
    </row>
    <row r="6435" spans="5:10" x14ac:dyDescent="0.25">
      <c r="E6435"/>
      <c r="F6435"/>
      <c r="G6435" s="12"/>
      <c r="H6435" s="12"/>
      <c r="I6435" s="12"/>
      <c r="J6435" s="12"/>
    </row>
    <row r="6436" spans="5:10" x14ac:dyDescent="0.25">
      <c r="E6436"/>
      <c r="F6436"/>
      <c r="G6436" s="12"/>
      <c r="H6436" s="12"/>
      <c r="I6436" s="12"/>
      <c r="J6436" s="12"/>
    </row>
    <row r="6437" spans="5:10" x14ac:dyDescent="0.25">
      <c r="E6437"/>
      <c r="F6437"/>
      <c r="G6437" s="12"/>
      <c r="H6437" s="12"/>
      <c r="I6437" s="12"/>
      <c r="J6437" s="12"/>
    </row>
    <row r="6438" spans="5:10" x14ac:dyDescent="0.25">
      <c r="E6438"/>
      <c r="F6438"/>
      <c r="G6438" s="12"/>
      <c r="H6438" s="12"/>
      <c r="I6438" s="12"/>
      <c r="J6438" s="12"/>
    </row>
    <row r="6439" spans="5:10" x14ac:dyDescent="0.25">
      <c r="E6439"/>
      <c r="F6439"/>
      <c r="G6439" s="12"/>
      <c r="H6439" s="12"/>
      <c r="I6439" s="12"/>
      <c r="J6439" s="12"/>
    </row>
    <row r="6440" spans="5:10" x14ac:dyDescent="0.25">
      <c r="E6440"/>
      <c r="F6440"/>
      <c r="G6440" s="12"/>
      <c r="H6440" s="12"/>
      <c r="I6440" s="12"/>
      <c r="J6440" s="12"/>
    </row>
    <row r="6441" spans="5:10" x14ac:dyDescent="0.25">
      <c r="E6441"/>
      <c r="F6441"/>
      <c r="G6441" s="12"/>
      <c r="H6441" s="12"/>
      <c r="I6441" s="12"/>
      <c r="J6441" s="12"/>
    </row>
    <row r="6442" spans="5:10" x14ac:dyDescent="0.25">
      <c r="E6442"/>
      <c r="F6442"/>
      <c r="G6442" s="12"/>
      <c r="H6442" s="12"/>
      <c r="I6442" s="12"/>
      <c r="J6442" s="12"/>
    </row>
    <row r="6443" spans="5:10" x14ac:dyDescent="0.25">
      <c r="E6443"/>
      <c r="F6443"/>
      <c r="G6443" s="12"/>
      <c r="H6443" s="12"/>
      <c r="I6443" s="12"/>
      <c r="J6443" s="12"/>
    </row>
    <row r="6444" spans="5:10" x14ac:dyDescent="0.25">
      <c r="E6444"/>
      <c r="F6444"/>
      <c r="G6444" s="12"/>
      <c r="H6444" s="12"/>
      <c r="I6444" s="12"/>
      <c r="J6444" s="12"/>
    </row>
    <row r="6445" spans="5:10" x14ac:dyDescent="0.25">
      <c r="E6445"/>
      <c r="F6445"/>
      <c r="G6445" s="12"/>
      <c r="H6445" s="12"/>
      <c r="I6445" s="12"/>
      <c r="J6445" s="12"/>
    </row>
    <row r="6446" spans="5:10" x14ac:dyDescent="0.25">
      <c r="E6446"/>
      <c r="F6446"/>
      <c r="G6446" s="12"/>
      <c r="H6446" s="12"/>
      <c r="I6446" s="12"/>
      <c r="J6446" s="12"/>
    </row>
    <row r="6447" spans="5:10" x14ac:dyDescent="0.25">
      <c r="E6447"/>
      <c r="F6447"/>
      <c r="G6447" s="12"/>
      <c r="H6447" s="12"/>
      <c r="I6447" s="12"/>
      <c r="J6447" s="12"/>
    </row>
    <row r="6448" spans="5:10" x14ac:dyDescent="0.25">
      <c r="E6448"/>
      <c r="F6448"/>
      <c r="G6448" s="12"/>
      <c r="H6448" s="12"/>
      <c r="I6448" s="12"/>
      <c r="J6448" s="12"/>
    </row>
    <row r="6449" spans="5:10" x14ac:dyDescent="0.25">
      <c r="E6449"/>
      <c r="F6449"/>
      <c r="G6449" s="12"/>
      <c r="H6449" s="12"/>
      <c r="I6449" s="12"/>
      <c r="J6449" s="12"/>
    </row>
    <row r="6450" spans="5:10" x14ac:dyDescent="0.25">
      <c r="E6450"/>
      <c r="F6450"/>
      <c r="G6450" s="12"/>
      <c r="H6450" s="12"/>
      <c r="I6450" s="12"/>
      <c r="J6450" s="12"/>
    </row>
    <row r="6451" spans="5:10" x14ac:dyDescent="0.25">
      <c r="E6451"/>
      <c r="F6451"/>
      <c r="G6451" s="12"/>
      <c r="H6451" s="12"/>
      <c r="I6451" s="12"/>
      <c r="J6451" s="12"/>
    </row>
    <row r="6452" spans="5:10" x14ac:dyDescent="0.25">
      <c r="E6452"/>
      <c r="F6452"/>
      <c r="G6452" s="12"/>
      <c r="H6452" s="12"/>
      <c r="I6452" s="12"/>
      <c r="J6452" s="12"/>
    </row>
    <row r="6453" spans="5:10" x14ac:dyDescent="0.25">
      <c r="E6453"/>
      <c r="F6453"/>
      <c r="G6453" s="12"/>
      <c r="H6453" s="12"/>
      <c r="I6453" s="12"/>
      <c r="J6453" s="12"/>
    </row>
    <row r="6454" spans="5:10" x14ac:dyDescent="0.25">
      <c r="E6454"/>
      <c r="F6454"/>
      <c r="G6454" s="12"/>
      <c r="H6454" s="12"/>
      <c r="I6454" s="12"/>
      <c r="J6454" s="12"/>
    </row>
    <row r="6455" spans="5:10" x14ac:dyDescent="0.25">
      <c r="E6455"/>
      <c r="F6455"/>
      <c r="G6455" s="12"/>
      <c r="H6455" s="12"/>
      <c r="I6455" s="12"/>
      <c r="J6455" s="12"/>
    </row>
    <row r="6456" spans="5:10" x14ac:dyDescent="0.25">
      <c r="E6456"/>
      <c r="F6456"/>
      <c r="G6456" s="12"/>
      <c r="H6456" s="12"/>
      <c r="I6456" s="12"/>
      <c r="J6456" s="12"/>
    </row>
    <row r="6457" spans="5:10" x14ac:dyDescent="0.25">
      <c r="E6457"/>
      <c r="F6457"/>
      <c r="G6457" s="12"/>
      <c r="H6457" s="12"/>
      <c r="I6457" s="12"/>
      <c r="J6457" s="12"/>
    </row>
    <row r="6458" spans="5:10" x14ac:dyDescent="0.25">
      <c r="E6458"/>
      <c r="F6458"/>
      <c r="G6458" s="12"/>
      <c r="H6458" s="12"/>
      <c r="I6458" s="12"/>
      <c r="J6458" s="12"/>
    </row>
    <row r="6459" spans="5:10" x14ac:dyDescent="0.25">
      <c r="E6459"/>
      <c r="F6459"/>
      <c r="G6459" s="12"/>
      <c r="H6459" s="12"/>
      <c r="I6459" s="12"/>
      <c r="J6459" s="12"/>
    </row>
    <row r="6460" spans="5:10" x14ac:dyDescent="0.25">
      <c r="E6460"/>
      <c r="F6460"/>
      <c r="G6460" s="12"/>
      <c r="H6460" s="12"/>
      <c r="I6460" s="12"/>
      <c r="J6460" s="12"/>
    </row>
    <row r="6461" spans="5:10" x14ac:dyDescent="0.25">
      <c r="E6461"/>
      <c r="F6461"/>
      <c r="G6461" s="12"/>
      <c r="H6461" s="12"/>
      <c r="I6461" s="12"/>
      <c r="J6461" s="12"/>
    </row>
    <row r="6462" spans="5:10" x14ac:dyDescent="0.25">
      <c r="E6462"/>
      <c r="F6462"/>
      <c r="G6462" s="12"/>
      <c r="H6462" s="12"/>
      <c r="I6462" s="12"/>
      <c r="J6462" s="12"/>
    </row>
    <row r="6463" spans="5:10" x14ac:dyDescent="0.25">
      <c r="E6463"/>
      <c r="F6463"/>
      <c r="G6463" s="12"/>
      <c r="H6463" s="12"/>
      <c r="I6463" s="12"/>
      <c r="J6463" s="12"/>
    </row>
    <row r="6464" spans="5:10" x14ac:dyDescent="0.25">
      <c r="E6464"/>
      <c r="F6464"/>
      <c r="G6464" s="12"/>
      <c r="H6464" s="12"/>
      <c r="I6464" s="12"/>
      <c r="J6464" s="12"/>
    </row>
    <row r="6465" spans="5:10" x14ac:dyDescent="0.25">
      <c r="E6465"/>
      <c r="F6465"/>
      <c r="G6465" s="12"/>
      <c r="H6465" s="12"/>
      <c r="I6465" s="12"/>
      <c r="J6465" s="12"/>
    </row>
    <row r="6466" spans="5:10" x14ac:dyDescent="0.25">
      <c r="E6466"/>
      <c r="F6466"/>
      <c r="G6466" s="12"/>
      <c r="H6466" s="12"/>
      <c r="I6466" s="12"/>
      <c r="J6466" s="12"/>
    </row>
    <row r="6467" spans="5:10" x14ac:dyDescent="0.25">
      <c r="E6467"/>
      <c r="F6467"/>
      <c r="G6467" s="12"/>
      <c r="H6467" s="12"/>
      <c r="I6467" s="12"/>
      <c r="J6467" s="12"/>
    </row>
    <row r="6468" spans="5:10" x14ac:dyDescent="0.25">
      <c r="E6468"/>
      <c r="F6468"/>
      <c r="G6468" s="12"/>
      <c r="H6468" s="12"/>
      <c r="I6468" s="12"/>
      <c r="J6468" s="12"/>
    </row>
    <row r="6469" spans="5:10" x14ac:dyDescent="0.25">
      <c r="E6469"/>
      <c r="F6469"/>
      <c r="G6469" s="12"/>
      <c r="H6469" s="12"/>
      <c r="I6469" s="12"/>
      <c r="J6469" s="12"/>
    </row>
    <row r="6470" spans="5:10" x14ac:dyDescent="0.25">
      <c r="E6470"/>
      <c r="F6470"/>
      <c r="G6470" s="12"/>
      <c r="H6470" s="12"/>
      <c r="I6470" s="12"/>
      <c r="J6470" s="12"/>
    </row>
    <row r="6471" spans="5:10" x14ac:dyDescent="0.25">
      <c r="E6471"/>
      <c r="F6471"/>
      <c r="G6471" s="12"/>
      <c r="H6471" s="12"/>
      <c r="I6471" s="12"/>
      <c r="J6471" s="12"/>
    </row>
    <row r="6472" spans="5:10" x14ac:dyDescent="0.25">
      <c r="E6472"/>
      <c r="F6472"/>
      <c r="G6472" s="12"/>
      <c r="H6472" s="12"/>
      <c r="I6472" s="12"/>
      <c r="J6472" s="12"/>
    </row>
    <row r="6473" spans="5:10" x14ac:dyDescent="0.25">
      <c r="E6473"/>
      <c r="F6473"/>
      <c r="G6473" s="12"/>
      <c r="H6473" s="12"/>
      <c r="I6473" s="12"/>
      <c r="J6473" s="12"/>
    </row>
    <row r="6474" spans="5:10" x14ac:dyDescent="0.25">
      <c r="E6474"/>
      <c r="F6474"/>
      <c r="G6474" s="12"/>
      <c r="H6474" s="12"/>
      <c r="I6474" s="12"/>
      <c r="J6474" s="12"/>
    </row>
    <row r="6475" spans="5:10" x14ac:dyDescent="0.25">
      <c r="E6475"/>
      <c r="F6475"/>
      <c r="G6475" s="12"/>
      <c r="H6475" s="12"/>
      <c r="I6475" s="12"/>
      <c r="J6475" s="12"/>
    </row>
    <row r="6476" spans="5:10" x14ac:dyDescent="0.25">
      <c r="E6476"/>
      <c r="F6476"/>
      <c r="G6476" s="12"/>
      <c r="H6476" s="12"/>
      <c r="I6476" s="12"/>
      <c r="J6476" s="12"/>
    </row>
    <row r="6477" spans="5:10" x14ac:dyDescent="0.25">
      <c r="E6477"/>
      <c r="F6477"/>
      <c r="G6477" s="12"/>
      <c r="H6477" s="12"/>
      <c r="I6477" s="12"/>
      <c r="J6477" s="12"/>
    </row>
    <row r="6478" spans="5:10" x14ac:dyDescent="0.25">
      <c r="E6478"/>
      <c r="F6478"/>
      <c r="G6478" s="12"/>
      <c r="H6478" s="12"/>
      <c r="I6478" s="12"/>
      <c r="J6478" s="12"/>
    </row>
    <row r="6479" spans="5:10" x14ac:dyDescent="0.25">
      <c r="E6479"/>
      <c r="F6479"/>
      <c r="G6479" s="12"/>
      <c r="H6479" s="12"/>
      <c r="I6479" s="12"/>
      <c r="J6479" s="12"/>
    </row>
    <row r="6480" spans="5:10" x14ac:dyDescent="0.25">
      <c r="E6480"/>
      <c r="F6480"/>
      <c r="G6480" s="12"/>
      <c r="H6480" s="12"/>
      <c r="I6480" s="12"/>
      <c r="J6480" s="12"/>
    </row>
    <row r="6481" spans="5:10" x14ac:dyDescent="0.25">
      <c r="E6481"/>
      <c r="F6481"/>
      <c r="G6481" s="12"/>
      <c r="H6481" s="12"/>
      <c r="I6481" s="12"/>
      <c r="J6481" s="12"/>
    </row>
    <row r="6482" spans="5:10" x14ac:dyDescent="0.25">
      <c r="E6482"/>
      <c r="F6482"/>
      <c r="G6482" s="12"/>
      <c r="H6482" s="12"/>
      <c r="I6482" s="12"/>
      <c r="J6482" s="12"/>
    </row>
    <row r="6483" spans="5:10" x14ac:dyDescent="0.25">
      <c r="E6483"/>
      <c r="F6483"/>
      <c r="G6483" s="12"/>
      <c r="H6483" s="12"/>
      <c r="I6483" s="12"/>
      <c r="J6483" s="12"/>
    </row>
    <row r="6484" spans="5:10" x14ac:dyDescent="0.25">
      <c r="E6484"/>
      <c r="F6484"/>
      <c r="G6484" s="12"/>
      <c r="H6484" s="12"/>
      <c r="I6484" s="12"/>
      <c r="J6484" s="12"/>
    </row>
    <row r="6485" spans="5:10" x14ac:dyDescent="0.25">
      <c r="E6485"/>
      <c r="F6485"/>
      <c r="G6485" s="12"/>
      <c r="H6485" s="12"/>
      <c r="I6485" s="12"/>
      <c r="J6485" s="12"/>
    </row>
    <row r="6486" spans="5:10" x14ac:dyDescent="0.25">
      <c r="E6486"/>
      <c r="F6486"/>
      <c r="G6486" s="12"/>
      <c r="H6486" s="12"/>
      <c r="I6486" s="12"/>
      <c r="J6486" s="12"/>
    </row>
    <row r="6487" spans="5:10" x14ac:dyDescent="0.25">
      <c r="E6487"/>
      <c r="F6487"/>
      <c r="G6487" s="12"/>
      <c r="H6487" s="12"/>
      <c r="I6487" s="12"/>
      <c r="J6487" s="12"/>
    </row>
    <row r="6488" spans="5:10" x14ac:dyDescent="0.25">
      <c r="E6488"/>
      <c r="F6488"/>
      <c r="G6488" s="12"/>
      <c r="H6488" s="12"/>
      <c r="I6488" s="12"/>
      <c r="J6488" s="12"/>
    </row>
    <row r="6489" spans="5:10" x14ac:dyDescent="0.25">
      <c r="E6489"/>
      <c r="F6489"/>
      <c r="G6489" s="12"/>
      <c r="H6489" s="12"/>
      <c r="I6489" s="12"/>
      <c r="J6489" s="12"/>
    </row>
    <row r="6490" spans="5:10" x14ac:dyDescent="0.25">
      <c r="E6490"/>
      <c r="F6490"/>
      <c r="G6490" s="12"/>
      <c r="H6490" s="12"/>
      <c r="I6490" s="12"/>
      <c r="J6490" s="12"/>
    </row>
    <row r="6491" spans="5:10" x14ac:dyDescent="0.25">
      <c r="E6491"/>
      <c r="F6491"/>
      <c r="G6491" s="12"/>
      <c r="H6491" s="12"/>
      <c r="I6491" s="12"/>
      <c r="J6491" s="12"/>
    </row>
    <row r="6492" spans="5:10" x14ac:dyDescent="0.25">
      <c r="E6492"/>
      <c r="F6492"/>
      <c r="G6492" s="12"/>
      <c r="H6492" s="12"/>
      <c r="I6492" s="12"/>
      <c r="J6492" s="12"/>
    </row>
    <row r="6493" spans="5:10" x14ac:dyDescent="0.25">
      <c r="E6493"/>
      <c r="F6493"/>
      <c r="G6493" s="12"/>
      <c r="H6493" s="12"/>
      <c r="I6493" s="12"/>
      <c r="J6493" s="12"/>
    </row>
    <row r="6494" spans="5:10" x14ac:dyDescent="0.25">
      <c r="E6494"/>
      <c r="F6494"/>
      <c r="G6494" s="12"/>
      <c r="H6494" s="12"/>
      <c r="I6494" s="12"/>
      <c r="J6494" s="12"/>
    </row>
    <row r="6495" spans="5:10" x14ac:dyDescent="0.25">
      <c r="E6495"/>
      <c r="F6495"/>
      <c r="G6495" s="12"/>
      <c r="H6495" s="12"/>
      <c r="I6495" s="12"/>
      <c r="J6495" s="12"/>
    </row>
    <row r="6496" spans="5:10" x14ac:dyDescent="0.25">
      <c r="E6496"/>
      <c r="F6496"/>
      <c r="G6496" s="12"/>
      <c r="H6496" s="12"/>
      <c r="I6496" s="12"/>
      <c r="J6496" s="12"/>
    </row>
    <row r="6497" spans="5:10" x14ac:dyDescent="0.25">
      <c r="E6497"/>
      <c r="F6497"/>
      <c r="G6497" s="12"/>
      <c r="H6497" s="12"/>
      <c r="I6497" s="12"/>
      <c r="J6497" s="12"/>
    </row>
    <row r="6498" spans="5:10" x14ac:dyDescent="0.25">
      <c r="E6498"/>
      <c r="F6498"/>
      <c r="G6498" s="12"/>
      <c r="H6498" s="12"/>
      <c r="I6498" s="12"/>
      <c r="J6498" s="12"/>
    </row>
    <row r="6499" spans="5:10" x14ac:dyDescent="0.25">
      <c r="E6499"/>
      <c r="F6499"/>
      <c r="G6499" s="12"/>
      <c r="H6499" s="12"/>
      <c r="I6499" s="12"/>
      <c r="J6499" s="12"/>
    </row>
    <row r="6500" spans="5:10" x14ac:dyDescent="0.25">
      <c r="E6500"/>
      <c r="F6500"/>
      <c r="G6500" s="12"/>
      <c r="H6500" s="12"/>
      <c r="I6500" s="12"/>
      <c r="J6500" s="12"/>
    </row>
    <row r="6501" spans="5:10" x14ac:dyDescent="0.25">
      <c r="E6501"/>
      <c r="F6501"/>
      <c r="G6501" s="12"/>
      <c r="H6501" s="12"/>
      <c r="I6501" s="12"/>
      <c r="J6501" s="12"/>
    </row>
    <row r="6502" spans="5:10" x14ac:dyDescent="0.25">
      <c r="E6502"/>
      <c r="F6502"/>
      <c r="G6502" s="12"/>
      <c r="H6502" s="12"/>
      <c r="I6502" s="12"/>
      <c r="J6502" s="12"/>
    </row>
    <row r="6503" spans="5:10" x14ac:dyDescent="0.25">
      <c r="E6503"/>
      <c r="F6503"/>
      <c r="G6503" s="12"/>
      <c r="H6503" s="12"/>
      <c r="I6503" s="12"/>
      <c r="J6503" s="12"/>
    </row>
    <row r="6504" spans="5:10" x14ac:dyDescent="0.25">
      <c r="E6504"/>
      <c r="F6504"/>
      <c r="G6504" s="12"/>
      <c r="H6504" s="12"/>
      <c r="I6504" s="12"/>
      <c r="J6504" s="12"/>
    </row>
    <row r="6505" spans="5:10" x14ac:dyDescent="0.25">
      <c r="E6505"/>
      <c r="F6505"/>
      <c r="G6505" s="12"/>
      <c r="H6505" s="12"/>
      <c r="I6505" s="12"/>
      <c r="J6505" s="12"/>
    </row>
    <row r="6506" spans="5:10" x14ac:dyDescent="0.25">
      <c r="E6506"/>
      <c r="F6506"/>
      <c r="G6506" s="12"/>
      <c r="H6506" s="12"/>
      <c r="I6506" s="12"/>
      <c r="J6506" s="12"/>
    </row>
    <row r="6507" spans="5:10" x14ac:dyDescent="0.25">
      <c r="E6507"/>
      <c r="F6507"/>
      <c r="G6507" s="12"/>
      <c r="H6507" s="12"/>
      <c r="I6507" s="12"/>
      <c r="J6507" s="12"/>
    </row>
    <row r="6508" spans="5:10" x14ac:dyDescent="0.25">
      <c r="E6508"/>
      <c r="F6508"/>
      <c r="G6508" s="12"/>
      <c r="H6508" s="12"/>
      <c r="I6508" s="12"/>
      <c r="J6508" s="12"/>
    </row>
    <row r="6509" spans="5:10" x14ac:dyDescent="0.25">
      <c r="E6509"/>
      <c r="F6509"/>
      <c r="G6509" s="12"/>
      <c r="H6509" s="12"/>
      <c r="I6509" s="12"/>
      <c r="J6509" s="12"/>
    </row>
    <row r="6510" spans="5:10" x14ac:dyDescent="0.25">
      <c r="E6510"/>
      <c r="F6510"/>
      <c r="G6510" s="12"/>
      <c r="H6510" s="12"/>
      <c r="I6510" s="12"/>
      <c r="J6510" s="12"/>
    </row>
    <row r="6511" spans="5:10" x14ac:dyDescent="0.25">
      <c r="E6511"/>
      <c r="F6511"/>
      <c r="G6511" s="12"/>
      <c r="H6511" s="12"/>
      <c r="I6511" s="12"/>
      <c r="J6511" s="12"/>
    </row>
    <row r="6512" spans="5:10" x14ac:dyDescent="0.25">
      <c r="E6512"/>
      <c r="F6512"/>
      <c r="G6512" s="12"/>
      <c r="H6512" s="12"/>
      <c r="I6512" s="12"/>
      <c r="J6512" s="12"/>
    </row>
    <row r="6513" spans="5:10" x14ac:dyDescent="0.25">
      <c r="E6513"/>
      <c r="F6513"/>
      <c r="G6513" s="12"/>
      <c r="H6513" s="12"/>
      <c r="I6513" s="12"/>
      <c r="J6513" s="12"/>
    </row>
    <row r="6514" spans="5:10" x14ac:dyDescent="0.25">
      <c r="E6514"/>
      <c r="F6514"/>
      <c r="G6514" s="12"/>
      <c r="H6514" s="12"/>
      <c r="I6514" s="12"/>
      <c r="J6514" s="12"/>
    </row>
    <row r="6515" spans="5:10" x14ac:dyDescent="0.25">
      <c r="E6515"/>
      <c r="F6515"/>
      <c r="G6515" s="12"/>
      <c r="H6515" s="12"/>
      <c r="I6515" s="12"/>
      <c r="J6515" s="12"/>
    </row>
    <row r="6516" spans="5:10" x14ac:dyDescent="0.25">
      <c r="E6516"/>
      <c r="F6516"/>
      <c r="G6516" s="12"/>
      <c r="H6516" s="12"/>
      <c r="I6516" s="12"/>
      <c r="J6516" s="12"/>
    </row>
    <row r="6517" spans="5:10" x14ac:dyDescent="0.25">
      <c r="E6517"/>
      <c r="F6517"/>
      <c r="G6517" s="12"/>
      <c r="H6517" s="12"/>
      <c r="I6517" s="12"/>
      <c r="J6517" s="12"/>
    </row>
    <row r="6518" spans="5:10" x14ac:dyDescent="0.25">
      <c r="E6518"/>
      <c r="F6518"/>
      <c r="G6518" s="12"/>
      <c r="H6518" s="12"/>
      <c r="I6518" s="12"/>
      <c r="J6518" s="12"/>
    </row>
    <row r="6519" spans="5:10" x14ac:dyDescent="0.25">
      <c r="E6519"/>
      <c r="F6519"/>
      <c r="G6519" s="12"/>
      <c r="H6519" s="12"/>
      <c r="I6519" s="12"/>
      <c r="J6519" s="12"/>
    </row>
    <row r="6520" spans="5:10" x14ac:dyDescent="0.25">
      <c r="E6520"/>
      <c r="F6520"/>
      <c r="G6520" s="12"/>
      <c r="H6520" s="12"/>
      <c r="I6520" s="12"/>
      <c r="J6520" s="12"/>
    </row>
    <row r="6521" spans="5:10" x14ac:dyDescent="0.25">
      <c r="E6521"/>
      <c r="F6521"/>
      <c r="G6521" s="12"/>
      <c r="H6521" s="12"/>
      <c r="I6521" s="12"/>
      <c r="J6521" s="12"/>
    </row>
    <row r="6522" spans="5:10" x14ac:dyDescent="0.25">
      <c r="E6522"/>
      <c r="F6522"/>
      <c r="G6522" s="12"/>
      <c r="H6522" s="12"/>
      <c r="I6522" s="12"/>
      <c r="J6522" s="12"/>
    </row>
    <row r="6523" spans="5:10" x14ac:dyDescent="0.25">
      <c r="E6523"/>
      <c r="F6523"/>
      <c r="G6523" s="12"/>
      <c r="H6523" s="12"/>
      <c r="I6523" s="12"/>
      <c r="J6523" s="12"/>
    </row>
    <row r="6524" spans="5:10" x14ac:dyDescent="0.25">
      <c r="E6524"/>
      <c r="F6524"/>
      <c r="G6524" s="12"/>
      <c r="H6524" s="12"/>
      <c r="I6524" s="12"/>
      <c r="J6524" s="12"/>
    </row>
    <row r="6525" spans="5:10" x14ac:dyDescent="0.25">
      <c r="E6525"/>
      <c r="F6525"/>
      <c r="G6525" s="12"/>
      <c r="H6525" s="12"/>
      <c r="I6525" s="12"/>
      <c r="J6525" s="12"/>
    </row>
    <row r="6526" spans="5:10" x14ac:dyDescent="0.25">
      <c r="E6526"/>
      <c r="F6526"/>
      <c r="G6526" s="12"/>
      <c r="H6526" s="12"/>
      <c r="I6526" s="12"/>
      <c r="J6526" s="12"/>
    </row>
    <row r="6527" spans="5:10" x14ac:dyDescent="0.25">
      <c r="E6527"/>
      <c r="F6527"/>
      <c r="G6527" s="12"/>
      <c r="H6527" s="12"/>
      <c r="I6527" s="12"/>
      <c r="J6527" s="12"/>
    </row>
    <row r="6528" spans="5:10" x14ac:dyDescent="0.25">
      <c r="E6528"/>
      <c r="F6528"/>
      <c r="G6528" s="12"/>
      <c r="H6528" s="12"/>
      <c r="I6528" s="12"/>
      <c r="J6528" s="12"/>
    </row>
    <row r="6529" spans="5:10" x14ac:dyDescent="0.25">
      <c r="E6529"/>
      <c r="F6529"/>
      <c r="G6529" s="12"/>
      <c r="H6529" s="12"/>
      <c r="I6529" s="12"/>
      <c r="J6529" s="12"/>
    </row>
    <row r="6530" spans="5:10" x14ac:dyDescent="0.25">
      <c r="E6530"/>
      <c r="F6530"/>
      <c r="G6530" s="12"/>
      <c r="H6530" s="12"/>
      <c r="I6530" s="12"/>
      <c r="J6530" s="12"/>
    </row>
    <row r="6531" spans="5:10" x14ac:dyDescent="0.25">
      <c r="E6531"/>
      <c r="F6531"/>
      <c r="G6531" s="12"/>
      <c r="H6531" s="12"/>
      <c r="I6531" s="12"/>
      <c r="J6531" s="12"/>
    </row>
    <row r="6532" spans="5:10" x14ac:dyDescent="0.25">
      <c r="E6532"/>
      <c r="F6532"/>
      <c r="G6532" s="12"/>
      <c r="H6532" s="12"/>
      <c r="I6532" s="12"/>
      <c r="J6532" s="12"/>
    </row>
    <row r="6533" spans="5:10" x14ac:dyDescent="0.25">
      <c r="E6533"/>
      <c r="F6533"/>
      <c r="G6533" s="12"/>
      <c r="H6533" s="12"/>
      <c r="I6533" s="12"/>
      <c r="J6533" s="12"/>
    </row>
    <row r="6534" spans="5:10" x14ac:dyDescent="0.25">
      <c r="E6534"/>
      <c r="F6534"/>
      <c r="G6534" s="12"/>
      <c r="H6534" s="12"/>
      <c r="I6534" s="12"/>
      <c r="J6534" s="12"/>
    </row>
    <row r="6535" spans="5:10" x14ac:dyDescent="0.25">
      <c r="E6535"/>
      <c r="F6535"/>
      <c r="G6535" s="12"/>
      <c r="H6535" s="12"/>
      <c r="I6535" s="12"/>
      <c r="J6535" s="12"/>
    </row>
    <row r="6536" spans="5:10" x14ac:dyDescent="0.25">
      <c r="E6536"/>
      <c r="F6536"/>
      <c r="G6536" s="12"/>
      <c r="H6536" s="12"/>
      <c r="I6536" s="12"/>
      <c r="J6536" s="12"/>
    </row>
    <row r="6537" spans="5:10" x14ac:dyDescent="0.25">
      <c r="E6537"/>
      <c r="F6537"/>
      <c r="G6537" s="12"/>
      <c r="H6537" s="12"/>
      <c r="I6537" s="12"/>
      <c r="J6537" s="12"/>
    </row>
    <row r="6538" spans="5:10" x14ac:dyDescent="0.25">
      <c r="E6538"/>
      <c r="F6538"/>
      <c r="G6538" s="12"/>
      <c r="H6538" s="12"/>
      <c r="I6538" s="12"/>
      <c r="J6538" s="12"/>
    </row>
    <row r="6539" spans="5:10" x14ac:dyDescent="0.25">
      <c r="E6539"/>
      <c r="F6539"/>
      <c r="G6539" s="12"/>
      <c r="H6539" s="12"/>
      <c r="I6539" s="12"/>
      <c r="J6539" s="12"/>
    </row>
    <row r="6540" spans="5:10" x14ac:dyDescent="0.25">
      <c r="E6540"/>
      <c r="F6540"/>
      <c r="G6540" s="12"/>
      <c r="H6540" s="12"/>
      <c r="I6540" s="12"/>
      <c r="J6540" s="12"/>
    </row>
    <row r="6541" spans="5:10" x14ac:dyDescent="0.25">
      <c r="E6541"/>
      <c r="F6541"/>
      <c r="G6541" s="12"/>
      <c r="H6541" s="12"/>
      <c r="I6541" s="12"/>
      <c r="J6541" s="12"/>
    </row>
    <row r="6542" spans="5:10" x14ac:dyDescent="0.25">
      <c r="E6542"/>
      <c r="F6542"/>
      <c r="G6542" s="12"/>
      <c r="H6542" s="12"/>
      <c r="I6542" s="12"/>
      <c r="J6542" s="12"/>
    </row>
    <row r="6543" spans="5:10" x14ac:dyDescent="0.25">
      <c r="E6543"/>
      <c r="F6543"/>
      <c r="G6543" s="12"/>
      <c r="H6543" s="12"/>
      <c r="I6543" s="12"/>
      <c r="J6543" s="12"/>
    </row>
    <row r="6544" spans="5:10" x14ac:dyDescent="0.25">
      <c r="E6544"/>
      <c r="F6544"/>
      <c r="G6544" s="12"/>
      <c r="H6544" s="12"/>
      <c r="I6544" s="12"/>
      <c r="J6544" s="12"/>
    </row>
    <row r="6545" spans="5:10" x14ac:dyDescent="0.25">
      <c r="E6545"/>
      <c r="F6545"/>
      <c r="G6545" s="12"/>
      <c r="H6545" s="12"/>
      <c r="I6545" s="12"/>
      <c r="J6545" s="12"/>
    </row>
    <row r="6546" spans="5:10" x14ac:dyDescent="0.25">
      <c r="E6546"/>
      <c r="F6546"/>
      <c r="G6546" s="12"/>
      <c r="H6546" s="12"/>
      <c r="I6546" s="12"/>
      <c r="J6546" s="12"/>
    </row>
    <row r="6547" spans="5:10" x14ac:dyDescent="0.25">
      <c r="E6547"/>
      <c r="F6547"/>
      <c r="G6547" s="12"/>
      <c r="H6547" s="12"/>
      <c r="I6547" s="12"/>
      <c r="J6547" s="12"/>
    </row>
    <row r="6548" spans="5:10" x14ac:dyDescent="0.25">
      <c r="E6548"/>
      <c r="F6548"/>
      <c r="G6548" s="12"/>
      <c r="H6548" s="12"/>
      <c r="I6548" s="12"/>
      <c r="J6548" s="12"/>
    </row>
    <row r="6549" spans="5:10" x14ac:dyDescent="0.25">
      <c r="E6549"/>
      <c r="F6549"/>
      <c r="G6549" s="12"/>
      <c r="H6549" s="12"/>
      <c r="I6549" s="12"/>
      <c r="J6549" s="12"/>
    </row>
    <row r="6550" spans="5:10" x14ac:dyDescent="0.25">
      <c r="E6550"/>
      <c r="F6550"/>
      <c r="G6550" s="12"/>
      <c r="H6550" s="12"/>
      <c r="I6550" s="12"/>
      <c r="J6550" s="12"/>
    </row>
    <row r="6551" spans="5:10" x14ac:dyDescent="0.25">
      <c r="E6551"/>
      <c r="F6551"/>
      <c r="G6551" s="12"/>
      <c r="H6551" s="12"/>
      <c r="I6551" s="12"/>
      <c r="J6551" s="12"/>
    </row>
    <row r="6552" spans="5:10" x14ac:dyDescent="0.25">
      <c r="E6552"/>
      <c r="F6552"/>
      <c r="G6552" s="12"/>
      <c r="H6552" s="12"/>
      <c r="I6552" s="12"/>
      <c r="J6552" s="12"/>
    </row>
    <row r="6553" spans="5:10" x14ac:dyDescent="0.25">
      <c r="E6553"/>
      <c r="F6553"/>
      <c r="G6553" s="12"/>
      <c r="H6553" s="12"/>
      <c r="I6553" s="12"/>
      <c r="J6553" s="12"/>
    </row>
    <row r="6554" spans="5:10" x14ac:dyDescent="0.25">
      <c r="E6554"/>
      <c r="F6554"/>
      <c r="G6554" s="12"/>
      <c r="H6554" s="12"/>
      <c r="I6554" s="12"/>
      <c r="J6554" s="12"/>
    </row>
    <row r="6555" spans="5:10" x14ac:dyDescent="0.25">
      <c r="E6555"/>
      <c r="F6555"/>
      <c r="G6555" s="12"/>
      <c r="H6555" s="12"/>
      <c r="I6555" s="12"/>
      <c r="J6555" s="12"/>
    </row>
    <row r="6556" spans="5:10" x14ac:dyDescent="0.25">
      <c r="E6556"/>
      <c r="F6556"/>
      <c r="G6556" s="12"/>
      <c r="H6556" s="12"/>
      <c r="I6556" s="12"/>
      <c r="J6556" s="12"/>
    </row>
    <row r="6557" spans="5:10" x14ac:dyDescent="0.25">
      <c r="E6557"/>
      <c r="F6557"/>
      <c r="G6557" s="12"/>
      <c r="H6557" s="12"/>
      <c r="I6557" s="12"/>
      <c r="J6557" s="12"/>
    </row>
    <row r="6558" spans="5:10" x14ac:dyDescent="0.25">
      <c r="E6558"/>
      <c r="F6558"/>
      <c r="G6558" s="12"/>
      <c r="H6558" s="12"/>
      <c r="I6558" s="12"/>
      <c r="J6558" s="12"/>
    </row>
    <row r="6559" spans="5:10" x14ac:dyDescent="0.25">
      <c r="E6559"/>
      <c r="F6559"/>
      <c r="G6559" s="12"/>
      <c r="H6559" s="12"/>
      <c r="I6559" s="12"/>
      <c r="J6559" s="12"/>
    </row>
    <row r="6560" spans="5:10" x14ac:dyDescent="0.25">
      <c r="E6560"/>
      <c r="F6560"/>
      <c r="G6560" s="12"/>
      <c r="H6560" s="12"/>
      <c r="I6560" s="12"/>
      <c r="J6560" s="12"/>
    </row>
    <row r="6561" spans="5:10" x14ac:dyDescent="0.25">
      <c r="E6561"/>
      <c r="F6561"/>
      <c r="G6561" s="12"/>
      <c r="H6561" s="12"/>
      <c r="I6561" s="12"/>
      <c r="J6561" s="12"/>
    </row>
    <row r="6562" spans="5:10" x14ac:dyDescent="0.25">
      <c r="E6562"/>
      <c r="F6562"/>
      <c r="G6562" s="12"/>
      <c r="H6562" s="12"/>
      <c r="I6562" s="12"/>
      <c r="J6562" s="12"/>
    </row>
    <row r="6563" spans="5:10" x14ac:dyDescent="0.25">
      <c r="E6563"/>
      <c r="F6563"/>
      <c r="G6563" s="12"/>
      <c r="H6563" s="12"/>
      <c r="I6563" s="12"/>
      <c r="J6563" s="12"/>
    </row>
    <row r="6564" spans="5:10" x14ac:dyDescent="0.25">
      <c r="E6564"/>
      <c r="F6564"/>
      <c r="G6564" s="12"/>
      <c r="H6564" s="12"/>
      <c r="I6564" s="12"/>
      <c r="J6564" s="12"/>
    </row>
    <row r="6565" spans="5:10" x14ac:dyDescent="0.25">
      <c r="E6565"/>
      <c r="F6565"/>
      <c r="G6565" s="12"/>
      <c r="H6565" s="12"/>
      <c r="I6565" s="12"/>
      <c r="J6565" s="12"/>
    </row>
    <row r="6566" spans="5:10" x14ac:dyDescent="0.25">
      <c r="E6566"/>
      <c r="F6566"/>
      <c r="G6566" s="12"/>
      <c r="H6566" s="12"/>
      <c r="I6566" s="12"/>
      <c r="J6566" s="12"/>
    </row>
    <row r="6567" spans="5:10" x14ac:dyDescent="0.25">
      <c r="E6567"/>
      <c r="F6567"/>
      <c r="G6567" s="12"/>
      <c r="H6567" s="12"/>
      <c r="I6567" s="12"/>
      <c r="J6567" s="12"/>
    </row>
    <row r="6568" spans="5:10" x14ac:dyDescent="0.25">
      <c r="E6568"/>
      <c r="F6568"/>
      <c r="G6568" s="12"/>
      <c r="H6568" s="12"/>
      <c r="I6568" s="12"/>
      <c r="J6568" s="12"/>
    </row>
    <row r="6569" spans="5:10" x14ac:dyDescent="0.25">
      <c r="E6569"/>
      <c r="F6569"/>
      <c r="G6569" s="12"/>
      <c r="H6569" s="12"/>
      <c r="I6569" s="12"/>
      <c r="J6569" s="12"/>
    </row>
    <row r="6570" spans="5:10" x14ac:dyDescent="0.25">
      <c r="E6570"/>
      <c r="F6570"/>
      <c r="G6570" s="12"/>
      <c r="H6570" s="12"/>
      <c r="I6570" s="12"/>
      <c r="J6570" s="12"/>
    </row>
    <row r="6571" spans="5:10" x14ac:dyDescent="0.25">
      <c r="E6571"/>
      <c r="F6571"/>
      <c r="G6571" s="12"/>
      <c r="H6571" s="12"/>
      <c r="I6571" s="12"/>
      <c r="J6571" s="12"/>
    </row>
    <row r="6572" spans="5:10" x14ac:dyDescent="0.25">
      <c r="E6572"/>
      <c r="F6572"/>
      <c r="G6572" s="12"/>
      <c r="H6572" s="12"/>
      <c r="I6572" s="12"/>
      <c r="J6572" s="12"/>
    </row>
    <row r="6573" spans="5:10" x14ac:dyDescent="0.25">
      <c r="E6573"/>
      <c r="F6573"/>
      <c r="G6573" s="12"/>
      <c r="H6573" s="12"/>
      <c r="I6573" s="12"/>
      <c r="J6573" s="12"/>
    </row>
    <row r="6574" spans="5:10" x14ac:dyDescent="0.25">
      <c r="E6574"/>
      <c r="F6574"/>
      <c r="G6574" s="12"/>
      <c r="H6574" s="12"/>
      <c r="I6574" s="12"/>
      <c r="J6574" s="12"/>
    </row>
    <row r="6575" spans="5:10" x14ac:dyDescent="0.25">
      <c r="E6575"/>
      <c r="F6575"/>
      <c r="G6575" s="12"/>
      <c r="H6575" s="12"/>
      <c r="I6575" s="12"/>
      <c r="J6575" s="12"/>
    </row>
    <row r="6576" spans="5:10" x14ac:dyDescent="0.25">
      <c r="E6576"/>
      <c r="F6576"/>
      <c r="G6576" s="12"/>
      <c r="H6576" s="12"/>
      <c r="I6576" s="12"/>
      <c r="J6576" s="12"/>
    </row>
    <row r="6577" spans="5:10" x14ac:dyDescent="0.25">
      <c r="E6577"/>
      <c r="F6577"/>
      <c r="G6577" s="12"/>
      <c r="H6577" s="12"/>
      <c r="I6577" s="12"/>
      <c r="J6577" s="12"/>
    </row>
    <row r="6578" spans="5:10" x14ac:dyDescent="0.25">
      <c r="E6578"/>
      <c r="F6578"/>
      <c r="G6578" s="12"/>
      <c r="H6578" s="12"/>
      <c r="I6578" s="12"/>
      <c r="J6578" s="12"/>
    </row>
    <row r="6579" spans="5:10" x14ac:dyDescent="0.25">
      <c r="E6579"/>
      <c r="F6579"/>
      <c r="G6579" s="12"/>
      <c r="H6579" s="12"/>
      <c r="I6579" s="12"/>
      <c r="J6579" s="12"/>
    </row>
    <row r="6580" spans="5:10" x14ac:dyDescent="0.25">
      <c r="E6580"/>
      <c r="F6580"/>
      <c r="G6580" s="12"/>
      <c r="H6580" s="12"/>
      <c r="I6580" s="12"/>
      <c r="J6580" s="12"/>
    </row>
    <row r="6581" spans="5:10" x14ac:dyDescent="0.25">
      <c r="E6581"/>
      <c r="F6581"/>
      <c r="G6581" s="12"/>
      <c r="H6581" s="12"/>
      <c r="I6581" s="12"/>
      <c r="J6581" s="12"/>
    </row>
    <row r="6582" spans="5:10" x14ac:dyDescent="0.25">
      <c r="E6582"/>
      <c r="F6582"/>
      <c r="G6582" s="12"/>
      <c r="H6582" s="12"/>
      <c r="I6582" s="12"/>
      <c r="J6582" s="12"/>
    </row>
    <row r="6583" spans="5:10" x14ac:dyDescent="0.25">
      <c r="E6583"/>
      <c r="F6583"/>
      <c r="G6583" s="12"/>
      <c r="H6583" s="12"/>
      <c r="I6583" s="12"/>
      <c r="J6583" s="12"/>
    </row>
    <row r="6584" spans="5:10" x14ac:dyDescent="0.25">
      <c r="E6584"/>
      <c r="F6584"/>
      <c r="G6584" s="12"/>
      <c r="H6584" s="12"/>
      <c r="I6584" s="12"/>
      <c r="J6584" s="12"/>
    </row>
    <row r="6585" spans="5:10" x14ac:dyDescent="0.25">
      <c r="E6585"/>
      <c r="F6585"/>
      <c r="G6585" s="12"/>
      <c r="H6585" s="12"/>
      <c r="I6585" s="12"/>
      <c r="J6585" s="12"/>
    </row>
    <row r="6586" spans="5:10" x14ac:dyDescent="0.25">
      <c r="E6586"/>
      <c r="F6586"/>
      <c r="G6586" s="12"/>
      <c r="H6586" s="12"/>
      <c r="I6586" s="12"/>
      <c r="J6586" s="12"/>
    </row>
    <row r="6587" spans="5:10" x14ac:dyDescent="0.25">
      <c r="E6587"/>
      <c r="F6587"/>
      <c r="G6587" s="12"/>
      <c r="H6587" s="12"/>
      <c r="I6587" s="12"/>
      <c r="J6587" s="12"/>
    </row>
    <row r="6588" spans="5:10" x14ac:dyDescent="0.25">
      <c r="E6588"/>
      <c r="F6588"/>
      <c r="G6588" s="12"/>
      <c r="H6588" s="12"/>
      <c r="I6588" s="12"/>
      <c r="J6588" s="12"/>
    </row>
    <row r="6589" spans="5:10" x14ac:dyDescent="0.25">
      <c r="E6589"/>
      <c r="F6589"/>
      <c r="G6589" s="12"/>
      <c r="H6589" s="12"/>
      <c r="I6589" s="12"/>
      <c r="J6589" s="12"/>
    </row>
    <row r="6590" spans="5:10" x14ac:dyDescent="0.25">
      <c r="E6590"/>
      <c r="F6590"/>
      <c r="G6590" s="12"/>
      <c r="H6590" s="12"/>
      <c r="I6590" s="12"/>
      <c r="J6590" s="12"/>
    </row>
    <row r="6591" spans="5:10" x14ac:dyDescent="0.25">
      <c r="E6591"/>
      <c r="F6591"/>
      <c r="G6591" s="12"/>
      <c r="H6591" s="12"/>
      <c r="I6591" s="12"/>
      <c r="J6591" s="12"/>
    </row>
    <row r="6592" spans="5:10" x14ac:dyDescent="0.25">
      <c r="E6592"/>
      <c r="F6592"/>
      <c r="G6592" s="12"/>
      <c r="H6592" s="12"/>
      <c r="I6592" s="12"/>
      <c r="J6592" s="12"/>
    </row>
    <row r="6593" spans="5:10" x14ac:dyDescent="0.25">
      <c r="E6593"/>
      <c r="F6593"/>
      <c r="G6593" s="12"/>
      <c r="H6593" s="12"/>
      <c r="I6593" s="12"/>
      <c r="J6593" s="12"/>
    </row>
    <row r="6594" spans="5:10" x14ac:dyDescent="0.25">
      <c r="E6594"/>
      <c r="F6594"/>
      <c r="G6594" s="12"/>
      <c r="H6594" s="12"/>
      <c r="I6594" s="12"/>
      <c r="J6594" s="12"/>
    </row>
    <row r="6595" spans="5:10" x14ac:dyDescent="0.25">
      <c r="E6595"/>
      <c r="F6595"/>
      <c r="G6595" s="12"/>
      <c r="H6595" s="12"/>
      <c r="I6595" s="12"/>
      <c r="J6595" s="12"/>
    </row>
    <row r="6596" spans="5:10" x14ac:dyDescent="0.25">
      <c r="E6596"/>
      <c r="F6596"/>
      <c r="G6596" s="12"/>
      <c r="H6596" s="12"/>
      <c r="I6596" s="12"/>
      <c r="J6596" s="12"/>
    </row>
    <row r="6597" spans="5:10" x14ac:dyDescent="0.25">
      <c r="E6597"/>
      <c r="F6597"/>
      <c r="G6597" s="12"/>
      <c r="H6597" s="12"/>
      <c r="I6597" s="12"/>
      <c r="J6597" s="12"/>
    </row>
    <row r="6598" spans="5:10" x14ac:dyDescent="0.25">
      <c r="E6598"/>
      <c r="F6598"/>
      <c r="G6598" s="12"/>
      <c r="H6598" s="12"/>
      <c r="I6598" s="12"/>
      <c r="J6598" s="12"/>
    </row>
    <row r="6599" spans="5:10" x14ac:dyDescent="0.25">
      <c r="E6599"/>
      <c r="F6599"/>
      <c r="G6599" s="12"/>
      <c r="H6599" s="12"/>
      <c r="I6599" s="12"/>
      <c r="J6599" s="12"/>
    </row>
    <row r="6600" spans="5:10" x14ac:dyDescent="0.25">
      <c r="E6600"/>
      <c r="F6600"/>
      <c r="G6600" s="12"/>
      <c r="H6600" s="12"/>
      <c r="I6600" s="12"/>
      <c r="J6600" s="12"/>
    </row>
    <row r="6601" spans="5:10" x14ac:dyDescent="0.25">
      <c r="E6601"/>
      <c r="F6601"/>
      <c r="G6601" s="12"/>
      <c r="H6601" s="12"/>
      <c r="I6601" s="12"/>
      <c r="J6601" s="12"/>
    </row>
    <row r="6602" spans="5:10" x14ac:dyDescent="0.25">
      <c r="E6602"/>
      <c r="F6602"/>
      <c r="G6602" s="12"/>
      <c r="H6602" s="12"/>
      <c r="I6602" s="12"/>
      <c r="J6602" s="12"/>
    </row>
    <row r="6603" spans="5:10" x14ac:dyDescent="0.25">
      <c r="E6603"/>
      <c r="F6603"/>
      <c r="G6603" s="12"/>
      <c r="H6603" s="12"/>
      <c r="I6603" s="12"/>
      <c r="J6603" s="12"/>
    </row>
    <row r="6604" spans="5:10" x14ac:dyDescent="0.25">
      <c r="E6604"/>
      <c r="F6604"/>
      <c r="G6604" s="12"/>
      <c r="H6604" s="12"/>
      <c r="I6604" s="12"/>
      <c r="J6604" s="12"/>
    </row>
    <row r="6605" spans="5:10" x14ac:dyDescent="0.25">
      <c r="E6605"/>
      <c r="F6605"/>
      <c r="G6605" s="12"/>
      <c r="H6605" s="12"/>
      <c r="I6605" s="12"/>
      <c r="J6605" s="12"/>
    </row>
    <row r="6606" spans="5:10" x14ac:dyDescent="0.25">
      <c r="E6606"/>
      <c r="F6606"/>
      <c r="G6606" s="12"/>
      <c r="H6606" s="12"/>
      <c r="I6606" s="12"/>
      <c r="J6606" s="12"/>
    </row>
    <row r="6607" spans="5:10" x14ac:dyDescent="0.25">
      <c r="E6607"/>
      <c r="F6607"/>
      <c r="G6607" s="12"/>
      <c r="H6607" s="12"/>
      <c r="I6607" s="12"/>
      <c r="J6607" s="12"/>
    </row>
    <row r="6608" spans="5:10" x14ac:dyDescent="0.25">
      <c r="E6608"/>
      <c r="F6608"/>
      <c r="G6608" s="12"/>
      <c r="H6608" s="12"/>
      <c r="I6608" s="12"/>
      <c r="J6608" s="12"/>
    </row>
    <row r="6609" spans="5:10" x14ac:dyDescent="0.25">
      <c r="E6609"/>
      <c r="F6609"/>
      <c r="G6609" s="12"/>
      <c r="H6609" s="12"/>
      <c r="I6609" s="12"/>
      <c r="J6609" s="12"/>
    </row>
    <row r="6610" spans="5:10" x14ac:dyDescent="0.25">
      <c r="E6610"/>
      <c r="F6610"/>
      <c r="G6610" s="12"/>
      <c r="H6610" s="12"/>
      <c r="I6610" s="12"/>
      <c r="J6610" s="12"/>
    </row>
    <row r="6611" spans="5:10" x14ac:dyDescent="0.25">
      <c r="E6611"/>
      <c r="F6611"/>
      <c r="G6611" s="12"/>
      <c r="H6611" s="12"/>
      <c r="I6611" s="12"/>
      <c r="J6611" s="12"/>
    </row>
    <row r="6612" spans="5:10" x14ac:dyDescent="0.25">
      <c r="E6612"/>
      <c r="F6612"/>
      <c r="G6612" s="12"/>
      <c r="H6612" s="12"/>
      <c r="I6612" s="12"/>
      <c r="J6612" s="12"/>
    </row>
    <row r="6613" spans="5:10" x14ac:dyDescent="0.25">
      <c r="E6613"/>
      <c r="F6613"/>
      <c r="G6613" s="12"/>
      <c r="H6613" s="12"/>
      <c r="I6613" s="12"/>
      <c r="J6613" s="12"/>
    </row>
    <row r="6614" spans="5:10" x14ac:dyDescent="0.25">
      <c r="E6614"/>
      <c r="F6614"/>
      <c r="G6614" s="12"/>
      <c r="H6614" s="12"/>
      <c r="I6614" s="12"/>
      <c r="J6614" s="12"/>
    </row>
    <row r="6615" spans="5:10" x14ac:dyDescent="0.25">
      <c r="E6615"/>
      <c r="F6615"/>
      <c r="G6615" s="12"/>
      <c r="H6615" s="12"/>
      <c r="I6615" s="12"/>
      <c r="J6615" s="12"/>
    </row>
    <row r="6616" spans="5:10" x14ac:dyDescent="0.25">
      <c r="E6616"/>
      <c r="F6616"/>
      <c r="G6616" s="12"/>
      <c r="H6616" s="12"/>
      <c r="I6616" s="12"/>
      <c r="J6616" s="12"/>
    </row>
    <row r="6617" spans="5:10" x14ac:dyDescent="0.25">
      <c r="E6617"/>
      <c r="F6617"/>
      <c r="G6617" s="12"/>
      <c r="H6617" s="12"/>
      <c r="I6617" s="12"/>
      <c r="J6617" s="12"/>
    </row>
    <row r="6618" spans="5:10" x14ac:dyDescent="0.25">
      <c r="E6618"/>
      <c r="F6618"/>
      <c r="G6618" s="12"/>
      <c r="H6618" s="12"/>
      <c r="I6618" s="12"/>
      <c r="J6618" s="12"/>
    </row>
    <row r="6619" spans="5:10" x14ac:dyDescent="0.25">
      <c r="E6619"/>
      <c r="F6619"/>
      <c r="G6619" s="12"/>
      <c r="H6619" s="12"/>
      <c r="I6619" s="12"/>
      <c r="J6619" s="12"/>
    </row>
    <row r="6620" spans="5:10" x14ac:dyDescent="0.25">
      <c r="E6620"/>
      <c r="F6620"/>
      <c r="G6620" s="12"/>
      <c r="H6620" s="12"/>
      <c r="I6620" s="12"/>
      <c r="J6620" s="12"/>
    </row>
    <row r="6621" spans="5:10" x14ac:dyDescent="0.25">
      <c r="E6621"/>
      <c r="F6621"/>
      <c r="G6621" s="12"/>
      <c r="H6621" s="12"/>
      <c r="I6621" s="12"/>
      <c r="J6621" s="12"/>
    </row>
    <row r="6622" spans="5:10" x14ac:dyDescent="0.25">
      <c r="E6622"/>
      <c r="F6622"/>
      <c r="G6622" s="12"/>
      <c r="H6622" s="12"/>
      <c r="I6622" s="12"/>
      <c r="J6622" s="12"/>
    </row>
    <row r="6623" spans="5:10" x14ac:dyDescent="0.25">
      <c r="E6623"/>
      <c r="F6623"/>
      <c r="G6623" s="12"/>
      <c r="H6623" s="12"/>
      <c r="I6623" s="12"/>
      <c r="J6623" s="12"/>
    </row>
    <row r="6624" spans="5:10" x14ac:dyDescent="0.25">
      <c r="E6624"/>
      <c r="F6624"/>
      <c r="G6624" s="12"/>
      <c r="H6624" s="12"/>
      <c r="I6624" s="12"/>
      <c r="J6624" s="12"/>
    </row>
    <row r="6625" spans="5:10" x14ac:dyDescent="0.25">
      <c r="E6625"/>
      <c r="F6625"/>
      <c r="G6625" s="12"/>
      <c r="H6625" s="12"/>
      <c r="I6625" s="12"/>
      <c r="J6625" s="12"/>
    </row>
    <row r="6626" spans="5:10" x14ac:dyDescent="0.25">
      <c r="E6626"/>
      <c r="F6626"/>
      <c r="G6626" s="12"/>
      <c r="H6626" s="12"/>
      <c r="I6626" s="12"/>
      <c r="J6626" s="12"/>
    </row>
    <row r="6627" spans="5:10" x14ac:dyDescent="0.25">
      <c r="E6627"/>
      <c r="F6627"/>
      <c r="G6627" s="12"/>
      <c r="H6627" s="12"/>
      <c r="I6627" s="12"/>
      <c r="J6627" s="12"/>
    </row>
    <row r="6628" spans="5:10" x14ac:dyDescent="0.25">
      <c r="E6628"/>
      <c r="F6628"/>
      <c r="G6628" s="12"/>
      <c r="H6628" s="12"/>
      <c r="I6628" s="12"/>
      <c r="J6628" s="12"/>
    </row>
    <row r="6629" spans="5:10" x14ac:dyDescent="0.25">
      <c r="E6629"/>
      <c r="F6629"/>
      <c r="G6629" s="12"/>
      <c r="H6629" s="12"/>
      <c r="I6629" s="12"/>
      <c r="J6629" s="12"/>
    </row>
    <row r="6630" spans="5:10" x14ac:dyDescent="0.25">
      <c r="E6630"/>
      <c r="F6630"/>
      <c r="G6630" s="12"/>
      <c r="H6630" s="12"/>
      <c r="I6630" s="12"/>
      <c r="J6630" s="12"/>
    </row>
    <row r="6631" spans="5:10" x14ac:dyDescent="0.25">
      <c r="E6631"/>
      <c r="F6631"/>
      <c r="G6631" s="12"/>
      <c r="H6631" s="12"/>
      <c r="I6631" s="12"/>
      <c r="J6631" s="12"/>
    </row>
    <row r="6632" spans="5:10" x14ac:dyDescent="0.25">
      <c r="E6632"/>
      <c r="F6632"/>
      <c r="G6632" s="12"/>
      <c r="H6632" s="12"/>
      <c r="I6632" s="12"/>
      <c r="J6632" s="12"/>
    </row>
    <row r="6633" spans="5:10" x14ac:dyDescent="0.25">
      <c r="E6633"/>
      <c r="F6633"/>
      <c r="G6633" s="12"/>
      <c r="H6633" s="12"/>
      <c r="I6633" s="12"/>
      <c r="J6633" s="12"/>
    </row>
    <row r="6634" spans="5:10" x14ac:dyDescent="0.25">
      <c r="E6634"/>
      <c r="F6634"/>
      <c r="G6634" s="12"/>
      <c r="H6634" s="12"/>
      <c r="I6634" s="12"/>
      <c r="J6634" s="12"/>
    </row>
    <row r="6635" spans="5:10" x14ac:dyDescent="0.25">
      <c r="E6635"/>
      <c r="F6635"/>
      <c r="G6635" s="12"/>
      <c r="H6635" s="12"/>
      <c r="I6635" s="12"/>
      <c r="J6635" s="12"/>
    </row>
    <row r="6636" spans="5:10" x14ac:dyDescent="0.25">
      <c r="E6636"/>
      <c r="F6636"/>
      <c r="G6636" s="12"/>
      <c r="H6636" s="12"/>
      <c r="I6636" s="12"/>
      <c r="J6636" s="12"/>
    </row>
    <row r="6637" spans="5:10" x14ac:dyDescent="0.25">
      <c r="E6637"/>
      <c r="F6637"/>
      <c r="G6637" s="12"/>
      <c r="H6637" s="12"/>
      <c r="I6637" s="12"/>
      <c r="J6637" s="12"/>
    </row>
    <row r="6638" spans="5:10" x14ac:dyDescent="0.25">
      <c r="E6638"/>
      <c r="F6638"/>
      <c r="G6638" s="12"/>
      <c r="H6638" s="12"/>
      <c r="I6638" s="12"/>
      <c r="J6638" s="12"/>
    </row>
    <row r="6639" spans="5:10" x14ac:dyDescent="0.25">
      <c r="E6639"/>
      <c r="F6639"/>
      <c r="G6639" s="12"/>
      <c r="H6639" s="12"/>
      <c r="I6639" s="12"/>
      <c r="J6639" s="12"/>
    </row>
    <row r="6640" spans="5:10" x14ac:dyDescent="0.25">
      <c r="E6640"/>
      <c r="F6640"/>
      <c r="G6640" s="12"/>
      <c r="H6640" s="12"/>
      <c r="I6640" s="12"/>
      <c r="J6640" s="12"/>
    </row>
    <row r="6641" spans="5:10" x14ac:dyDescent="0.25">
      <c r="E6641"/>
      <c r="F6641"/>
      <c r="G6641" s="12"/>
      <c r="H6641" s="12"/>
      <c r="I6641" s="12"/>
      <c r="J6641" s="12"/>
    </row>
    <row r="6642" spans="5:10" x14ac:dyDescent="0.25">
      <c r="E6642"/>
      <c r="F6642"/>
      <c r="G6642" s="12"/>
      <c r="H6642" s="12"/>
      <c r="I6642" s="12"/>
      <c r="J6642" s="12"/>
    </row>
    <row r="6643" spans="5:10" x14ac:dyDescent="0.25">
      <c r="E6643"/>
      <c r="F6643"/>
      <c r="G6643" s="12"/>
      <c r="H6643" s="12"/>
      <c r="I6643" s="12"/>
      <c r="J6643" s="12"/>
    </row>
    <row r="6644" spans="5:10" x14ac:dyDescent="0.25">
      <c r="E6644"/>
      <c r="F6644"/>
      <c r="G6644" s="12"/>
      <c r="H6644" s="12"/>
      <c r="I6644" s="12"/>
      <c r="J6644" s="12"/>
    </row>
    <row r="6645" spans="5:10" x14ac:dyDescent="0.25">
      <c r="E6645"/>
      <c r="F6645"/>
      <c r="G6645" s="12"/>
      <c r="H6645" s="12"/>
      <c r="I6645" s="12"/>
      <c r="J6645" s="12"/>
    </row>
    <row r="6646" spans="5:10" x14ac:dyDescent="0.25">
      <c r="E6646"/>
      <c r="F6646"/>
      <c r="G6646" s="12"/>
      <c r="H6646" s="12"/>
      <c r="I6646" s="12"/>
      <c r="J6646" s="12"/>
    </row>
    <row r="6647" spans="5:10" x14ac:dyDescent="0.25">
      <c r="E6647"/>
      <c r="F6647"/>
      <c r="G6647" s="12"/>
      <c r="H6647" s="12"/>
      <c r="I6647" s="12"/>
      <c r="J6647" s="12"/>
    </row>
    <row r="6648" spans="5:10" x14ac:dyDescent="0.25">
      <c r="E6648"/>
      <c r="F6648"/>
      <c r="G6648" s="12"/>
      <c r="H6648" s="12"/>
      <c r="I6648" s="12"/>
      <c r="J6648" s="12"/>
    </row>
    <row r="6649" spans="5:10" x14ac:dyDescent="0.25">
      <c r="E6649"/>
      <c r="F6649"/>
      <c r="G6649" s="12"/>
      <c r="H6649" s="12"/>
      <c r="I6649" s="12"/>
      <c r="J6649" s="12"/>
    </row>
    <row r="6650" spans="5:10" x14ac:dyDescent="0.25">
      <c r="E6650"/>
      <c r="F6650"/>
      <c r="G6650" s="12"/>
      <c r="H6650" s="12"/>
      <c r="I6650" s="12"/>
      <c r="J6650" s="12"/>
    </row>
    <row r="6651" spans="5:10" x14ac:dyDescent="0.25">
      <c r="E6651"/>
      <c r="F6651"/>
      <c r="G6651" s="12"/>
      <c r="H6651" s="12"/>
      <c r="I6651" s="12"/>
      <c r="J6651" s="12"/>
    </row>
    <row r="6652" spans="5:10" x14ac:dyDescent="0.25">
      <c r="E6652"/>
      <c r="F6652"/>
      <c r="G6652" s="12"/>
      <c r="H6652" s="12"/>
      <c r="I6652" s="12"/>
      <c r="J6652" s="12"/>
    </row>
    <row r="6653" spans="5:10" x14ac:dyDescent="0.25">
      <c r="E6653"/>
      <c r="F6653"/>
      <c r="G6653" s="12"/>
      <c r="H6653" s="12"/>
      <c r="I6653" s="12"/>
      <c r="J6653" s="12"/>
    </row>
    <row r="6654" spans="5:10" x14ac:dyDescent="0.25">
      <c r="E6654"/>
      <c r="F6654"/>
      <c r="G6654" s="12"/>
      <c r="H6654" s="12"/>
      <c r="I6654" s="12"/>
      <c r="J6654" s="12"/>
    </row>
    <row r="6655" spans="5:10" x14ac:dyDescent="0.25">
      <c r="E6655"/>
      <c r="F6655"/>
      <c r="G6655" s="12"/>
      <c r="H6655" s="12"/>
      <c r="I6655" s="12"/>
      <c r="J6655" s="12"/>
    </row>
    <row r="6656" spans="5:10" x14ac:dyDescent="0.25">
      <c r="E6656"/>
      <c r="F6656"/>
      <c r="G6656" s="12"/>
      <c r="H6656" s="12"/>
      <c r="I6656" s="12"/>
      <c r="J6656" s="12"/>
    </row>
    <row r="6657" spans="5:10" x14ac:dyDescent="0.25">
      <c r="E6657"/>
      <c r="F6657"/>
      <c r="G6657" s="12"/>
      <c r="H6657" s="12"/>
      <c r="I6657" s="12"/>
      <c r="J6657" s="12"/>
    </row>
    <row r="6658" spans="5:10" x14ac:dyDescent="0.25">
      <c r="E6658"/>
      <c r="F6658"/>
      <c r="G6658" s="12"/>
      <c r="H6658" s="12"/>
      <c r="I6658" s="12"/>
      <c r="J6658" s="12"/>
    </row>
    <row r="6659" spans="5:10" x14ac:dyDescent="0.25">
      <c r="E6659"/>
      <c r="F6659"/>
      <c r="G6659" s="12"/>
      <c r="H6659" s="12"/>
      <c r="I6659" s="12"/>
      <c r="J6659" s="12"/>
    </row>
    <row r="6660" spans="5:10" x14ac:dyDescent="0.25">
      <c r="E6660"/>
      <c r="F6660"/>
      <c r="G6660" s="12"/>
      <c r="H6660" s="12"/>
      <c r="I6660" s="12"/>
      <c r="J6660" s="12"/>
    </row>
    <row r="6661" spans="5:10" x14ac:dyDescent="0.25">
      <c r="E6661"/>
      <c r="F6661"/>
      <c r="G6661" s="12"/>
      <c r="H6661" s="12"/>
      <c r="I6661" s="12"/>
      <c r="J6661" s="12"/>
    </row>
    <row r="6662" spans="5:10" x14ac:dyDescent="0.25">
      <c r="E6662"/>
      <c r="F6662"/>
      <c r="G6662" s="12"/>
      <c r="H6662" s="12"/>
      <c r="I6662" s="12"/>
      <c r="J6662" s="12"/>
    </row>
    <row r="6663" spans="5:10" x14ac:dyDescent="0.25">
      <c r="E6663"/>
      <c r="F6663"/>
      <c r="G6663" s="12"/>
      <c r="H6663" s="12"/>
      <c r="I6663" s="12"/>
      <c r="J6663" s="12"/>
    </row>
    <row r="6664" spans="5:10" x14ac:dyDescent="0.25">
      <c r="E6664"/>
      <c r="F6664"/>
      <c r="G6664" s="12"/>
      <c r="H6664" s="12"/>
      <c r="I6664" s="12"/>
      <c r="J6664" s="12"/>
    </row>
    <row r="6665" spans="5:10" x14ac:dyDescent="0.25">
      <c r="E6665"/>
      <c r="F6665"/>
      <c r="G6665" s="12"/>
      <c r="H6665" s="12"/>
      <c r="I6665" s="12"/>
      <c r="J6665" s="12"/>
    </row>
    <row r="6666" spans="5:10" x14ac:dyDescent="0.25">
      <c r="E6666"/>
      <c r="F6666"/>
      <c r="G6666" s="12"/>
      <c r="H6666" s="12"/>
      <c r="I6666" s="12"/>
      <c r="J6666" s="12"/>
    </row>
    <row r="6667" spans="5:10" x14ac:dyDescent="0.25">
      <c r="E6667"/>
      <c r="F6667"/>
      <c r="G6667" s="12"/>
      <c r="H6667" s="12"/>
      <c r="I6667" s="12"/>
      <c r="J6667" s="12"/>
    </row>
    <row r="6668" spans="5:10" x14ac:dyDescent="0.25">
      <c r="E6668"/>
      <c r="F6668"/>
      <c r="G6668" s="12"/>
      <c r="H6668" s="12"/>
      <c r="I6668" s="12"/>
      <c r="J6668" s="12"/>
    </row>
    <row r="6669" spans="5:10" x14ac:dyDescent="0.25">
      <c r="E6669"/>
      <c r="F6669"/>
      <c r="G6669" s="12"/>
      <c r="H6669" s="12"/>
      <c r="I6669" s="12"/>
      <c r="J6669" s="12"/>
    </row>
    <row r="6670" spans="5:10" x14ac:dyDescent="0.25">
      <c r="E6670"/>
      <c r="F6670"/>
      <c r="G6670" s="12"/>
      <c r="H6670" s="12"/>
      <c r="I6670" s="12"/>
      <c r="J6670" s="12"/>
    </row>
    <row r="6671" spans="5:10" x14ac:dyDescent="0.25">
      <c r="E6671"/>
      <c r="F6671"/>
      <c r="G6671" s="12"/>
      <c r="H6671" s="12"/>
      <c r="I6671" s="12"/>
      <c r="J6671" s="12"/>
    </row>
    <row r="6672" spans="5:10" x14ac:dyDescent="0.25">
      <c r="E6672"/>
      <c r="F6672"/>
      <c r="G6672" s="12"/>
      <c r="H6672" s="12"/>
      <c r="I6672" s="12"/>
      <c r="J6672" s="12"/>
    </row>
    <row r="6673" spans="5:10" x14ac:dyDescent="0.25">
      <c r="E6673"/>
      <c r="F6673"/>
      <c r="G6673" s="12"/>
      <c r="H6673" s="12"/>
      <c r="I6673" s="12"/>
      <c r="J6673" s="12"/>
    </row>
    <row r="6674" spans="5:10" x14ac:dyDescent="0.25">
      <c r="E6674"/>
      <c r="F6674"/>
      <c r="G6674" s="12"/>
      <c r="H6674" s="12"/>
      <c r="I6674" s="12"/>
      <c r="J6674" s="12"/>
    </row>
    <row r="6675" spans="5:10" x14ac:dyDescent="0.25">
      <c r="E6675"/>
      <c r="F6675"/>
      <c r="G6675" s="12"/>
      <c r="H6675" s="12"/>
      <c r="I6675" s="12"/>
      <c r="J6675" s="12"/>
    </row>
    <row r="6676" spans="5:10" x14ac:dyDescent="0.25">
      <c r="E6676"/>
      <c r="F6676"/>
      <c r="G6676" s="12"/>
      <c r="H6676" s="12"/>
      <c r="I6676" s="12"/>
      <c r="J6676" s="12"/>
    </row>
    <row r="6677" spans="5:10" x14ac:dyDescent="0.25">
      <c r="E6677"/>
      <c r="F6677"/>
      <c r="G6677" s="12"/>
      <c r="H6677" s="12"/>
      <c r="I6677" s="12"/>
      <c r="J6677" s="12"/>
    </row>
    <row r="6678" spans="5:10" x14ac:dyDescent="0.25">
      <c r="E6678"/>
      <c r="F6678"/>
      <c r="G6678" s="12"/>
      <c r="H6678" s="12"/>
      <c r="I6678" s="12"/>
      <c r="J6678" s="12"/>
    </row>
    <row r="6679" spans="5:10" x14ac:dyDescent="0.25">
      <c r="E6679"/>
      <c r="F6679"/>
      <c r="G6679" s="12"/>
      <c r="H6679" s="12"/>
      <c r="I6679" s="12"/>
      <c r="J6679" s="12"/>
    </row>
    <row r="6680" spans="5:10" x14ac:dyDescent="0.25">
      <c r="E6680"/>
      <c r="F6680"/>
      <c r="G6680" s="12"/>
      <c r="H6680" s="12"/>
      <c r="I6680" s="12"/>
      <c r="J6680" s="12"/>
    </row>
    <row r="6681" spans="5:10" x14ac:dyDescent="0.25">
      <c r="E6681"/>
      <c r="F6681"/>
      <c r="G6681" s="12"/>
      <c r="H6681" s="12"/>
      <c r="I6681" s="12"/>
      <c r="J6681" s="12"/>
    </row>
    <row r="6682" spans="5:10" x14ac:dyDescent="0.25">
      <c r="E6682"/>
      <c r="F6682"/>
      <c r="G6682" s="12"/>
      <c r="H6682" s="12"/>
      <c r="I6682" s="12"/>
      <c r="J6682" s="12"/>
    </row>
    <row r="6683" spans="5:10" x14ac:dyDescent="0.25">
      <c r="E6683"/>
      <c r="F6683"/>
      <c r="G6683" s="12"/>
      <c r="H6683" s="12"/>
      <c r="I6683" s="12"/>
      <c r="J6683" s="12"/>
    </row>
    <row r="6684" spans="5:10" x14ac:dyDescent="0.25">
      <c r="E6684"/>
      <c r="F6684"/>
      <c r="G6684" s="12"/>
      <c r="H6684" s="12"/>
      <c r="I6684" s="12"/>
      <c r="J6684" s="12"/>
    </row>
    <row r="6685" spans="5:10" x14ac:dyDescent="0.25">
      <c r="E6685"/>
      <c r="F6685"/>
      <c r="G6685" s="12"/>
      <c r="H6685" s="12"/>
      <c r="I6685" s="12"/>
      <c r="J6685" s="12"/>
    </row>
    <row r="6686" spans="5:10" x14ac:dyDescent="0.25">
      <c r="E6686"/>
      <c r="F6686"/>
      <c r="G6686" s="12"/>
      <c r="H6686" s="12"/>
      <c r="I6686" s="12"/>
      <c r="J6686" s="12"/>
    </row>
    <row r="6687" spans="5:10" x14ac:dyDescent="0.25">
      <c r="E6687"/>
      <c r="F6687"/>
      <c r="G6687" s="12"/>
      <c r="H6687" s="12"/>
      <c r="I6687" s="12"/>
      <c r="J6687" s="12"/>
    </row>
    <row r="6688" spans="5:10" x14ac:dyDescent="0.25">
      <c r="E6688"/>
      <c r="F6688"/>
      <c r="G6688" s="12"/>
      <c r="H6688" s="12"/>
      <c r="I6688" s="12"/>
      <c r="J6688" s="12"/>
    </row>
    <row r="6689" spans="5:10" x14ac:dyDescent="0.25">
      <c r="E6689"/>
      <c r="F6689"/>
      <c r="G6689" s="12"/>
      <c r="H6689" s="12"/>
      <c r="I6689" s="12"/>
      <c r="J6689" s="12"/>
    </row>
    <row r="6690" spans="5:10" x14ac:dyDescent="0.25">
      <c r="E6690"/>
      <c r="F6690"/>
      <c r="G6690" s="12"/>
      <c r="H6690" s="12"/>
      <c r="I6690" s="12"/>
      <c r="J6690" s="12"/>
    </row>
    <row r="6691" spans="5:10" x14ac:dyDescent="0.25">
      <c r="E6691"/>
      <c r="F6691"/>
      <c r="G6691" s="12"/>
      <c r="H6691" s="12"/>
      <c r="I6691" s="12"/>
      <c r="J6691" s="12"/>
    </row>
    <row r="6692" spans="5:10" x14ac:dyDescent="0.25">
      <c r="E6692"/>
      <c r="F6692"/>
      <c r="G6692" s="12"/>
      <c r="H6692" s="12"/>
      <c r="I6692" s="12"/>
      <c r="J6692" s="12"/>
    </row>
    <row r="6693" spans="5:10" x14ac:dyDescent="0.25">
      <c r="E6693"/>
      <c r="F6693"/>
      <c r="G6693" s="12"/>
      <c r="H6693" s="12"/>
      <c r="I6693" s="12"/>
      <c r="J6693" s="12"/>
    </row>
    <row r="6694" spans="5:10" x14ac:dyDescent="0.25">
      <c r="E6694"/>
      <c r="F6694"/>
      <c r="G6694" s="12"/>
      <c r="H6694" s="12"/>
      <c r="I6694" s="12"/>
      <c r="J6694" s="12"/>
    </row>
    <row r="6695" spans="5:10" x14ac:dyDescent="0.25">
      <c r="E6695"/>
      <c r="F6695"/>
      <c r="G6695" s="12"/>
      <c r="H6695" s="12"/>
      <c r="I6695" s="12"/>
      <c r="J6695" s="12"/>
    </row>
    <row r="6696" spans="5:10" x14ac:dyDescent="0.25">
      <c r="E6696"/>
      <c r="F6696"/>
      <c r="G6696" s="12"/>
      <c r="H6696" s="12"/>
      <c r="I6696" s="12"/>
      <c r="J6696" s="12"/>
    </row>
    <row r="6697" spans="5:10" x14ac:dyDescent="0.25">
      <c r="E6697"/>
      <c r="F6697"/>
      <c r="G6697" s="12"/>
      <c r="H6697" s="12"/>
      <c r="I6697" s="12"/>
      <c r="J6697" s="12"/>
    </row>
    <row r="6698" spans="5:10" x14ac:dyDescent="0.25">
      <c r="E6698"/>
      <c r="F6698"/>
      <c r="G6698" s="12"/>
      <c r="H6698" s="12"/>
      <c r="I6698" s="12"/>
      <c r="J6698" s="12"/>
    </row>
    <row r="6699" spans="5:10" x14ac:dyDescent="0.25">
      <c r="E6699"/>
      <c r="F6699"/>
      <c r="G6699" s="12"/>
      <c r="H6699" s="12"/>
      <c r="I6699" s="12"/>
      <c r="J6699" s="12"/>
    </row>
    <row r="6700" spans="5:10" x14ac:dyDescent="0.25">
      <c r="E6700"/>
      <c r="F6700"/>
      <c r="G6700" s="12"/>
      <c r="H6700" s="12"/>
      <c r="I6700" s="12"/>
      <c r="J6700" s="12"/>
    </row>
    <row r="6701" spans="5:10" x14ac:dyDescent="0.25">
      <c r="E6701"/>
      <c r="F6701"/>
      <c r="G6701" s="12"/>
      <c r="H6701" s="12"/>
      <c r="I6701" s="12"/>
      <c r="J6701" s="12"/>
    </row>
    <row r="6702" spans="5:10" x14ac:dyDescent="0.25">
      <c r="E6702"/>
      <c r="F6702"/>
      <c r="G6702" s="12"/>
      <c r="H6702" s="12"/>
      <c r="I6702" s="12"/>
      <c r="J6702" s="12"/>
    </row>
    <row r="6703" spans="5:10" x14ac:dyDescent="0.25">
      <c r="E6703"/>
      <c r="F6703"/>
      <c r="G6703" s="12"/>
      <c r="H6703" s="12"/>
      <c r="I6703" s="12"/>
      <c r="J6703" s="12"/>
    </row>
    <row r="6704" spans="5:10" x14ac:dyDescent="0.25">
      <c r="E6704"/>
      <c r="F6704"/>
      <c r="G6704" s="12"/>
      <c r="H6704" s="12"/>
      <c r="I6704" s="12"/>
      <c r="J6704" s="12"/>
    </row>
    <row r="6705" spans="5:10" x14ac:dyDescent="0.25">
      <c r="E6705"/>
      <c r="F6705"/>
      <c r="G6705" s="12"/>
      <c r="H6705" s="12"/>
      <c r="I6705" s="12"/>
      <c r="J6705" s="12"/>
    </row>
    <row r="6706" spans="5:10" x14ac:dyDescent="0.25">
      <c r="E6706"/>
      <c r="F6706"/>
      <c r="G6706" s="12"/>
      <c r="H6706" s="12"/>
      <c r="I6706" s="12"/>
      <c r="J6706" s="12"/>
    </row>
    <row r="6707" spans="5:10" x14ac:dyDescent="0.25">
      <c r="E6707"/>
      <c r="F6707"/>
      <c r="G6707" s="12"/>
      <c r="H6707" s="12"/>
      <c r="I6707" s="12"/>
      <c r="J6707" s="12"/>
    </row>
    <row r="6708" spans="5:10" x14ac:dyDescent="0.25">
      <c r="E6708"/>
      <c r="F6708"/>
      <c r="G6708" s="12"/>
      <c r="H6708" s="12"/>
      <c r="I6708" s="12"/>
      <c r="J6708" s="12"/>
    </row>
    <row r="6709" spans="5:10" x14ac:dyDescent="0.25">
      <c r="E6709"/>
      <c r="F6709"/>
      <c r="G6709" s="12"/>
      <c r="H6709" s="12"/>
      <c r="I6709" s="12"/>
      <c r="J6709" s="12"/>
    </row>
    <row r="6710" spans="5:10" x14ac:dyDescent="0.25">
      <c r="E6710"/>
      <c r="F6710"/>
      <c r="G6710" s="12"/>
      <c r="H6710" s="12"/>
      <c r="I6710" s="12"/>
      <c r="J6710" s="12"/>
    </row>
    <row r="6711" spans="5:10" x14ac:dyDescent="0.25">
      <c r="E6711"/>
      <c r="F6711"/>
      <c r="G6711" s="12"/>
      <c r="H6711" s="12"/>
      <c r="I6711" s="12"/>
      <c r="J6711" s="12"/>
    </row>
    <row r="6712" spans="5:10" x14ac:dyDescent="0.25">
      <c r="E6712"/>
      <c r="F6712"/>
      <c r="G6712" s="12"/>
      <c r="H6712" s="12"/>
      <c r="I6712" s="12"/>
      <c r="J6712" s="12"/>
    </row>
    <row r="6713" spans="5:10" x14ac:dyDescent="0.25">
      <c r="E6713"/>
      <c r="F6713"/>
      <c r="G6713" s="12"/>
      <c r="H6713" s="12"/>
      <c r="I6713" s="12"/>
      <c r="J6713" s="12"/>
    </row>
    <row r="6714" spans="5:10" x14ac:dyDescent="0.25">
      <c r="E6714"/>
      <c r="F6714"/>
      <c r="G6714" s="12"/>
      <c r="H6714" s="12"/>
      <c r="I6714" s="12"/>
      <c r="J6714" s="12"/>
    </row>
    <row r="6715" spans="5:10" x14ac:dyDescent="0.25">
      <c r="E6715"/>
      <c r="F6715"/>
      <c r="G6715" s="12"/>
      <c r="H6715" s="12"/>
      <c r="I6715" s="12"/>
      <c r="J6715" s="12"/>
    </row>
    <row r="6716" spans="5:10" x14ac:dyDescent="0.25">
      <c r="E6716"/>
      <c r="F6716"/>
      <c r="G6716" s="12"/>
      <c r="H6716" s="12"/>
      <c r="I6716" s="12"/>
      <c r="J6716" s="12"/>
    </row>
    <row r="6717" spans="5:10" x14ac:dyDescent="0.25">
      <c r="E6717"/>
      <c r="F6717"/>
      <c r="G6717" s="12"/>
      <c r="H6717" s="12"/>
      <c r="I6717" s="12"/>
      <c r="J6717" s="12"/>
    </row>
    <row r="6718" spans="5:10" x14ac:dyDescent="0.25">
      <c r="E6718"/>
      <c r="F6718"/>
      <c r="G6718" s="12"/>
      <c r="H6718" s="12"/>
      <c r="I6718" s="12"/>
      <c r="J6718" s="12"/>
    </row>
    <row r="6719" spans="5:10" x14ac:dyDescent="0.25">
      <c r="E6719"/>
      <c r="F6719"/>
      <c r="G6719" s="12"/>
      <c r="H6719" s="12"/>
      <c r="I6719" s="12"/>
      <c r="J6719" s="12"/>
    </row>
    <row r="6720" spans="5:10" x14ac:dyDescent="0.25">
      <c r="E6720"/>
      <c r="F6720"/>
      <c r="G6720" s="12"/>
      <c r="H6720" s="12"/>
      <c r="I6720" s="12"/>
      <c r="J6720" s="12"/>
    </row>
    <row r="6721" spans="5:10" x14ac:dyDescent="0.25">
      <c r="E6721"/>
      <c r="F6721"/>
      <c r="G6721" s="12"/>
      <c r="H6721" s="12"/>
      <c r="I6721" s="12"/>
      <c r="J6721" s="12"/>
    </row>
    <row r="6722" spans="5:10" x14ac:dyDescent="0.25">
      <c r="E6722"/>
      <c r="F6722"/>
      <c r="G6722" s="12"/>
      <c r="H6722" s="12"/>
      <c r="I6722" s="12"/>
      <c r="J6722" s="12"/>
    </row>
    <row r="6723" spans="5:10" x14ac:dyDescent="0.25">
      <c r="E6723"/>
      <c r="F6723"/>
      <c r="G6723" s="12"/>
      <c r="H6723" s="12"/>
      <c r="I6723" s="12"/>
      <c r="J6723" s="12"/>
    </row>
    <row r="6724" spans="5:10" x14ac:dyDescent="0.25">
      <c r="E6724"/>
      <c r="F6724"/>
      <c r="G6724" s="12"/>
      <c r="H6724" s="12"/>
      <c r="I6724" s="12"/>
      <c r="J6724" s="12"/>
    </row>
    <row r="6725" spans="5:10" x14ac:dyDescent="0.25">
      <c r="E6725"/>
      <c r="F6725"/>
      <c r="G6725" s="12"/>
      <c r="H6725" s="12"/>
      <c r="I6725" s="12"/>
      <c r="J6725" s="12"/>
    </row>
    <row r="6726" spans="5:10" x14ac:dyDescent="0.25">
      <c r="E6726"/>
      <c r="F6726"/>
      <c r="G6726" s="12"/>
      <c r="H6726" s="12"/>
      <c r="I6726" s="12"/>
      <c r="J6726" s="12"/>
    </row>
    <row r="6727" spans="5:10" x14ac:dyDescent="0.25">
      <c r="E6727"/>
      <c r="F6727"/>
      <c r="G6727" s="12"/>
      <c r="H6727" s="12"/>
      <c r="I6727" s="12"/>
      <c r="J6727" s="12"/>
    </row>
    <row r="6728" spans="5:10" x14ac:dyDescent="0.25">
      <c r="E6728"/>
      <c r="F6728"/>
      <c r="G6728" s="12"/>
      <c r="H6728" s="12"/>
      <c r="I6728" s="12"/>
      <c r="J6728" s="12"/>
    </row>
    <row r="6729" spans="5:10" x14ac:dyDescent="0.25">
      <c r="E6729"/>
      <c r="F6729"/>
      <c r="G6729" s="12"/>
      <c r="H6729" s="12"/>
      <c r="I6729" s="12"/>
      <c r="J6729" s="12"/>
    </row>
    <row r="6730" spans="5:10" x14ac:dyDescent="0.25">
      <c r="E6730"/>
      <c r="F6730"/>
      <c r="G6730" s="12"/>
      <c r="H6730" s="12"/>
      <c r="I6730" s="12"/>
      <c r="J6730" s="12"/>
    </row>
    <row r="6731" spans="5:10" x14ac:dyDescent="0.25">
      <c r="E6731"/>
      <c r="F6731"/>
      <c r="G6731" s="12"/>
      <c r="H6731" s="12"/>
      <c r="I6731" s="12"/>
      <c r="J6731" s="12"/>
    </row>
    <row r="6732" spans="5:10" x14ac:dyDescent="0.25">
      <c r="E6732"/>
      <c r="F6732"/>
      <c r="G6732" s="12"/>
      <c r="H6732" s="12"/>
      <c r="I6732" s="12"/>
      <c r="J6732" s="12"/>
    </row>
    <row r="6733" spans="5:10" x14ac:dyDescent="0.25">
      <c r="E6733"/>
      <c r="F6733"/>
      <c r="G6733" s="12"/>
      <c r="H6733" s="12"/>
      <c r="I6733" s="12"/>
      <c r="J6733" s="12"/>
    </row>
    <row r="6734" spans="5:10" x14ac:dyDescent="0.25">
      <c r="E6734"/>
      <c r="F6734"/>
      <c r="G6734" s="12"/>
      <c r="H6734" s="12"/>
      <c r="I6734" s="12"/>
      <c r="J6734" s="12"/>
    </row>
    <row r="6735" spans="5:10" x14ac:dyDescent="0.25">
      <c r="E6735"/>
      <c r="F6735"/>
      <c r="G6735" s="12"/>
      <c r="H6735" s="12"/>
      <c r="I6735" s="12"/>
      <c r="J6735" s="12"/>
    </row>
    <row r="6736" spans="5:10" x14ac:dyDescent="0.25">
      <c r="E6736"/>
      <c r="F6736"/>
      <c r="G6736" s="12"/>
      <c r="H6736" s="12"/>
      <c r="I6736" s="12"/>
      <c r="J6736" s="12"/>
    </row>
    <row r="6737" spans="5:10" x14ac:dyDescent="0.25">
      <c r="E6737"/>
      <c r="F6737"/>
      <c r="G6737" s="12"/>
      <c r="H6737" s="12"/>
      <c r="I6737" s="12"/>
      <c r="J6737" s="12"/>
    </row>
    <row r="6738" spans="5:10" x14ac:dyDescent="0.25">
      <c r="E6738"/>
      <c r="F6738"/>
      <c r="G6738" s="12"/>
      <c r="H6738" s="12"/>
      <c r="I6738" s="12"/>
      <c r="J6738" s="12"/>
    </row>
    <row r="6739" spans="5:10" x14ac:dyDescent="0.25">
      <c r="E6739"/>
      <c r="F6739"/>
      <c r="G6739" s="12"/>
      <c r="H6739" s="12"/>
      <c r="I6739" s="12"/>
      <c r="J6739" s="12"/>
    </row>
    <row r="6740" spans="5:10" x14ac:dyDescent="0.25">
      <c r="E6740"/>
      <c r="F6740"/>
      <c r="G6740" s="12"/>
      <c r="H6740" s="12"/>
      <c r="I6740" s="12"/>
      <c r="J6740" s="12"/>
    </row>
    <row r="6741" spans="5:10" x14ac:dyDescent="0.25">
      <c r="E6741"/>
      <c r="F6741"/>
      <c r="G6741" s="12"/>
      <c r="H6741" s="12"/>
      <c r="I6741" s="12"/>
      <c r="J6741" s="12"/>
    </row>
    <row r="6742" spans="5:10" x14ac:dyDescent="0.25">
      <c r="E6742"/>
      <c r="F6742"/>
      <c r="G6742" s="12"/>
      <c r="H6742" s="12"/>
      <c r="I6742" s="12"/>
      <c r="J6742" s="12"/>
    </row>
    <row r="6743" spans="5:10" x14ac:dyDescent="0.25">
      <c r="E6743"/>
      <c r="F6743"/>
      <c r="G6743" s="12"/>
      <c r="H6743" s="12"/>
      <c r="I6743" s="12"/>
      <c r="J6743" s="12"/>
    </row>
    <row r="6744" spans="5:10" x14ac:dyDescent="0.25">
      <c r="E6744"/>
      <c r="F6744"/>
      <c r="G6744" s="12"/>
      <c r="H6744" s="12"/>
      <c r="I6744" s="12"/>
      <c r="J6744" s="12"/>
    </row>
    <row r="6745" spans="5:10" x14ac:dyDescent="0.25">
      <c r="E6745"/>
      <c r="F6745"/>
      <c r="G6745" s="12"/>
      <c r="H6745" s="12"/>
      <c r="I6745" s="12"/>
      <c r="J6745" s="12"/>
    </row>
    <row r="6746" spans="5:10" x14ac:dyDescent="0.25">
      <c r="E6746"/>
      <c r="F6746"/>
      <c r="G6746" s="12"/>
      <c r="H6746" s="12"/>
      <c r="I6746" s="12"/>
      <c r="J6746" s="12"/>
    </row>
    <row r="6747" spans="5:10" x14ac:dyDescent="0.25">
      <c r="E6747"/>
      <c r="F6747"/>
      <c r="G6747" s="12"/>
      <c r="H6747" s="12"/>
      <c r="I6747" s="12"/>
      <c r="J6747" s="12"/>
    </row>
    <row r="6748" spans="5:10" x14ac:dyDescent="0.25">
      <c r="E6748"/>
      <c r="F6748"/>
      <c r="G6748" s="12"/>
      <c r="H6748" s="12"/>
      <c r="I6748" s="12"/>
      <c r="J6748" s="12"/>
    </row>
    <row r="6749" spans="5:10" x14ac:dyDescent="0.25">
      <c r="E6749"/>
      <c r="F6749"/>
      <c r="G6749" s="12"/>
      <c r="H6749" s="12"/>
      <c r="I6749" s="12"/>
      <c r="J6749" s="12"/>
    </row>
    <row r="6750" spans="5:10" x14ac:dyDescent="0.25">
      <c r="E6750"/>
      <c r="F6750"/>
      <c r="G6750" s="12"/>
      <c r="H6750" s="12"/>
      <c r="I6750" s="12"/>
      <c r="J6750" s="12"/>
    </row>
    <row r="6751" spans="5:10" x14ac:dyDescent="0.25">
      <c r="E6751"/>
      <c r="F6751"/>
      <c r="G6751" s="12"/>
      <c r="H6751" s="12"/>
      <c r="I6751" s="12"/>
      <c r="J6751" s="12"/>
    </row>
    <row r="6752" spans="5:10" x14ac:dyDescent="0.25">
      <c r="E6752"/>
      <c r="F6752"/>
      <c r="G6752" s="12"/>
      <c r="H6752" s="12"/>
      <c r="I6752" s="12"/>
      <c r="J6752" s="12"/>
    </row>
    <row r="6753" spans="5:10" x14ac:dyDescent="0.25">
      <c r="E6753"/>
      <c r="F6753"/>
      <c r="G6753" s="12"/>
      <c r="H6753" s="12"/>
      <c r="I6753" s="12"/>
      <c r="J6753" s="12"/>
    </row>
    <row r="6754" spans="5:10" x14ac:dyDescent="0.25">
      <c r="E6754"/>
      <c r="F6754"/>
      <c r="G6754" s="12"/>
      <c r="H6754" s="12"/>
      <c r="I6754" s="12"/>
      <c r="J6754" s="12"/>
    </row>
    <row r="6755" spans="5:10" x14ac:dyDescent="0.25">
      <c r="E6755"/>
      <c r="F6755"/>
      <c r="G6755" s="12"/>
      <c r="H6755" s="12"/>
      <c r="I6755" s="12"/>
      <c r="J6755" s="12"/>
    </row>
    <row r="6756" spans="5:10" x14ac:dyDescent="0.25">
      <c r="E6756"/>
      <c r="F6756"/>
      <c r="G6756" s="12"/>
      <c r="H6756" s="12"/>
      <c r="I6756" s="12"/>
      <c r="J6756" s="12"/>
    </row>
    <row r="6757" spans="5:10" x14ac:dyDescent="0.25">
      <c r="E6757"/>
      <c r="F6757"/>
      <c r="G6757" s="12"/>
      <c r="H6757" s="12"/>
      <c r="I6757" s="12"/>
      <c r="J6757" s="12"/>
    </row>
    <row r="6758" spans="5:10" x14ac:dyDescent="0.25">
      <c r="E6758"/>
      <c r="F6758"/>
      <c r="G6758" s="12"/>
      <c r="H6758" s="12"/>
      <c r="I6758" s="12"/>
      <c r="J6758" s="12"/>
    </row>
    <row r="6759" spans="5:10" x14ac:dyDescent="0.25">
      <c r="E6759"/>
      <c r="F6759"/>
      <c r="G6759" s="12"/>
      <c r="H6759" s="12"/>
      <c r="I6759" s="12"/>
      <c r="J6759" s="12"/>
    </row>
    <row r="6760" spans="5:10" x14ac:dyDescent="0.25">
      <c r="E6760"/>
      <c r="F6760"/>
      <c r="G6760" s="12"/>
      <c r="H6760" s="12"/>
      <c r="I6760" s="12"/>
      <c r="J6760" s="12"/>
    </row>
    <row r="6761" spans="5:10" x14ac:dyDescent="0.25">
      <c r="E6761"/>
      <c r="F6761"/>
      <c r="G6761" s="12"/>
      <c r="H6761" s="12"/>
      <c r="I6761" s="12"/>
      <c r="J6761" s="12"/>
    </row>
    <row r="6762" spans="5:10" x14ac:dyDescent="0.25">
      <c r="E6762"/>
      <c r="F6762"/>
      <c r="G6762" s="12"/>
      <c r="H6762" s="12"/>
      <c r="I6762" s="12"/>
      <c r="J6762" s="12"/>
    </row>
    <row r="6763" spans="5:10" x14ac:dyDescent="0.25">
      <c r="E6763"/>
      <c r="F6763"/>
      <c r="G6763" s="12"/>
      <c r="H6763" s="12"/>
      <c r="I6763" s="12"/>
      <c r="J6763" s="12"/>
    </row>
    <row r="6764" spans="5:10" x14ac:dyDescent="0.25">
      <c r="E6764"/>
      <c r="F6764"/>
      <c r="G6764" s="12"/>
      <c r="H6764" s="12"/>
      <c r="I6764" s="12"/>
      <c r="J6764" s="12"/>
    </row>
    <row r="6765" spans="5:10" x14ac:dyDescent="0.25">
      <c r="E6765"/>
      <c r="F6765"/>
      <c r="G6765" s="12"/>
      <c r="H6765" s="12"/>
      <c r="I6765" s="12"/>
      <c r="J6765" s="12"/>
    </row>
    <row r="6766" spans="5:10" x14ac:dyDescent="0.25">
      <c r="E6766"/>
      <c r="F6766"/>
      <c r="G6766" s="12"/>
      <c r="H6766" s="12"/>
      <c r="I6766" s="12"/>
      <c r="J6766" s="12"/>
    </row>
    <row r="6767" spans="5:10" x14ac:dyDescent="0.25">
      <c r="E6767"/>
      <c r="F6767"/>
      <c r="G6767" s="12"/>
      <c r="H6767" s="12"/>
      <c r="I6767" s="12"/>
      <c r="J6767" s="12"/>
    </row>
    <row r="6768" spans="5:10" x14ac:dyDescent="0.25">
      <c r="E6768"/>
      <c r="F6768"/>
      <c r="G6768" s="12"/>
      <c r="H6768" s="12"/>
      <c r="I6768" s="12"/>
      <c r="J6768" s="12"/>
    </row>
    <row r="6769" spans="5:10" x14ac:dyDescent="0.25">
      <c r="E6769"/>
      <c r="F6769"/>
      <c r="G6769" s="12"/>
      <c r="H6769" s="12"/>
      <c r="I6769" s="12"/>
      <c r="J6769" s="12"/>
    </row>
    <row r="6770" spans="5:10" x14ac:dyDescent="0.25">
      <c r="E6770"/>
      <c r="F6770"/>
      <c r="G6770" s="12"/>
      <c r="H6770" s="12"/>
      <c r="I6770" s="12"/>
      <c r="J6770" s="12"/>
    </row>
    <row r="6771" spans="5:10" x14ac:dyDescent="0.25">
      <c r="E6771"/>
      <c r="F6771"/>
      <c r="G6771" s="12"/>
      <c r="H6771" s="12"/>
      <c r="I6771" s="12"/>
      <c r="J6771" s="12"/>
    </row>
    <row r="6772" spans="5:10" x14ac:dyDescent="0.25">
      <c r="E6772"/>
      <c r="F6772"/>
      <c r="G6772" s="12"/>
      <c r="H6772" s="12"/>
      <c r="I6772" s="12"/>
      <c r="J6772" s="12"/>
    </row>
    <row r="6773" spans="5:10" x14ac:dyDescent="0.25">
      <c r="E6773"/>
      <c r="F6773"/>
      <c r="G6773" s="12"/>
      <c r="H6773" s="12"/>
      <c r="I6773" s="12"/>
      <c r="J6773" s="12"/>
    </row>
    <row r="6774" spans="5:10" x14ac:dyDescent="0.25">
      <c r="E6774"/>
      <c r="F6774"/>
      <c r="G6774" s="12"/>
      <c r="H6774" s="12"/>
      <c r="I6774" s="12"/>
      <c r="J6774" s="12"/>
    </row>
    <row r="6775" spans="5:10" x14ac:dyDescent="0.25">
      <c r="E6775"/>
      <c r="F6775"/>
      <c r="G6775" s="12"/>
      <c r="H6775" s="12"/>
      <c r="I6775" s="12"/>
      <c r="J6775" s="12"/>
    </row>
    <row r="6776" spans="5:10" x14ac:dyDescent="0.25">
      <c r="E6776"/>
      <c r="F6776"/>
      <c r="G6776" s="12"/>
      <c r="H6776" s="12"/>
      <c r="I6776" s="12"/>
      <c r="J6776" s="12"/>
    </row>
    <row r="6777" spans="5:10" x14ac:dyDescent="0.25">
      <c r="E6777"/>
      <c r="F6777"/>
      <c r="G6777" s="12"/>
      <c r="H6777" s="12"/>
      <c r="I6777" s="12"/>
      <c r="J6777" s="12"/>
    </row>
    <row r="6778" spans="5:10" x14ac:dyDescent="0.25">
      <c r="E6778"/>
      <c r="F6778"/>
      <c r="G6778" s="12"/>
      <c r="H6778" s="12"/>
      <c r="I6778" s="12"/>
      <c r="J6778" s="12"/>
    </row>
    <row r="6779" spans="5:10" x14ac:dyDescent="0.25">
      <c r="E6779"/>
      <c r="F6779"/>
      <c r="G6779" s="12"/>
      <c r="H6779" s="12"/>
      <c r="I6779" s="12"/>
      <c r="J6779" s="12"/>
    </row>
    <row r="6780" spans="5:10" x14ac:dyDescent="0.25">
      <c r="E6780"/>
      <c r="F6780"/>
      <c r="G6780" s="12"/>
      <c r="H6780" s="12"/>
      <c r="I6780" s="12"/>
      <c r="J6780" s="12"/>
    </row>
    <row r="6781" spans="5:10" x14ac:dyDescent="0.25">
      <c r="E6781"/>
      <c r="F6781"/>
      <c r="G6781" s="12"/>
      <c r="H6781" s="12"/>
      <c r="I6781" s="12"/>
      <c r="J6781" s="12"/>
    </row>
    <row r="6782" spans="5:10" x14ac:dyDescent="0.25">
      <c r="E6782"/>
      <c r="F6782"/>
      <c r="G6782" s="12"/>
      <c r="H6782" s="12"/>
      <c r="I6782" s="12"/>
      <c r="J6782" s="12"/>
    </row>
    <row r="6783" spans="5:10" x14ac:dyDescent="0.25">
      <c r="E6783"/>
      <c r="F6783"/>
      <c r="G6783" s="12"/>
      <c r="H6783" s="12"/>
      <c r="I6783" s="12"/>
      <c r="J6783" s="12"/>
    </row>
    <row r="6784" spans="5:10" x14ac:dyDescent="0.25">
      <c r="E6784"/>
      <c r="F6784"/>
      <c r="G6784" s="12"/>
      <c r="H6784" s="12"/>
      <c r="I6784" s="12"/>
      <c r="J6784" s="12"/>
    </row>
    <row r="6785" spans="5:10" x14ac:dyDescent="0.25">
      <c r="E6785"/>
      <c r="F6785"/>
      <c r="G6785" s="12"/>
      <c r="H6785" s="12"/>
      <c r="I6785" s="12"/>
      <c r="J6785" s="12"/>
    </row>
    <row r="6786" spans="5:10" x14ac:dyDescent="0.25">
      <c r="E6786"/>
      <c r="F6786"/>
      <c r="G6786" s="12"/>
      <c r="H6786" s="12"/>
      <c r="I6786" s="12"/>
      <c r="J6786" s="12"/>
    </row>
    <row r="6787" spans="5:10" x14ac:dyDescent="0.25">
      <c r="E6787"/>
      <c r="F6787"/>
      <c r="G6787" s="12"/>
      <c r="H6787" s="12"/>
      <c r="I6787" s="12"/>
      <c r="J6787" s="12"/>
    </row>
    <row r="6788" spans="5:10" x14ac:dyDescent="0.25">
      <c r="E6788"/>
      <c r="F6788"/>
      <c r="G6788" s="12"/>
      <c r="H6788" s="12"/>
      <c r="I6788" s="12"/>
      <c r="J6788" s="12"/>
    </row>
    <row r="6789" spans="5:10" x14ac:dyDescent="0.25">
      <c r="E6789"/>
      <c r="F6789"/>
      <c r="G6789" s="12"/>
      <c r="H6789" s="12"/>
      <c r="I6789" s="12"/>
      <c r="J6789" s="12"/>
    </row>
    <row r="6790" spans="5:10" x14ac:dyDescent="0.25">
      <c r="E6790"/>
      <c r="F6790"/>
      <c r="G6790" s="12"/>
      <c r="H6790" s="12"/>
      <c r="I6790" s="12"/>
      <c r="J6790" s="12"/>
    </row>
    <row r="6791" spans="5:10" x14ac:dyDescent="0.25">
      <c r="E6791"/>
      <c r="F6791"/>
      <c r="G6791" s="12"/>
      <c r="H6791" s="12"/>
      <c r="I6791" s="12"/>
      <c r="J6791" s="12"/>
    </row>
    <row r="6792" spans="5:10" x14ac:dyDescent="0.25">
      <c r="E6792"/>
      <c r="F6792"/>
      <c r="G6792" s="12"/>
      <c r="H6792" s="12"/>
      <c r="I6792" s="12"/>
      <c r="J6792" s="12"/>
    </row>
    <row r="6793" spans="5:10" x14ac:dyDescent="0.25">
      <c r="E6793"/>
      <c r="F6793"/>
      <c r="G6793" s="12"/>
      <c r="H6793" s="12"/>
      <c r="I6793" s="12"/>
      <c r="J6793" s="12"/>
    </row>
    <row r="6794" spans="5:10" x14ac:dyDescent="0.25">
      <c r="E6794"/>
      <c r="F6794"/>
      <c r="G6794" s="12"/>
      <c r="H6794" s="12"/>
      <c r="I6794" s="12"/>
      <c r="J6794" s="12"/>
    </row>
    <row r="6795" spans="5:10" x14ac:dyDescent="0.25">
      <c r="E6795"/>
      <c r="F6795"/>
      <c r="G6795" s="12"/>
      <c r="H6795" s="12"/>
      <c r="I6795" s="12"/>
      <c r="J6795" s="12"/>
    </row>
    <row r="6796" spans="5:10" x14ac:dyDescent="0.25">
      <c r="E6796"/>
      <c r="F6796"/>
      <c r="G6796" s="12"/>
      <c r="H6796" s="12"/>
      <c r="I6796" s="12"/>
      <c r="J6796" s="12"/>
    </row>
    <row r="6797" spans="5:10" x14ac:dyDescent="0.25">
      <c r="E6797"/>
      <c r="F6797"/>
      <c r="G6797" s="12"/>
      <c r="H6797" s="12"/>
      <c r="I6797" s="12"/>
      <c r="J6797" s="12"/>
    </row>
    <row r="6798" spans="5:10" x14ac:dyDescent="0.25">
      <c r="E6798"/>
      <c r="F6798"/>
      <c r="G6798" s="12"/>
      <c r="H6798" s="12"/>
      <c r="I6798" s="12"/>
      <c r="J6798" s="12"/>
    </row>
    <row r="6799" spans="5:10" x14ac:dyDescent="0.25">
      <c r="E6799"/>
      <c r="F6799"/>
      <c r="G6799" s="12"/>
      <c r="H6799" s="12"/>
      <c r="I6799" s="12"/>
      <c r="J6799" s="12"/>
    </row>
    <row r="6800" spans="5:10" x14ac:dyDescent="0.25">
      <c r="E6800"/>
      <c r="F6800"/>
      <c r="G6800" s="12"/>
      <c r="H6800" s="12"/>
      <c r="I6800" s="12"/>
      <c r="J6800" s="12"/>
    </row>
    <row r="6801" spans="5:10" x14ac:dyDescent="0.25">
      <c r="E6801"/>
      <c r="F6801"/>
      <c r="G6801" s="12"/>
      <c r="H6801" s="12"/>
      <c r="I6801" s="12"/>
      <c r="J6801" s="12"/>
    </row>
    <row r="6802" spans="5:10" x14ac:dyDescent="0.25">
      <c r="E6802"/>
      <c r="F6802"/>
      <c r="G6802" s="12"/>
      <c r="H6802" s="12"/>
      <c r="I6802" s="12"/>
      <c r="J6802" s="12"/>
    </row>
    <row r="6803" spans="5:10" x14ac:dyDescent="0.25">
      <c r="E6803"/>
      <c r="F6803"/>
      <c r="G6803" s="12"/>
      <c r="H6803" s="12"/>
      <c r="I6803" s="12"/>
      <c r="J6803" s="12"/>
    </row>
    <row r="6804" spans="5:10" x14ac:dyDescent="0.25">
      <c r="E6804"/>
      <c r="F6804"/>
      <c r="G6804" s="12"/>
      <c r="H6804" s="12"/>
      <c r="I6804" s="12"/>
      <c r="J6804" s="12"/>
    </row>
    <row r="6805" spans="5:10" x14ac:dyDescent="0.25">
      <c r="E6805"/>
      <c r="F6805"/>
      <c r="G6805" s="12"/>
      <c r="H6805" s="12"/>
      <c r="I6805" s="12"/>
      <c r="J6805" s="12"/>
    </row>
    <row r="6806" spans="5:10" x14ac:dyDescent="0.25">
      <c r="E6806"/>
      <c r="F6806"/>
      <c r="G6806" s="12"/>
      <c r="H6806" s="12"/>
      <c r="I6806" s="12"/>
      <c r="J6806" s="12"/>
    </row>
    <row r="6807" spans="5:10" x14ac:dyDescent="0.25">
      <c r="E6807"/>
      <c r="F6807"/>
      <c r="G6807" s="12"/>
      <c r="H6807" s="12"/>
      <c r="I6807" s="12"/>
      <c r="J6807" s="12"/>
    </row>
    <row r="6808" spans="5:10" x14ac:dyDescent="0.25">
      <c r="E6808"/>
      <c r="F6808"/>
      <c r="G6808" s="12"/>
      <c r="H6808" s="12"/>
      <c r="I6808" s="12"/>
      <c r="J6808" s="12"/>
    </row>
    <row r="6809" spans="5:10" x14ac:dyDescent="0.25">
      <c r="E6809"/>
      <c r="F6809"/>
      <c r="G6809" s="12"/>
      <c r="H6809" s="12"/>
      <c r="I6809" s="12"/>
      <c r="J6809" s="12"/>
    </row>
    <row r="6810" spans="5:10" x14ac:dyDescent="0.25">
      <c r="E6810"/>
      <c r="F6810"/>
      <c r="G6810" s="12"/>
      <c r="H6810" s="12"/>
      <c r="I6810" s="12"/>
      <c r="J6810" s="12"/>
    </row>
    <row r="6811" spans="5:10" x14ac:dyDescent="0.25">
      <c r="E6811"/>
      <c r="F6811"/>
      <c r="G6811" s="12"/>
      <c r="H6811" s="12"/>
      <c r="I6811" s="12"/>
      <c r="J6811" s="12"/>
    </row>
    <row r="6812" spans="5:10" x14ac:dyDescent="0.25">
      <c r="E6812"/>
      <c r="F6812"/>
      <c r="G6812" s="12"/>
      <c r="H6812" s="12"/>
      <c r="I6812" s="12"/>
      <c r="J6812" s="12"/>
    </row>
    <row r="6813" spans="5:10" x14ac:dyDescent="0.25">
      <c r="E6813"/>
      <c r="F6813"/>
      <c r="G6813" s="12"/>
      <c r="H6813" s="12"/>
      <c r="I6813" s="12"/>
      <c r="J6813" s="12"/>
    </row>
    <row r="6814" spans="5:10" x14ac:dyDescent="0.25">
      <c r="E6814"/>
      <c r="F6814"/>
      <c r="G6814" s="12"/>
      <c r="H6814" s="12"/>
      <c r="I6814" s="12"/>
      <c r="J6814" s="12"/>
    </row>
    <row r="6815" spans="5:10" x14ac:dyDescent="0.25">
      <c r="E6815"/>
      <c r="F6815"/>
      <c r="G6815" s="12"/>
      <c r="H6815" s="12"/>
      <c r="I6815" s="12"/>
      <c r="J6815" s="12"/>
    </row>
    <row r="6816" spans="5:10" x14ac:dyDescent="0.25">
      <c r="E6816"/>
      <c r="F6816"/>
      <c r="G6816" s="12"/>
      <c r="H6816" s="12"/>
      <c r="I6816" s="12"/>
      <c r="J6816" s="12"/>
    </row>
    <row r="6817" spans="5:10" x14ac:dyDescent="0.25">
      <c r="E6817"/>
      <c r="F6817"/>
      <c r="G6817" s="12"/>
      <c r="H6817" s="12"/>
      <c r="I6817" s="12"/>
      <c r="J6817" s="12"/>
    </row>
    <row r="6818" spans="5:10" x14ac:dyDescent="0.25">
      <c r="E6818"/>
      <c r="F6818"/>
      <c r="G6818" s="12"/>
      <c r="H6818" s="12"/>
      <c r="I6818" s="12"/>
      <c r="J6818" s="12"/>
    </row>
    <row r="6819" spans="5:10" x14ac:dyDescent="0.25">
      <c r="E6819"/>
      <c r="F6819"/>
      <c r="G6819" s="12"/>
      <c r="H6819" s="12"/>
      <c r="I6819" s="12"/>
      <c r="J6819" s="12"/>
    </row>
    <row r="6820" spans="5:10" x14ac:dyDescent="0.25">
      <c r="E6820"/>
      <c r="F6820"/>
      <c r="G6820" s="12"/>
      <c r="H6820" s="12"/>
      <c r="I6820" s="12"/>
      <c r="J6820" s="12"/>
    </row>
    <row r="6821" spans="5:10" x14ac:dyDescent="0.25">
      <c r="E6821"/>
      <c r="F6821"/>
      <c r="G6821" s="12"/>
      <c r="H6821" s="12"/>
      <c r="I6821" s="12"/>
      <c r="J6821" s="12"/>
    </row>
    <row r="6822" spans="5:10" x14ac:dyDescent="0.25">
      <c r="E6822"/>
      <c r="F6822"/>
      <c r="G6822" s="12"/>
      <c r="H6822" s="12"/>
      <c r="I6822" s="12"/>
      <c r="J6822" s="12"/>
    </row>
    <row r="6823" spans="5:10" x14ac:dyDescent="0.25">
      <c r="E6823"/>
      <c r="F6823"/>
      <c r="G6823" s="12"/>
      <c r="H6823" s="12"/>
      <c r="I6823" s="12"/>
      <c r="J6823" s="12"/>
    </row>
    <row r="6824" spans="5:10" x14ac:dyDescent="0.25">
      <c r="E6824"/>
      <c r="F6824"/>
      <c r="G6824" s="12"/>
      <c r="H6824" s="12"/>
      <c r="I6824" s="12"/>
      <c r="J6824" s="12"/>
    </row>
    <row r="6825" spans="5:10" x14ac:dyDescent="0.25">
      <c r="E6825"/>
      <c r="F6825"/>
      <c r="G6825" s="12"/>
      <c r="H6825" s="12"/>
      <c r="I6825" s="12"/>
      <c r="J6825" s="12"/>
    </row>
    <row r="6826" spans="5:10" x14ac:dyDescent="0.25">
      <c r="E6826"/>
      <c r="F6826"/>
      <c r="G6826" s="12"/>
      <c r="H6826" s="12"/>
      <c r="I6826" s="12"/>
      <c r="J6826" s="12"/>
    </row>
    <row r="6827" spans="5:10" x14ac:dyDescent="0.25">
      <c r="E6827"/>
      <c r="F6827"/>
      <c r="G6827" s="12"/>
      <c r="H6827" s="12"/>
      <c r="I6827" s="12"/>
      <c r="J6827" s="12"/>
    </row>
    <row r="6828" spans="5:10" x14ac:dyDescent="0.25">
      <c r="E6828"/>
      <c r="F6828"/>
      <c r="G6828" s="12"/>
      <c r="H6828" s="12"/>
      <c r="I6828" s="12"/>
      <c r="J6828" s="12"/>
    </row>
    <row r="6829" spans="5:10" x14ac:dyDescent="0.25">
      <c r="E6829"/>
      <c r="F6829"/>
      <c r="G6829" s="12"/>
      <c r="H6829" s="12"/>
      <c r="I6829" s="12"/>
      <c r="J6829" s="12"/>
    </row>
    <row r="6830" spans="5:10" x14ac:dyDescent="0.25">
      <c r="E6830"/>
      <c r="F6830"/>
      <c r="G6830" s="12"/>
      <c r="H6830" s="12"/>
      <c r="I6830" s="12"/>
      <c r="J6830" s="12"/>
    </row>
    <row r="6831" spans="5:10" x14ac:dyDescent="0.25">
      <c r="E6831"/>
      <c r="F6831"/>
      <c r="G6831" s="12"/>
      <c r="H6831" s="12"/>
      <c r="I6831" s="12"/>
      <c r="J6831" s="12"/>
    </row>
    <row r="6832" spans="5:10" x14ac:dyDescent="0.25">
      <c r="E6832"/>
      <c r="F6832"/>
      <c r="G6832" s="12"/>
      <c r="H6832" s="12"/>
      <c r="I6832" s="12"/>
      <c r="J6832" s="12"/>
    </row>
    <row r="6833" spans="5:10" x14ac:dyDescent="0.25">
      <c r="E6833"/>
      <c r="F6833"/>
      <c r="G6833" s="12"/>
      <c r="H6833" s="12"/>
      <c r="I6833" s="12"/>
      <c r="J6833" s="12"/>
    </row>
    <row r="6834" spans="5:10" x14ac:dyDescent="0.25">
      <c r="E6834"/>
      <c r="F6834"/>
      <c r="G6834" s="12"/>
      <c r="H6834" s="12"/>
      <c r="I6834" s="12"/>
      <c r="J6834" s="12"/>
    </row>
    <row r="6835" spans="5:10" x14ac:dyDescent="0.25">
      <c r="E6835"/>
      <c r="F6835"/>
      <c r="G6835" s="12"/>
      <c r="H6835" s="12"/>
      <c r="I6835" s="12"/>
      <c r="J6835" s="12"/>
    </row>
    <row r="6836" spans="5:10" x14ac:dyDescent="0.25">
      <c r="E6836"/>
      <c r="F6836"/>
      <c r="G6836" s="12"/>
      <c r="H6836" s="12"/>
      <c r="I6836" s="12"/>
      <c r="J6836" s="12"/>
    </row>
    <row r="6837" spans="5:10" x14ac:dyDescent="0.25">
      <c r="E6837"/>
      <c r="F6837"/>
      <c r="G6837" s="12"/>
      <c r="H6837" s="12"/>
      <c r="I6837" s="12"/>
      <c r="J6837" s="12"/>
    </row>
    <row r="6838" spans="5:10" x14ac:dyDescent="0.25">
      <c r="E6838"/>
      <c r="F6838"/>
      <c r="G6838" s="12"/>
      <c r="H6838" s="12"/>
      <c r="I6838" s="12"/>
      <c r="J6838" s="12"/>
    </row>
    <row r="6839" spans="5:10" x14ac:dyDescent="0.25">
      <c r="E6839"/>
      <c r="F6839"/>
      <c r="G6839" s="12"/>
      <c r="H6839" s="12"/>
      <c r="I6839" s="12"/>
      <c r="J6839" s="12"/>
    </row>
    <row r="6840" spans="5:10" x14ac:dyDescent="0.25">
      <c r="E6840"/>
      <c r="F6840"/>
      <c r="G6840" s="12"/>
      <c r="H6840" s="12"/>
      <c r="I6840" s="12"/>
      <c r="J6840" s="12"/>
    </row>
    <row r="6841" spans="5:10" x14ac:dyDescent="0.25">
      <c r="E6841"/>
      <c r="F6841"/>
      <c r="G6841" s="12"/>
      <c r="H6841" s="12"/>
      <c r="I6841" s="12"/>
      <c r="J6841" s="12"/>
    </row>
    <row r="6842" spans="5:10" x14ac:dyDescent="0.25">
      <c r="E6842"/>
      <c r="F6842"/>
      <c r="G6842" s="12"/>
      <c r="H6842" s="12"/>
      <c r="I6842" s="12"/>
      <c r="J6842" s="12"/>
    </row>
    <row r="6843" spans="5:10" x14ac:dyDescent="0.25">
      <c r="E6843"/>
      <c r="F6843"/>
      <c r="G6843" s="12"/>
      <c r="H6843" s="12"/>
      <c r="I6843" s="12"/>
      <c r="J6843" s="12"/>
    </row>
    <row r="6844" spans="5:10" x14ac:dyDescent="0.25">
      <c r="E6844"/>
      <c r="F6844"/>
      <c r="G6844" s="12"/>
      <c r="H6844" s="12"/>
      <c r="I6844" s="12"/>
      <c r="J6844" s="12"/>
    </row>
    <row r="6845" spans="5:10" x14ac:dyDescent="0.25">
      <c r="E6845"/>
      <c r="F6845"/>
      <c r="G6845" s="12"/>
      <c r="H6845" s="12"/>
      <c r="I6845" s="12"/>
      <c r="J6845" s="12"/>
    </row>
    <row r="6846" spans="5:10" x14ac:dyDescent="0.25">
      <c r="E6846"/>
      <c r="F6846"/>
      <c r="G6846" s="12"/>
      <c r="H6846" s="12"/>
      <c r="I6846" s="12"/>
      <c r="J6846" s="12"/>
    </row>
    <row r="6847" spans="5:10" x14ac:dyDescent="0.25">
      <c r="E6847"/>
      <c r="F6847"/>
      <c r="G6847" s="12"/>
      <c r="H6847" s="12"/>
      <c r="I6847" s="12"/>
      <c r="J6847" s="12"/>
    </row>
    <row r="6848" spans="5:10" x14ac:dyDescent="0.25">
      <c r="E6848"/>
      <c r="F6848"/>
      <c r="G6848" s="12"/>
      <c r="H6848" s="12"/>
      <c r="I6848" s="12"/>
      <c r="J6848" s="12"/>
    </row>
    <row r="6849" spans="5:10" x14ac:dyDescent="0.25">
      <c r="E6849"/>
      <c r="F6849"/>
      <c r="G6849" s="12"/>
      <c r="H6849" s="12"/>
      <c r="I6849" s="12"/>
      <c r="J6849" s="12"/>
    </row>
    <row r="6850" spans="5:10" x14ac:dyDescent="0.25">
      <c r="E6850"/>
      <c r="F6850"/>
      <c r="G6850" s="12"/>
      <c r="H6850" s="12"/>
      <c r="I6850" s="12"/>
      <c r="J6850" s="12"/>
    </row>
    <row r="6851" spans="5:10" x14ac:dyDescent="0.25">
      <c r="E6851"/>
      <c r="F6851"/>
      <c r="G6851" s="12"/>
      <c r="H6851" s="12"/>
      <c r="I6851" s="12"/>
      <c r="J6851" s="12"/>
    </row>
    <row r="6852" spans="5:10" x14ac:dyDescent="0.25">
      <c r="E6852"/>
      <c r="F6852"/>
      <c r="G6852" s="12"/>
      <c r="H6852" s="12"/>
      <c r="I6852" s="12"/>
      <c r="J6852" s="12"/>
    </row>
    <row r="6853" spans="5:10" x14ac:dyDescent="0.25">
      <c r="E6853"/>
      <c r="F6853"/>
      <c r="G6853" s="12"/>
      <c r="H6853" s="12"/>
      <c r="I6853" s="12"/>
      <c r="J6853" s="12"/>
    </row>
    <row r="6854" spans="5:10" x14ac:dyDescent="0.25">
      <c r="E6854"/>
      <c r="F6854"/>
      <c r="G6854" s="12"/>
      <c r="H6854" s="12"/>
      <c r="I6854" s="12"/>
      <c r="J6854" s="12"/>
    </row>
    <row r="6855" spans="5:10" x14ac:dyDescent="0.25">
      <c r="E6855"/>
      <c r="F6855"/>
      <c r="G6855" s="12"/>
      <c r="H6855" s="12"/>
      <c r="I6855" s="12"/>
      <c r="J6855" s="12"/>
    </row>
    <row r="6856" spans="5:10" x14ac:dyDescent="0.25">
      <c r="E6856"/>
      <c r="F6856"/>
      <c r="G6856" s="12"/>
      <c r="H6856" s="12"/>
      <c r="I6856" s="12"/>
      <c r="J6856" s="12"/>
    </row>
    <row r="6857" spans="5:10" x14ac:dyDescent="0.25">
      <c r="E6857"/>
      <c r="F6857"/>
      <c r="G6857" s="12"/>
      <c r="H6857" s="12"/>
      <c r="I6857" s="12"/>
      <c r="J6857" s="12"/>
    </row>
    <row r="6858" spans="5:10" x14ac:dyDescent="0.25">
      <c r="E6858"/>
      <c r="F6858"/>
      <c r="G6858" s="12"/>
      <c r="H6858" s="12"/>
      <c r="I6858" s="12"/>
      <c r="J6858" s="12"/>
    </row>
    <row r="6859" spans="5:10" x14ac:dyDescent="0.25">
      <c r="E6859"/>
      <c r="F6859"/>
      <c r="G6859" s="12"/>
      <c r="H6859" s="12"/>
      <c r="I6859" s="12"/>
      <c r="J6859" s="12"/>
    </row>
    <row r="6860" spans="5:10" x14ac:dyDescent="0.25">
      <c r="E6860"/>
      <c r="F6860"/>
      <c r="G6860" s="12"/>
      <c r="H6860" s="12"/>
      <c r="I6860" s="12"/>
      <c r="J6860" s="12"/>
    </row>
    <row r="6861" spans="5:10" x14ac:dyDescent="0.25">
      <c r="E6861"/>
      <c r="F6861"/>
      <c r="G6861" s="12"/>
      <c r="H6861" s="12"/>
      <c r="I6861" s="12"/>
      <c r="J6861" s="12"/>
    </row>
    <row r="6862" spans="5:10" x14ac:dyDescent="0.25">
      <c r="E6862"/>
      <c r="F6862"/>
      <c r="G6862" s="12"/>
      <c r="H6862" s="12"/>
      <c r="I6862" s="12"/>
      <c r="J6862" s="12"/>
    </row>
    <row r="6863" spans="5:10" x14ac:dyDescent="0.25">
      <c r="E6863"/>
      <c r="F6863"/>
      <c r="G6863" s="12"/>
      <c r="H6863" s="12"/>
      <c r="I6863" s="12"/>
      <c r="J6863" s="12"/>
    </row>
    <row r="6864" spans="5:10" x14ac:dyDescent="0.25">
      <c r="E6864"/>
      <c r="F6864"/>
      <c r="G6864" s="12"/>
      <c r="H6864" s="12"/>
      <c r="I6864" s="12"/>
      <c r="J6864" s="12"/>
    </row>
    <row r="6865" spans="5:10" x14ac:dyDescent="0.25">
      <c r="E6865"/>
      <c r="F6865"/>
      <c r="G6865" s="12"/>
      <c r="H6865" s="12"/>
      <c r="I6865" s="12"/>
      <c r="J6865" s="12"/>
    </row>
    <row r="6866" spans="5:10" x14ac:dyDescent="0.25">
      <c r="E6866"/>
      <c r="F6866"/>
      <c r="G6866" s="12"/>
      <c r="H6866" s="12"/>
      <c r="I6866" s="12"/>
      <c r="J6866" s="12"/>
    </row>
    <row r="6867" spans="5:10" x14ac:dyDescent="0.25">
      <c r="E6867"/>
      <c r="F6867"/>
      <c r="G6867" s="12"/>
      <c r="H6867" s="12"/>
      <c r="I6867" s="12"/>
      <c r="J6867" s="12"/>
    </row>
    <row r="6868" spans="5:10" x14ac:dyDescent="0.25">
      <c r="E6868"/>
      <c r="F6868"/>
      <c r="G6868" s="12"/>
      <c r="H6868" s="12"/>
      <c r="I6868" s="12"/>
      <c r="J6868" s="12"/>
    </row>
    <row r="6869" spans="5:10" x14ac:dyDescent="0.25">
      <c r="E6869"/>
      <c r="F6869"/>
      <c r="G6869" s="12"/>
      <c r="H6869" s="12"/>
      <c r="I6869" s="12"/>
      <c r="J6869" s="12"/>
    </row>
    <row r="6870" spans="5:10" x14ac:dyDescent="0.25">
      <c r="E6870"/>
      <c r="F6870"/>
      <c r="G6870" s="12"/>
      <c r="H6870" s="12"/>
      <c r="I6870" s="12"/>
      <c r="J6870" s="12"/>
    </row>
    <row r="6871" spans="5:10" x14ac:dyDescent="0.25">
      <c r="E6871"/>
      <c r="F6871"/>
      <c r="G6871" s="12"/>
      <c r="H6871" s="12"/>
      <c r="I6871" s="12"/>
      <c r="J6871" s="12"/>
    </row>
    <row r="6872" spans="5:10" x14ac:dyDescent="0.25">
      <c r="E6872"/>
      <c r="F6872"/>
      <c r="G6872" s="12"/>
      <c r="H6872" s="12"/>
      <c r="I6872" s="12"/>
      <c r="J6872" s="12"/>
    </row>
    <row r="6873" spans="5:10" x14ac:dyDescent="0.25">
      <c r="E6873"/>
      <c r="F6873"/>
      <c r="G6873" s="12"/>
      <c r="H6873" s="12"/>
      <c r="I6873" s="12"/>
      <c r="J6873" s="12"/>
    </row>
    <row r="6874" spans="5:10" x14ac:dyDescent="0.25">
      <c r="E6874"/>
      <c r="F6874"/>
      <c r="G6874" s="12"/>
      <c r="H6874" s="12"/>
      <c r="I6874" s="12"/>
      <c r="J6874" s="12"/>
    </row>
    <row r="6875" spans="5:10" x14ac:dyDescent="0.25">
      <c r="E6875"/>
      <c r="F6875"/>
      <c r="G6875" s="12"/>
      <c r="H6875" s="12"/>
      <c r="I6875" s="12"/>
      <c r="J6875" s="12"/>
    </row>
    <row r="6876" spans="5:10" x14ac:dyDescent="0.25">
      <c r="E6876"/>
      <c r="F6876"/>
      <c r="G6876" s="12"/>
      <c r="H6876" s="12"/>
      <c r="I6876" s="12"/>
      <c r="J6876" s="12"/>
    </row>
    <row r="6877" spans="5:10" x14ac:dyDescent="0.25">
      <c r="E6877"/>
      <c r="F6877"/>
      <c r="G6877" s="12"/>
      <c r="H6877" s="12"/>
      <c r="I6877" s="12"/>
      <c r="J6877" s="12"/>
    </row>
    <row r="6878" spans="5:10" x14ac:dyDescent="0.25">
      <c r="E6878"/>
      <c r="F6878"/>
      <c r="G6878" s="12"/>
      <c r="H6878" s="12"/>
      <c r="I6878" s="12"/>
      <c r="J6878" s="12"/>
    </row>
    <row r="6879" spans="5:10" x14ac:dyDescent="0.25">
      <c r="E6879"/>
      <c r="F6879"/>
      <c r="G6879" s="12"/>
      <c r="H6879" s="12"/>
      <c r="I6879" s="12"/>
      <c r="J6879" s="12"/>
    </row>
    <row r="6880" spans="5:10" x14ac:dyDescent="0.25">
      <c r="E6880"/>
      <c r="F6880"/>
      <c r="G6880" s="12"/>
      <c r="H6880" s="12"/>
      <c r="I6880" s="12"/>
      <c r="J6880" s="12"/>
    </row>
    <row r="6881" spans="5:10" x14ac:dyDescent="0.25">
      <c r="E6881"/>
      <c r="F6881"/>
      <c r="G6881" s="12"/>
      <c r="H6881" s="12"/>
      <c r="I6881" s="12"/>
      <c r="J6881" s="12"/>
    </row>
    <row r="6882" spans="5:10" x14ac:dyDescent="0.25">
      <c r="E6882"/>
      <c r="F6882"/>
      <c r="G6882" s="12"/>
      <c r="H6882" s="12"/>
      <c r="I6882" s="12"/>
      <c r="J6882" s="12"/>
    </row>
    <row r="6883" spans="5:10" x14ac:dyDescent="0.25">
      <c r="E6883"/>
      <c r="F6883"/>
      <c r="G6883" s="12"/>
      <c r="H6883" s="12"/>
      <c r="I6883" s="12"/>
      <c r="J6883" s="12"/>
    </row>
    <row r="6884" spans="5:10" x14ac:dyDescent="0.25">
      <c r="E6884"/>
      <c r="F6884"/>
      <c r="G6884" s="12"/>
      <c r="H6884" s="12"/>
      <c r="I6884" s="12"/>
      <c r="J6884" s="12"/>
    </row>
    <row r="6885" spans="5:10" x14ac:dyDescent="0.25">
      <c r="E6885"/>
      <c r="F6885"/>
      <c r="G6885" s="12"/>
      <c r="H6885" s="12"/>
      <c r="I6885" s="12"/>
      <c r="J6885" s="12"/>
    </row>
    <row r="6886" spans="5:10" x14ac:dyDescent="0.25">
      <c r="E6886"/>
      <c r="F6886"/>
      <c r="G6886" s="12"/>
      <c r="H6886" s="12"/>
      <c r="I6886" s="12"/>
      <c r="J6886" s="12"/>
    </row>
    <row r="6887" spans="5:10" x14ac:dyDescent="0.25">
      <c r="E6887"/>
      <c r="F6887"/>
      <c r="G6887" s="12"/>
      <c r="H6887" s="12"/>
      <c r="I6887" s="12"/>
      <c r="J6887" s="12"/>
    </row>
    <row r="6888" spans="5:10" x14ac:dyDescent="0.25">
      <c r="E6888"/>
      <c r="F6888"/>
      <c r="G6888" s="12"/>
      <c r="H6888" s="12"/>
      <c r="I6888" s="12"/>
      <c r="J6888" s="12"/>
    </row>
    <row r="6889" spans="5:10" x14ac:dyDescent="0.25">
      <c r="E6889"/>
      <c r="F6889"/>
      <c r="G6889" s="12"/>
      <c r="H6889" s="12"/>
      <c r="I6889" s="12"/>
      <c r="J6889" s="12"/>
    </row>
    <row r="6890" spans="5:10" x14ac:dyDescent="0.25">
      <c r="E6890"/>
      <c r="F6890"/>
      <c r="G6890" s="12"/>
      <c r="H6890" s="12"/>
      <c r="I6890" s="12"/>
      <c r="J6890" s="12"/>
    </row>
    <row r="6891" spans="5:10" x14ac:dyDescent="0.25">
      <c r="E6891"/>
      <c r="F6891"/>
      <c r="G6891" s="12"/>
      <c r="H6891" s="12"/>
      <c r="I6891" s="12"/>
      <c r="J6891" s="12"/>
    </row>
    <row r="6892" spans="5:10" x14ac:dyDescent="0.25">
      <c r="E6892"/>
      <c r="F6892"/>
      <c r="G6892" s="12"/>
      <c r="H6892" s="12"/>
      <c r="I6892" s="12"/>
      <c r="J6892" s="12"/>
    </row>
    <row r="6893" spans="5:10" x14ac:dyDescent="0.25">
      <c r="E6893"/>
      <c r="F6893"/>
      <c r="G6893" s="12"/>
      <c r="H6893" s="12"/>
      <c r="I6893" s="12"/>
      <c r="J6893" s="12"/>
    </row>
    <row r="6894" spans="5:10" x14ac:dyDescent="0.25">
      <c r="E6894"/>
      <c r="F6894"/>
      <c r="G6894" s="12"/>
      <c r="H6894" s="12"/>
      <c r="I6894" s="12"/>
      <c r="J6894" s="12"/>
    </row>
    <row r="6895" spans="5:10" x14ac:dyDescent="0.25">
      <c r="E6895"/>
      <c r="F6895"/>
      <c r="G6895" s="12"/>
      <c r="H6895" s="12"/>
      <c r="I6895" s="12"/>
      <c r="J6895" s="12"/>
    </row>
    <row r="6896" spans="5:10" x14ac:dyDescent="0.25">
      <c r="E6896"/>
      <c r="F6896"/>
      <c r="G6896" s="12"/>
      <c r="H6896" s="12"/>
      <c r="I6896" s="12"/>
      <c r="J6896" s="12"/>
    </row>
    <row r="6897" spans="5:10" x14ac:dyDescent="0.25">
      <c r="E6897"/>
      <c r="F6897"/>
      <c r="G6897" s="12"/>
      <c r="H6897" s="12"/>
      <c r="I6897" s="12"/>
      <c r="J6897" s="12"/>
    </row>
    <row r="6898" spans="5:10" x14ac:dyDescent="0.25">
      <c r="E6898"/>
      <c r="F6898"/>
      <c r="G6898" s="12"/>
      <c r="H6898" s="12"/>
      <c r="I6898" s="12"/>
      <c r="J6898" s="12"/>
    </row>
    <row r="6899" spans="5:10" x14ac:dyDescent="0.25">
      <c r="E6899"/>
      <c r="F6899"/>
      <c r="G6899" s="12"/>
      <c r="H6899" s="12"/>
      <c r="I6899" s="12"/>
      <c r="J6899" s="12"/>
    </row>
    <row r="6900" spans="5:10" x14ac:dyDescent="0.25">
      <c r="E6900"/>
      <c r="F6900"/>
      <c r="G6900" s="12"/>
      <c r="H6900" s="12"/>
      <c r="I6900" s="12"/>
      <c r="J6900" s="12"/>
    </row>
    <row r="6901" spans="5:10" x14ac:dyDescent="0.25">
      <c r="E6901"/>
      <c r="F6901"/>
      <c r="G6901" s="12"/>
      <c r="H6901" s="12"/>
      <c r="I6901" s="12"/>
      <c r="J6901" s="12"/>
    </row>
    <row r="6902" spans="5:10" x14ac:dyDescent="0.25">
      <c r="E6902"/>
      <c r="F6902"/>
      <c r="G6902" s="12"/>
      <c r="H6902" s="12"/>
      <c r="I6902" s="12"/>
      <c r="J6902" s="12"/>
    </row>
    <row r="6903" spans="5:10" x14ac:dyDescent="0.25">
      <c r="E6903"/>
      <c r="F6903"/>
      <c r="G6903" s="12"/>
      <c r="H6903" s="12"/>
      <c r="I6903" s="12"/>
      <c r="J6903" s="12"/>
    </row>
    <row r="6904" spans="5:10" x14ac:dyDescent="0.25">
      <c r="E6904"/>
      <c r="F6904"/>
      <c r="G6904" s="12"/>
      <c r="H6904" s="12"/>
      <c r="I6904" s="12"/>
      <c r="J6904" s="12"/>
    </row>
    <row r="6905" spans="5:10" x14ac:dyDescent="0.25">
      <c r="E6905"/>
      <c r="F6905"/>
      <c r="G6905" s="12"/>
      <c r="H6905" s="12"/>
      <c r="I6905" s="12"/>
      <c r="J6905" s="12"/>
    </row>
    <row r="6906" spans="5:10" x14ac:dyDescent="0.25">
      <c r="E6906"/>
      <c r="F6906"/>
      <c r="G6906" s="12"/>
      <c r="H6906" s="12"/>
      <c r="I6906" s="12"/>
      <c r="J6906" s="12"/>
    </row>
    <row r="6907" spans="5:10" x14ac:dyDescent="0.25">
      <c r="E6907"/>
      <c r="F6907"/>
      <c r="G6907" s="12"/>
      <c r="H6907" s="12"/>
      <c r="I6907" s="12"/>
      <c r="J6907" s="12"/>
    </row>
    <row r="6908" spans="5:10" x14ac:dyDescent="0.25">
      <c r="E6908"/>
      <c r="F6908"/>
      <c r="G6908" s="12"/>
      <c r="H6908" s="12"/>
      <c r="I6908" s="12"/>
      <c r="J6908" s="12"/>
    </row>
    <row r="6909" spans="5:10" x14ac:dyDescent="0.25">
      <c r="E6909"/>
      <c r="F6909"/>
      <c r="G6909" s="12"/>
      <c r="H6909" s="12"/>
      <c r="I6909" s="12"/>
      <c r="J6909" s="12"/>
    </row>
    <row r="6910" spans="5:10" x14ac:dyDescent="0.25">
      <c r="E6910"/>
      <c r="F6910"/>
      <c r="G6910" s="12"/>
      <c r="H6910" s="12"/>
      <c r="I6910" s="12"/>
      <c r="J6910" s="12"/>
    </row>
    <row r="6911" spans="5:10" x14ac:dyDescent="0.25">
      <c r="E6911"/>
      <c r="F6911"/>
      <c r="G6911" s="12"/>
      <c r="H6911" s="12"/>
      <c r="I6911" s="12"/>
      <c r="J6911" s="12"/>
    </row>
    <row r="6912" spans="5:10" x14ac:dyDescent="0.25">
      <c r="E6912"/>
      <c r="F6912"/>
      <c r="G6912" s="12"/>
      <c r="H6912" s="12"/>
      <c r="I6912" s="12"/>
      <c r="J6912" s="12"/>
    </row>
    <row r="6913" spans="5:10" x14ac:dyDescent="0.25">
      <c r="E6913"/>
      <c r="F6913"/>
      <c r="G6913" s="12"/>
      <c r="H6913" s="12"/>
      <c r="I6913" s="12"/>
      <c r="J6913" s="12"/>
    </row>
    <row r="6914" spans="5:10" x14ac:dyDescent="0.25">
      <c r="E6914"/>
      <c r="F6914"/>
      <c r="G6914" s="12"/>
      <c r="H6914" s="12"/>
      <c r="I6914" s="12"/>
      <c r="J6914" s="12"/>
    </row>
    <row r="6915" spans="5:10" x14ac:dyDescent="0.25">
      <c r="E6915"/>
      <c r="F6915"/>
      <c r="G6915" s="12"/>
      <c r="H6915" s="12"/>
      <c r="I6915" s="12"/>
      <c r="J6915" s="12"/>
    </row>
    <row r="6916" spans="5:10" x14ac:dyDescent="0.25">
      <c r="E6916"/>
      <c r="F6916"/>
      <c r="G6916" s="12"/>
      <c r="H6916" s="12"/>
      <c r="I6916" s="12"/>
      <c r="J6916" s="12"/>
    </row>
    <row r="6917" spans="5:10" x14ac:dyDescent="0.25">
      <c r="E6917"/>
      <c r="F6917"/>
      <c r="G6917" s="12"/>
      <c r="H6917" s="12"/>
      <c r="I6917" s="12"/>
      <c r="J6917" s="12"/>
    </row>
    <row r="6918" spans="5:10" x14ac:dyDescent="0.25">
      <c r="E6918"/>
      <c r="F6918"/>
      <c r="G6918" s="12"/>
      <c r="H6918" s="12"/>
      <c r="I6918" s="12"/>
      <c r="J6918" s="12"/>
    </row>
    <row r="6919" spans="5:10" x14ac:dyDescent="0.25">
      <c r="E6919"/>
      <c r="F6919"/>
      <c r="G6919" s="12"/>
      <c r="H6919" s="12"/>
      <c r="I6919" s="12"/>
      <c r="J6919" s="12"/>
    </row>
    <row r="6920" spans="5:10" x14ac:dyDescent="0.25">
      <c r="E6920"/>
      <c r="F6920"/>
      <c r="G6920" s="12"/>
      <c r="H6920" s="12"/>
      <c r="I6920" s="12"/>
      <c r="J6920" s="12"/>
    </row>
    <row r="6921" spans="5:10" x14ac:dyDescent="0.25">
      <c r="E6921"/>
      <c r="F6921"/>
      <c r="G6921" s="12"/>
      <c r="H6921" s="12"/>
      <c r="I6921" s="12"/>
      <c r="J6921" s="12"/>
    </row>
    <row r="6922" spans="5:10" x14ac:dyDescent="0.25">
      <c r="E6922"/>
      <c r="F6922"/>
      <c r="G6922" s="12"/>
      <c r="H6922" s="12"/>
      <c r="I6922" s="12"/>
      <c r="J6922" s="12"/>
    </row>
    <row r="6923" spans="5:10" x14ac:dyDescent="0.25">
      <c r="E6923"/>
      <c r="F6923"/>
      <c r="G6923" s="12"/>
      <c r="H6923" s="12"/>
      <c r="I6923" s="12"/>
      <c r="J6923" s="12"/>
    </row>
    <row r="6924" spans="5:10" x14ac:dyDescent="0.25">
      <c r="E6924"/>
      <c r="F6924"/>
      <c r="G6924" s="12"/>
      <c r="H6924" s="12"/>
      <c r="I6924" s="12"/>
      <c r="J6924" s="12"/>
    </row>
    <row r="6925" spans="5:10" x14ac:dyDescent="0.25">
      <c r="E6925"/>
      <c r="F6925"/>
      <c r="G6925" s="12"/>
      <c r="H6925" s="12"/>
      <c r="I6925" s="12"/>
      <c r="J6925" s="12"/>
    </row>
    <row r="6926" spans="5:10" x14ac:dyDescent="0.25">
      <c r="E6926"/>
      <c r="F6926"/>
      <c r="G6926" s="12"/>
      <c r="H6926" s="12"/>
      <c r="I6926" s="12"/>
      <c r="J6926" s="12"/>
    </row>
    <row r="6927" spans="5:10" x14ac:dyDescent="0.25">
      <c r="E6927"/>
      <c r="F6927"/>
      <c r="G6927" s="12"/>
      <c r="H6927" s="12"/>
      <c r="I6927" s="12"/>
      <c r="J6927" s="12"/>
    </row>
    <row r="6928" spans="5:10" x14ac:dyDescent="0.25">
      <c r="E6928"/>
      <c r="F6928"/>
      <c r="G6928" s="12"/>
      <c r="H6928" s="12"/>
      <c r="I6928" s="12"/>
      <c r="J6928" s="12"/>
    </row>
    <row r="6929" spans="5:10" x14ac:dyDescent="0.25">
      <c r="E6929"/>
      <c r="F6929"/>
      <c r="G6929" s="12"/>
      <c r="H6929" s="12"/>
      <c r="I6929" s="12"/>
      <c r="J6929" s="12"/>
    </row>
    <row r="6930" spans="5:10" x14ac:dyDescent="0.25">
      <c r="E6930"/>
      <c r="F6930"/>
      <c r="G6930" s="12"/>
      <c r="H6930" s="12"/>
      <c r="I6930" s="12"/>
      <c r="J6930" s="12"/>
    </row>
    <row r="6931" spans="5:10" x14ac:dyDescent="0.25">
      <c r="E6931"/>
      <c r="F6931"/>
      <c r="G6931" s="12"/>
      <c r="H6931" s="12"/>
      <c r="I6931" s="12"/>
      <c r="J6931" s="12"/>
    </row>
    <row r="6932" spans="5:10" x14ac:dyDescent="0.25">
      <c r="E6932"/>
      <c r="F6932"/>
      <c r="G6932" s="12"/>
      <c r="H6932" s="12"/>
      <c r="I6932" s="12"/>
      <c r="J6932" s="12"/>
    </row>
    <row r="6933" spans="5:10" x14ac:dyDescent="0.25">
      <c r="E6933"/>
      <c r="F6933"/>
      <c r="G6933" s="12"/>
      <c r="H6933" s="12"/>
      <c r="I6933" s="12"/>
      <c r="J6933" s="12"/>
    </row>
    <row r="6934" spans="5:10" x14ac:dyDescent="0.25">
      <c r="E6934"/>
      <c r="F6934"/>
      <c r="G6934" s="12"/>
      <c r="H6934" s="12"/>
      <c r="I6934" s="12"/>
      <c r="J6934" s="12"/>
    </row>
    <row r="6935" spans="5:10" x14ac:dyDescent="0.25">
      <c r="E6935"/>
      <c r="F6935"/>
      <c r="G6935" s="12"/>
      <c r="H6935" s="12"/>
      <c r="I6935" s="12"/>
      <c r="J6935" s="12"/>
    </row>
    <row r="6936" spans="5:10" x14ac:dyDescent="0.25">
      <c r="E6936"/>
      <c r="F6936"/>
      <c r="G6936" s="12"/>
      <c r="H6936" s="12"/>
      <c r="I6936" s="12"/>
      <c r="J6936" s="12"/>
    </row>
    <row r="6937" spans="5:10" x14ac:dyDescent="0.25">
      <c r="E6937"/>
      <c r="F6937"/>
      <c r="G6937" s="12"/>
      <c r="H6937" s="12"/>
      <c r="I6937" s="12"/>
      <c r="J6937" s="12"/>
    </row>
    <row r="6938" spans="5:10" x14ac:dyDescent="0.25">
      <c r="E6938"/>
      <c r="F6938"/>
      <c r="G6938" s="12"/>
      <c r="H6938" s="12"/>
      <c r="I6938" s="12"/>
      <c r="J6938" s="12"/>
    </row>
    <row r="6939" spans="5:10" x14ac:dyDescent="0.25">
      <c r="E6939"/>
      <c r="F6939"/>
      <c r="G6939" s="12"/>
      <c r="H6939" s="12"/>
      <c r="I6939" s="12"/>
      <c r="J6939" s="12"/>
    </row>
    <row r="6940" spans="5:10" x14ac:dyDescent="0.25">
      <c r="E6940"/>
      <c r="F6940"/>
      <c r="G6940" s="12"/>
      <c r="H6940" s="12"/>
      <c r="I6940" s="12"/>
      <c r="J6940" s="12"/>
    </row>
    <row r="6941" spans="5:10" x14ac:dyDescent="0.25">
      <c r="E6941"/>
      <c r="F6941"/>
      <c r="G6941" s="12"/>
      <c r="H6941" s="12"/>
      <c r="I6941" s="12"/>
      <c r="J6941" s="12"/>
    </row>
    <row r="6942" spans="5:10" x14ac:dyDescent="0.25">
      <c r="E6942"/>
      <c r="F6942"/>
      <c r="G6942" s="12"/>
      <c r="H6942" s="12"/>
      <c r="I6942" s="12"/>
      <c r="J6942" s="12"/>
    </row>
    <row r="6943" spans="5:10" x14ac:dyDescent="0.25">
      <c r="E6943"/>
      <c r="F6943"/>
      <c r="G6943" s="12"/>
      <c r="H6943" s="12"/>
      <c r="I6943" s="12"/>
      <c r="J6943" s="12"/>
    </row>
    <row r="6944" spans="5:10" x14ac:dyDescent="0.25">
      <c r="E6944"/>
      <c r="F6944"/>
      <c r="G6944" s="12"/>
      <c r="H6944" s="12"/>
      <c r="I6944" s="12"/>
      <c r="J6944" s="12"/>
    </row>
    <row r="6945" spans="5:10" x14ac:dyDescent="0.25">
      <c r="E6945"/>
      <c r="F6945"/>
      <c r="G6945" s="12"/>
      <c r="H6945" s="12"/>
      <c r="I6945" s="12"/>
      <c r="J6945" s="12"/>
    </row>
    <row r="6946" spans="5:10" x14ac:dyDescent="0.25">
      <c r="E6946"/>
      <c r="F6946"/>
      <c r="G6946" s="12"/>
      <c r="H6946" s="12"/>
      <c r="I6946" s="12"/>
      <c r="J6946" s="12"/>
    </row>
    <row r="6947" spans="5:10" x14ac:dyDescent="0.25">
      <c r="E6947"/>
      <c r="F6947"/>
      <c r="G6947" s="12"/>
      <c r="H6947" s="12"/>
      <c r="I6947" s="12"/>
      <c r="J6947" s="12"/>
    </row>
    <row r="6948" spans="5:10" x14ac:dyDescent="0.25">
      <c r="E6948"/>
      <c r="F6948"/>
      <c r="G6948" s="12"/>
      <c r="H6948" s="12"/>
      <c r="I6948" s="12"/>
      <c r="J6948" s="12"/>
    </row>
    <row r="6949" spans="5:10" x14ac:dyDescent="0.25">
      <c r="E6949"/>
      <c r="F6949"/>
      <c r="G6949" s="12"/>
      <c r="H6949" s="12"/>
      <c r="I6949" s="12"/>
      <c r="J6949" s="12"/>
    </row>
    <row r="6950" spans="5:10" x14ac:dyDescent="0.25">
      <c r="E6950"/>
      <c r="F6950"/>
      <c r="G6950" s="12"/>
      <c r="H6950" s="12"/>
      <c r="I6950" s="12"/>
      <c r="J6950" s="12"/>
    </row>
    <row r="6951" spans="5:10" x14ac:dyDescent="0.25">
      <c r="E6951"/>
      <c r="F6951"/>
      <c r="G6951" s="12"/>
      <c r="H6951" s="12"/>
      <c r="I6951" s="12"/>
      <c r="J6951" s="12"/>
    </row>
    <row r="6952" spans="5:10" x14ac:dyDescent="0.25">
      <c r="E6952"/>
      <c r="F6952"/>
      <c r="G6952" s="12"/>
      <c r="H6952" s="12"/>
      <c r="I6952" s="12"/>
      <c r="J6952" s="12"/>
    </row>
    <row r="6953" spans="5:10" x14ac:dyDescent="0.25">
      <c r="E6953"/>
      <c r="F6953"/>
      <c r="G6953" s="12"/>
      <c r="H6953" s="12"/>
      <c r="I6953" s="12"/>
      <c r="J6953" s="12"/>
    </row>
    <row r="6954" spans="5:10" x14ac:dyDescent="0.25">
      <c r="E6954"/>
      <c r="F6954"/>
      <c r="G6954" s="12"/>
      <c r="H6954" s="12"/>
      <c r="I6954" s="12"/>
      <c r="J6954" s="12"/>
    </row>
    <row r="6955" spans="5:10" x14ac:dyDescent="0.25">
      <c r="E6955"/>
      <c r="F6955"/>
      <c r="G6955" s="12"/>
      <c r="H6955" s="12"/>
      <c r="I6955" s="12"/>
      <c r="J6955" s="12"/>
    </row>
    <row r="6956" spans="5:10" x14ac:dyDescent="0.25">
      <c r="E6956"/>
      <c r="F6956"/>
      <c r="G6956" s="12"/>
      <c r="H6956" s="12"/>
      <c r="I6956" s="12"/>
      <c r="J6956" s="12"/>
    </row>
    <row r="6957" spans="5:10" x14ac:dyDescent="0.25">
      <c r="E6957"/>
      <c r="F6957"/>
      <c r="G6957" s="12"/>
      <c r="H6957" s="12"/>
      <c r="I6957" s="12"/>
      <c r="J6957" s="12"/>
    </row>
    <row r="6958" spans="5:10" x14ac:dyDescent="0.25">
      <c r="E6958"/>
      <c r="F6958"/>
      <c r="G6958" s="12"/>
      <c r="H6958" s="12"/>
      <c r="I6958" s="12"/>
      <c r="J6958" s="12"/>
    </row>
    <row r="6959" spans="5:10" x14ac:dyDescent="0.25">
      <c r="E6959"/>
      <c r="F6959"/>
      <c r="G6959" s="12"/>
      <c r="H6959" s="12"/>
      <c r="I6959" s="12"/>
      <c r="J6959" s="12"/>
    </row>
    <row r="6960" spans="5:10" x14ac:dyDescent="0.25">
      <c r="E6960"/>
      <c r="F6960"/>
      <c r="G6960" s="12"/>
      <c r="H6960" s="12"/>
      <c r="I6960" s="12"/>
      <c r="J6960" s="12"/>
    </row>
    <row r="6961" spans="5:10" x14ac:dyDescent="0.25">
      <c r="E6961"/>
      <c r="F6961"/>
      <c r="G6961" s="12"/>
      <c r="H6961" s="12"/>
      <c r="I6961" s="12"/>
      <c r="J6961" s="12"/>
    </row>
    <row r="6962" spans="5:10" x14ac:dyDescent="0.25">
      <c r="E6962"/>
      <c r="F6962"/>
      <c r="G6962" s="12"/>
      <c r="H6962" s="12"/>
      <c r="I6962" s="12"/>
      <c r="J6962" s="12"/>
    </row>
    <row r="6963" spans="5:10" x14ac:dyDescent="0.25">
      <c r="E6963"/>
      <c r="F6963"/>
      <c r="G6963" s="12"/>
      <c r="H6963" s="12"/>
      <c r="I6963" s="12"/>
      <c r="J6963" s="12"/>
    </row>
    <row r="6964" spans="5:10" x14ac:dyDescent="0.25">
      <c r="E6964"/>
      <c r="F6964"/>
      <c r="G6964" s="12"/>
      <c r="H6964" s="12"/>
      <c r="I6964" s="12"/>
      <c r="J6964" s="12"/>
    </row>
    <row r="6965" spans="5:10" x14ac:dyDescent="0.25">
      <c r="E6965"/>
      <c r="F6965"/>
      <c r="G6965" s="12"/>
      <c r="H6965" s="12"/>
      <c r="I6965" s="12"/>
      <c r="J6965" s="12"/>
    </row>
    <row r="6966" spans="5:10" x14ac:dyDescent="0.25">
      <c r="E6966"/>
      <c r="F6966"/>
      <c r="G6966" s="12"/>
      <c r="H6966" s="12"/>
      <c r="I6966" s="12"/>
      <c r="J6966" s="12"/>
    </row>
    <row r="6967" spans="5:10" x14ac:dyDescent="0.25">
      <c r="E6967"/>
      <c r="F6967"/>
      <c r="G6967" s="12"/>
      <c r="H6967" s="12"/>
      <c r="I6967" s="12"/>
      <c r="J6967" s="12"/>
    </row>
    <row r="6968" spans="5:10" x14ac:dyDescent="0.25">
      <c r="E6968"/>
      <c r="F6968"/>
      <c r="G6968" s="12"/>
      <c r="H6968" s="12"/>
      <c r="I6968" s="12"/>
      <c r="J6968" s="12"/>
    </row>
    <row r="6969" spans="5:10" x14ac:dyDescent="0.25">
      <c r="E6969"/>
      <c r="F6969"/>
      <c r="G6969" s="12"/>
      <c r="H6969" s="12"/>
      <c r="I6969" s="12"/>
      <c r="J6969" s="12"/>
    </row>
    <row r="6970" spans="5:10" x14ac:dyDescent="0.25">
      <c r="E6970"/>
      <c r="F6970"/>
      <c r="G6970" s="12"/>
      <c r="H6970" s="12"/>
      <c r="I6970" s="12"/>
      <c r="J6970" s="12"/>
    </row>
    <row r="6971" spans="5:10" x14ac:dyDescent="0.25">
      <c r="E6971"/>
      <c r="F6971"/>
      <c r="G6971" s="12"/>
      <c r="H6971" s="12"/>
      <c r="I6971" s="12"/>
      <c r="J6971" s="12"/>
    </row>
    <row r="6972" spans="5:10" x14ac:dyDescent="0.25">
      <c r="E6972"/>
      <c r="F6972"/>
      <c r="G6972" s="12"/>
      <c r="H6972" s="12"/>
      <c r="I6972" s="12"/>
      <c r="J6972" s="12"/>
    </row>
    <row r="6973" spans="5:10" x14ac:dyDescent="0.25">
      <c r="E6973"/>
      <c r="F6973"/>
      <c r="G6973" s="12"/>
      <c r="H6973" s="12"/>
      <c r="I6973" s="12"/>
      <c r="J6973" s="12"/>
    </row>
    <row r="6974" spans="5:10" x14ac:dyDescent="0.25">
      <c r="E6974"/>
      <c r="F6974"/>
      <c r="G6974" s="12"/>
      <c r="H6974" s="12"/>
      <c r="I6974" s="12"/>
      <c r="J6974" s="12"/>
    </row>
    <row r="6975" spans="5:10" x14ac:dyDescent="0.25">
      <c r="E6975"/>
      <c r="F6975"/>
      <c r="G6975" s="12"/>
      <c r="H6975" s="12"/>
      <c r="I6975" s="12"/>
      <c r="J6975" s="12"/>
    </row>
    <row r="6976" spans="5:10" x14ac:dyDescent="0.25">
      <c r="E6976"/>
      <c r="F6976"/>
      <c r="G6976" s="12"/>
      <c r="H6976" s="12"/>
      <c r="I6976" s="12"/>
      <c r="J6976" s="12"/>
    </row>
    <row r="6977" spans="5:10" x14ac:dyDescent="0.25">
      <c r="E6977"/>
      <c r="F6977"/>
      <c r="G6977" s="12"/>
      <c r="H6977" s="12"/>
      <c r="I6977" s="12"/>
      <c r="J6977" s="12"/>
    </row>
    <row r="6978" spans="5:10" x14ac:dyDescent="0.25">
      <c r="E6978"/>
      <c r="F6978"/>
      <c r="G6978" s="12"/>
      <c r="H6978" s="12"/>
      <c r="I6978" s="12"/>
      <c r="J6978" s="12"/>
    </row>
    <row r="6979" spans="5:10" x14ac:dyDescent="0.25">
      <c r="E6979"/>
      <c r="F6979"/>
      <c r="G6979" s="12"/>
      <c r="H6979" s="12"/>
      <c r="I6979" s="12"/>
      <c r="J6979" s="12"/>
    </row>
    <row r="6980" spans="5:10" x14ac:dyDescent="0.25">
      <c r="E6980"/>
      <c r="F6980"/>
      <c r="G6980" s="12"/>
      <c r="H6980" s="12"/>
      <c r="I6980" s="12"/>
      <c r="J6980" s="12"/>
    </row>
    <row r="6981" spans="5:10" x14ac:dyDescent="0.25">
      <c r="E6981"/>
      <c r="F6981"/>
      <c r="G6981" s="12"/>
      <c r="H6981" s="12"/>
      <c r="I6981" s="12"/>
      <c r="J6981" s="12"/>
    </row>
    <row r="6982" spans="5:10" x14ac:dyDescent="0.25">
      <c r="E6982"/>
      <c r="F6982"/>
      <c r="G6982" s="12"/>
      <c r="H6982" s="12"/>
      <c r="I6982" s="12"/>
      <c r="J6982" s="12"/>
    </row>
    <row r="6983" spans="5:10" x14ac:dyDescent="0.25">
      <c r="E6983"/>
      <c r="F6983"/>
      <c r="G6983" s="12"/>
      <c r="H6983" s="12"/>
      <c r="I6983" s="12"/>
      <c r="J6983" s="12"/>
    </row>
    <row r="6984" spans="5:10" x14ac:dyDescent="0.25">
      <c r="E6984"/>
      <c r="F6984"/>
      <c r="G6984" s="12"/>
      <c r="H6984" s="12"/>
      <c r="I6984" s="12"/>
      <c r="J6984" s="12"/>
    </row>
    <row r="6985" spans="5:10" x14ac:dyDescent="0.25">
      <c r="E6985"/>
      <c r="F6985"/>
      <c r="G6985" s="12"/>
      <c r="H6985" s="12"/>
      <c r="I6985" s="12"/>
      <c r="J6985" s="12"/>
    </row>
    <row r="6986" spans="5:10" x14ac:dyDescent="0.25">
      <c r="E6986"/>
      <c r="F6986"/>
      <c r="G6986" s="12"/>
      <c r="H6986" s="12"/>
      <c r="I6986" s="12"/>
      <c r="J6986" s="12"/>
    </row>
    <row r="6987" spans="5:10" x14ac:dyDescent="0.25">
      <c r="E6987"/>
      <c r="F6987"/>
      <c r="G6987" s="12"/>
      <c r="H6987" s="12"/>
      <c r="I6987" s="12"/>
      <c r="J6987" s="12"/>
    </row>
    <row r="6988" spans="5:10" x14ac:dyDescent="0.25">
      <c r="E6988"/>
      <c r="F6988"/>
      <c r="G6988" s="12"/>
      <c r="H6988" s="12"/>
      <c r="I6988" s="12"/>
      <c r="J6988" s="12"/>
    </row>
    <row r="6989" spans="5:10" x14ac:dyDescent="0.25">
      <c r="E6989"/>
      <c r="F6989"/>
      <c r="G6989" s="12"/>
      <c r="H6989" s="12"/>
      <c r="I6989" s="12"/>
      <c r="J6989" s="12"/>
    </row>
    <row r="6990" spans="5:10" x14ac:dyDescent="0.25">
      <c r="E6990"/>
      <c r="F6990"/>
      <c r="G6990" s="12"/>
      <c r="H6990" s="12"/>
      <c r="I6990" s="12"/>
      <c r="J6990" s="12"/>
    </row>
    <row r="6991" spans="5:10" x14ac:dyDescent="0.25">
      <c r="E6991"/>
      <c r="F6991"/>
      <c r="G6991" s="12"/>
      <c r="H6991" s="12"/>
      <c r="I6991" s="12"/>
      <c r="J6991" s="12"/>
    </row>
    <row r="6992" spans="5:10" x14ac:dyDescent="0.25">
      <c r="E6992"/>
      <c r="F6992"/>
      <c r="G6992" s="12"/>
      <c r="H6992" s="12"/>
      <c r="I6992" s="12"/>
      <c r="J6992" s="12"/>
    </row>
    <row r="6993" spans="5:10" x14ac:dyDescent="0.25">
      <c r="E6993"/>
      <c r="F6993"/>
      <c r="G6993" s="12"/>
      <c r="H6993" s="12"/>
      <c r="I6993" s="12"/>
      <c r="J6993" s="12"/>
    </row>
    <row r="6994" spans="5:10" x14ac:dyDescent="0.25">
      <c r="E6994"/>
      <c r="F6994"/>
      <c r="G6994" s="12"/>
      <c r="H6994" s="12"/>
      <c r="I6994" s="12"/>
      <c r="J6994" s="12"/>
    </row>
    <row r="6995" spans="5:10" x14ac:dyDescent="0.25">
      <c r="E6995"/>
      <c r="F6995"/>
      <c r="G6995" s="12"/>
      <c r="H6995" s="12"/>
      <c r="I6995" s="12"/>
      <c r="J6995" s="12"/>
    </row>
    <row r="6996" spans="5:10" x14ac:dyDescent="0.25">
      <c r="E6996"/>
      <c r="F6996"/>
      <c r="G6996" s="12"/>
      <c r="H6996" s="12"/>
      <c r="I6996" s="12"/>
      <c r="J6996" s="12"/>
    </row>
    <row r="6997" spans="5:10" x14ac:dyDescent="0.25">
      <c r="E6997"/>
      <c r="F6997"/>
      <c r="G6997" s="12"/>
      <c r="H6997" s="12"/>
      <c r="I6997" s="12"/>
      <c r="J6997" s="12"/>
    </row>
    <row r="6998" spans="5:10" x14ac:dyDescent="0.25">
      <c r="E6998"/>
      <c r="F6998"/>
      <c r="G6998" s="12"/>
      <c r="H6998" s="12"/>
      <c r="I6998" s="12"/>
      <c r="J6998" s="12"/>
    </row>
    <row r="6999" spans="5:10" x14ac:dyDescent="0.25">
      <c r="E6999"/>
      <c r="F6999"/>
      <c r="G6999" s="12"/>
      <c r="H6999" s="12"/>
      <c r="I6999" s="12"/>
      <c r="J6999" s="12"/>
    </row>
    <row r="7000" spans="5:10" x14ac:dyDescent="0.25">
      <c r="E7000"/>
      <c r="F7000"/>
      <c r="G7000" s="12"/>
      <c r="H7000" s="12"/>
      <c r="I7000" s="12"/>
      <c r="J7000" s="12"/>
    </row>
    <row r="7001" spans="5:10" x14ac:dyDescent="0.25">
      <c r="E7001"/>
      <c r="F7001"/>
      <c r="G7001" s="12"/>
      <c r="H7001" s="12"/>
      <c r="I7001" s="12"/>
      <c r="J7001" s="12"/>
    </row>
    <row r="7002" spans="5:10" x14ac:dyDescent="0.25">
      <c r="E7002"/>
      <c r="F7002"/>
      <c r="G7002" s="12"/>
      <c r="H7002" s="12"/>
      <c r="I7002" s="12"/>
      <c r="J7002" s="12"/>
    </row>
    <row r="7003" spans="5:10" x14ac:dyDescent="0.25">
      <c r="E7003"/>
      <c r="F7003"/>
      <c r="G7003" s="12"/>
      <c r="H7003" s="12"/>
      <c r="I7003" s="12"/>
      <c r="J7003" s="12"/>
    </row>
    <row r="7004" spans="5:10" x14ac:dyDescent="0.25">
      <c r="E7004"/>
      <c r="F7004"/>
      <c r="G7004" s="12"/>
      <c r="H7004" s="12"/>
      <c r="I7004" s="12"/>
      <c r="J7004" s="12"/>
    </row>
    <row r="7005" spans="5:10" x14ac:dyDescent="0.25">
      <c r="E7005"/>
      <c r="F7005"/>
      <c r="G7005" s="12"/>
      <c r="H7005" s="12"/>
      <c r="I7005" s="12"/>
      <c r="J7005" s="12"/>
    </row>
    <row r="7006" spans="5:10" x14ac:dyDescent="0.25">
      <c r="E7006"/>
      <c r="F7006"/>
      <c r="G7006" s="12"/>
      <c r="H7006" s="12"/>
      <c r="I7006" s="12"/>
      <c r="J7006" s="12"/>
    </row>
    <row r="7007" spans="5:10" x14ac:dyDescent="0.25">
      <c r="E7007"/>
      <c r="F7007"/>
      <c r="G7007" s="12"/>
      <c r="H7007" s="12"/>
      <c r="I7007" s="12"/>
      <c r="J7007" s="12"/>
    </row>
    <row r="7008" spans="5:10" x14ac:dyDescent="0.25">
      <c r="E7008"/>
      <c r="F7008"/>
      <c r="G7008" s="12"/>
      <c r="H7008" s="12"/>
      <c r="I7008" s="12"/>
      <c r="J7008" s="12"/>
    </row>
    <row r="7009" spans="5:10" x14ac:dyDescent="0.25">
      <c r="E7009"/>
      <c r="F7009"/>
      <c r="G7009" s="12"/>
      <c r="H7009" s="12"/>
      <c r="I7009" s="12"/>
      <c r="J7009" s="12"/>
    </row>
    <row r="7010" spans="5:10" x14ac:dyDescent="0.25">
      <c r="E7010"/>
      <c r="F7010"/>
      <c r="G7010" s="12"/>
      <c r="H7010" s="12"/>
      <c r="I7010" s="12"/>
      <c r="J7010" s="12"/>
    </row>
    <row r="7011" spans="5:10" x14ac:dyDescent="0.25">
      <c r="E7011"/>
      <c r="F7011"/>
      <c r="G7011" s="12"/>
      <c r="H7011" s="12"/>
      <c r="I7011" s="12"/>
      <c r="J7011" s="12"/>
    </row>
    <row r="7012" spans="5:10" x14ac:dyDescent="0.25">
      <c r="E7012"/>
      <c r="F7012"/>
      <c r="G7012" s="12"/>
      <c r="H7012" s="12"/>
      <c r="I7012" s="12"/>
      <c r="J7012" s="12"/>
    </row>
    <row r="7013" spans="5:10" x14ac:dyDescent="0.25">
      <c r="E7013"/>
      <c r="F7013"/>
      <c r="G7013" s="12"/>
      <c r="H7013" s="12"/>
      <c r="I7013" s="12"/>
      <c r="J7013" s="12"/>
    </row>
    <row r="7014" spans="5:10" x14ac:dyDescent="0.25">
      <c r="E7014"/>
      <c r="F7014"/>
      <c r="G7014" s="12"/>
      <c r="H7014" s="12"/>
      <c r="I7014" s="12"/>
      <c r="J7014" s="12"/>
    </row>
    <row r="7015" spans="5:10" x14ac:dyDescent="0.25">
      <c r="E7015"/>
      <c r="F7015"/>
      <c r="G7015" s="12"/>
      <c r="H7015" s="12"/>
      <c r="I7015" s="12"/>
      <c r="J7015" s="12"/>
    </row>
    <row r="7016" spans="5:10" x14ac:dyDescent="0.25">
      <c r="E7016"/>
      <c r="F7016"/>
      <c r="G7016" s="12"/>
      <c r="H7016" s="12"/>
      <c r="I7016" s="12"/>
      <c r="J7016" s="12"/>
    </row>
    <row r="7017" spans="5:10" x14ac:dyDescent="0.25">
      <c r="E7017"/>
      <c r="F7017"/>
      <c r="G7017" s="12"/>
      <c r="H7017" s="12"/>
      <c r="I7017" s="12"/>
      <c r="J7017" s="12"/>
    </row>
    <row r="7018" spans="5:10" x14ac:dyDescent="0.25">
      <c r="E7018"/>
      <c r="F7018"/>
      <c r="G7018" s="12"/>
      <c r="H7018" s="12"/>
      <c r="I7018" s="12"/>
      <c r="J7018" s="12"/>
    </row>
    <row r="7019" spans="5:10" x14ac:dyDescent="0.25">
      <c r="E7019"/>
      <c r="F7019"/>
      <c r="G7019" s="12"/>
      <c r="H7019" s="12"/>
      <c r="I7019" s="12"/>
      <c r="J7019" s="12"/>
    </row>
    <row r="7020" spans="5:10" x14ac:dyDescent="0.25">
      <c r="E7020"/>
      <c r="F7020"/>
      <c r="G7020" s="12"/>
      <c r="H7020" s="12"/>
      <c r="I7020" s="12"/>
      <c r="J7020" s="12"/>
    </row>
    <row r="7021" spans="5:10" x14ac:dyDescent="0.25">
      <c r="E7021"/>
      <c r="F7021"/>
      <c r="G7021" s="12"/>
      <c r="H7021" s="12"/>
      <c r="I7021" s="12"/>
      <c r="J7021" s="12"/>
    </row>
    <row r="7022" spans="5:10" x14ac:dyDescent="0.25">
      <c r="E7022"/>
      <c r="F7022"/>
      <c r="G7022" s="12"/>
      <c r="H7022" s="12"/>
      <c r="I7022" s="12"/>
      <c r="J7022" s="12"/>
    </row>
    <row r="7023" spans="5:10" x14ac:dyDescent="0.25">
      <c r="E7023"/>
      <c r="F7023"/>
      <c r="G7023" s="12"/>
      <c r="H7023" s="12"/>
      <c r="I7023" s="12"/>
      <c r="J7023" s="12"/>
    </row>
    <row r="7024" spans="5:10" x14ac:dyDescent="0.25">
      <c r="E7024"/>
      <c r="F7024"/>
      <c r="G7024" s="12"/>
      <c r="H7024" s="12"/>
      <c r="I7024" s="12"/>
      <c r="J7024" s="12"/>
    </row>
    <row r="7025" spans="5:10" x14ac:dyDescent="0.25">
      <c r="E7025"/>
      <c r="F7025"/>
      <c r="G7025" s="12"/>
      <c r="H7025" s="12"/>
      <c r="I7025" s="12"/>
      <c r="J7025" s="12"/>
    </row>
    <row r="7026" spans="5:10" x14ac:dyDescent="0.25">
      <c r="E7026"/>
      <c r="F7026"/>
      <c r="G7026" s="12"/>
      <c r="H7026" s="12"/>
      <c r="I7026" s="12"/>
      <c r="J7026" s="12"/>
    </row>
    <row r="7027" spans="5:10" x14ac:dyDescent="0.25">
      <c r="E7027"/>
      <c r="F7027"/>
      <c r="G7027" s="12"/>
      <c r="H7027" s="12"/>
      <c r="I7027" s="12"/>
      <c r="J7027" s="12"/>
    </row>
    <row r="7028" spans="5:10" x14ac:dyDescent="0.25">
      <c r="E7028"/>
      <c r="F7028"/>
      <c r="G7028" s="12"/>
      <c r="H7028" s="12"/>
      <c r="I7028" s="12"/>
      <c r="J7028" s="12"/>
    </row>
    <row r="7029" spans="5:10" x14ac:dyDescent="0.25">
      <c r="E7029"/>
      <c r="F7029"/>
      <c r="G7029" s="12"/>
      <c r="H7029" s="12"/>
      <c r="I7029" s="12"/>
      <c r="J7029" s="12"/>
    </row>
    <row r="7030" spans="5:10" x14ac:dyDescent="0.25">
      <c r="E7030"/>
      <c r="F7030"/>
      <c r="G7030" s="12"/>
      <c r="H7030" s="12"/>
      <c r="I7030" s="12"/>
      <c r="J7030" s="12"/>
    </row>
    <row r="7031" spans="5:10" x14ac:dyDescent="0.25">
      <c r="E7031"/>
      <c r="F7031"/>
      <c r="G7031" s="12"/>
      <c r="H7031" s="12"/>
      <c r="I7031" s="12"/>
      <c r="J7031" s="12"/>
    </row>
    <row r="7032" spans="5:10" x14ac:dyDescent="0.25">
      <c r="E7032"/>
      <c r="F7032"/>
      <c r="G7032" s="12"/>
      <c r="H7032" s="12"/>
      <c r="I7032" s="12"/>
      <c r="J7032" s="12"/>
    </row>
    <row r="7033" spans="5:10" x14ac:dyDescent="0.25">
      <c r="E7033"/>
      <c r="F7033"/>
      <c r="G7033" s="12"/>
      <c r="H7033" s="12"/>
      <c r="I7033" s="12"/>
      <c r="J7033" s="12"/>
    </row>
    <row r="7034" spans="5:10" x14ac:dyDescent="0.25">
      <c r="E7034"/>
      <c r="F7034"/>
      <c r="G7034" s="12"/>
      <c r="H7034" s="12"/>
      <c r="I7034" s="12"/>
      <c r="J7034" s="12"/>
    </row>
    <row r="7035" spans="5:10" x14ac:dyDescent="0.25">
      <c r="E7035"/>
      <c r="F7035"/>
      <c r="G7035" s="12"/>
      <c r="H7035" s="12"/>
      <c r="I7035" s="12"/>
      <c r="J7035" s="12"/>
    </row>
    <row r="7036" spans="5:10" x14ac:dyDescent="0.25">
      <c r="E7036"/>
      <c r="F7036"/>
      <c r="G7036" s="12"/>
      <c r="H7036" s="12"/>
      <c r="I7036" s="12"/>
      <c r="J7036" s="12"/>
    </row>
    <row r="7037" spans="5:10" x14ac:dyDescent="0.25">
      <c r="E7037"/>
      <c r="F7037"/>
      <c r="G7037" s="12"/>
      <c r="H7037" s="12"/>
      <c r="I7037" s="12"/>
      <c r="J7037" s="12"/>
    </row>
    <row r="7038" spans="5:10" x14ac:dyDescent="0.25">
      <c r="E7038"/>
      <c r="F7038"/>
      <c r="G7038" s="12"/>
      <c r="H7038" s="12"/>
      <c r="I7038" s="12"/>
      <c r="J7038" s="12"/>
    </row>
    <row r="7039" spans="5:10" x14ac:dyDescent="0.25">
      <c r="E7039"/>
      <c r="F7039"/>
      <c r="G7039" s="12"/>
      <c r="H7039" s="12"/>
      <c r="I7039" s="12"/>
      <c r="J7039" s="12"/>
    </row>
    <row r="7040" spans="5:10" x14ac:dyDescent="0.25">
      <c r="E7040"/>
      <c r="F7040"/>
      <c r="G7040" s="12"/>
      <c r="H7040" s="12"/>
      <c r="I7040" s="12"/>
      <c r="J7040" s="12"/>
    </row>
    <row r="7041" spans="5:10" x14ac:dyDescent="0.25">
      <c r="E7041"/>
      <c r="F7041"/>
      <c r="G7041" s="12"/>
      <c r="H7041" s="12"/>
      <c r="I7041" s="12"/>
      <c r="J7041" s="12"/>
    </row>
    <row r="7042" spans="5:10" x14ac:dyDescent="0.25">
      <c r="E7042"/>
      <c r="F7042"/>
      <c r="G7042" s="12"/>
      <c r="H7042" s="12"/>
      <c r="I7042" s="12"/>
      <c r="J7042" s="12"/>
    </row>
    <row r="7043" spans="5:10" x14ac:dyDescent="0.25">
      <c r="E7043"/>
      <c r="F7043"/>
      <c r="G7043" s="12"/>
      <c r="H7043" s="12"/>
      <c r="I7043" s="12"/>
      <c r="J7043" s="12"/>
    </row>
    <row r="7044" spans="5:10" x14ac:dyDescent="0.25">
      <c r="E7044"/>
      <c r="F7044"/>
      <c r="G7044" s="12"/>
      <c r="H7044" s="12"/>
      <c r="I7044" s="12"/>
      <c r="J7044" s="12"/>
    </row>
    <row r="7045" spans="5:10" x14ac:dyDescent="0.25">
      <c r="E7045"/>
      <c r="F7045"/>
      <c r="G7045" s="12"/>
      <c r="H7045" s="12"/>
      <c r="I7045" s="12"/>
      <c r="J7045" s="12"/>
    </row>
    <row r="7046" spans="5:10" x14ac:dyDescent="0.25">
      <c r="E7046"/>
      <c r="F7046"/>
      <c r="G7046" s="12"/>
      <c r="H7046" s="12"/>
      <c r="I7046" s="12"/>
      <c r="J7046" s="12"/>
    </row>
    <row r="7047" spans="5:10" x14ac:dyDescent="0.25">
      <c r="E7047"/>
      <c r="F7047"/>
      <c r="G7047" s="12"/>
      <c r="H7047" s="12"/>
      <c r="I7047" s="12"/>
      <c r="J7047" s="12"/>
    </row>
    <row r="7048" spans="5:10" x14ac:dyDescent="0.25">
      <c r="E7048"/>
      <c r="F7048"/>
      <c r="G7048" s="12"/>
      <c r="H7048" s="12"/>
      <c r="I7048" s="12"/>
      <c r="J7048" s="12"/>
    </row>
    <row r="7049" spans="5:10" x14ac:dyDescent="0.25">
      <c r="E7049"/>
      <c r="F7049"/>
      <c r="G7049" s="12"/>
      <c r="H7049" s="12"/>
      <c r="I7049" s="12"/>
      <c r="J7049" s="12"/>
    </row>
    <row r="7050" spans="5:10" x14ac:dyDescent="0.25">
      <c r="E7050"/>
      <c r="F7050"/>
      <c r="G7050" s="12"/>
      <c r="H7050" s="12"/>
      <c r="I7050" s="12"/>
      <c r="J7050" s="12"/>
    </row>
    <row r="7051" spans="5:10" x14ac:dyDescent="0.25">
      <c r="E7051"/>
      <c r="F7051"/>
      <c r="G7051" s="12"/>
      <c r="H7051" s="12"/>
      <c r="I7051" s="12"/>
      <c r="J7051" s="12"/>
    </row>
    <row r="7052" spans="5:10" x14ac:dyDescent="0.25">
      <c r="E7052"/>
      <c r="F7052"/>
      <c r="G7052" s="12"/>
      <c r="H7052" s="12"/>
      <c r="I7052" s="12"/>
      <c r="J7052" s="12"/>
    </row>
    <row r="7053" spans="5:10" x14ac:dyDescent="0.25">
      <c r="E7053"/>
      <c r="F7053"/>
      <c r="G7053" s="12"/>
      <c r="H7053" s="12"/>
      <c r="I7053" s="12"/>
      <c r="J7053" s="12"/>
    </row>
    <row r="7054" spans="5:10" x14ac:dyDescent="0.25">
      <c r="E7054"/>
      <c r="F7054"/>
      <c r="G7054" s="12"/>
      <c r="H7054" s="12"/>
      <c r="I7054" s="12"/>
      <c r="J7054" s="12"/>
    </row>
    <row r="7055" spans="5:10" x14ac:dyDescent="0.25">
      <c r="E7055"/>
      <c r="F7055"/>
      <c r="G7055" s="12"/>
      <c r="H7055" s="12"/>
      <c r="I7055" s="12"/>
      <c r="J7055" s="12"/>
    </row>
    <row r="7056" spans="5:10" x14ac:dyDescent="0.25">
      <c r="E7056"/>
      <c r="F7056"/>
      <c r="G7056" s="12"/>
      <c r="H7056" s="12"/>
      <c r="I7056" s="12"/>
      <c r="J7056" s="12"/>
    </row>
    <row r="7057" spans="5:10" x14ac:dyDescent="0.25">
      <c r="E7057"/>
      <c r="F7057"/>
      <c r="G7057" s="12"/>
      <c r="H7057" s="12"/>
      <c r="I7057" s="12"/>
      <c r="J7057" s="12"/>
    </row>
    <row r="7058" spans="5:10" x14ac:dyDescent="0.25">
      <c r="E7058"/>
      <c r="F7058"/>
      <c r="G7058" s="12"/>
      <c r="H7058" s="12"/>
      <c r="I7058" s="12"/>
      <c r="J7058" s="12"/>
    </row>
    <row r="7059" spans="5:10" x14ac:dyDescent="0.25">
      <c r="E7059"/>
      <c r="F7059"/>
      <c r="G7059" s="12"/>
      <c r="H7059" s="12"/>
      <c r="I7059" s="12"/>
      <c r="J7059" s="12"/>
    </row>
    <row r="7060" spans="5:10" x14ac:dyDescent="0.25">
      <c r="E7060"/>
      <c r="F7060"/>
      <c r="G7060" s="12"/>
      <c r="H7060" s="12"/>
      <c r="I7060" s="12"/>
      <c r="J7060" s="12"/>
    </row>
    <row r="7061" spans="5:10" x14ac:dyDescent="0.25">
      <c r="E7061"/>
      <c r="F7061"/>
      <c r="G7061" s="12"/>
      <c r="H7061" s="12"/>
      <c r="I7061" s="12"/>
      <c r="J7061" s="12"/>
    </row>
    <row r="7062" spans="5:10" x14ac:dyDescent="0.25">
      <c r="E7062"/>
      <c r="F7062"/>
      <c r="G7062" s="12"/>
      <c r="H7062" s="12"/>
      <c r="I7062" s="12"/>
      <c r="J7062" s="12"/>
    </row>
    <row r="7063" spans="5:10" x14ac:dyDescent="0.25">
      <c r="E7063"/>
      <c r="F7063"/>
      <c r="G7063" s="12"/>
      <c r="H7063" s="12"/>
      <c r="I7063" s="12"/>
      <c r="J7063" s="12"/>
    </row>
    <row r="7064" spans="5:10" x14ac:dyDescent="0.25">
      <c r="E7064"/>
      <c r="F7064"/>
      <c r="G7064" s="12"/>
      <c r="H7064" s="12"/>
      <c r="I7064" s="12"/>
      <c r="J7064" s="12"/>
    </row>
    <row r="7065" spans="5:10" x14ac:dyDescent="0.25">
      <c r="E7065"/>
      <c r="F7065"/>
      <c r="G7065" s="12"/>
      <c r="H7065" s="12"/>
      <c r="I7065" s="12"/>
      <c r="J7065" s="12"/>
    </row>
    <row r="7066" spans="5:10" x14ac:dyDescent="0.25">
      <c r="E7066"/>
      <c r="F7066"/>
      <c r="G7066" s="12"/>
      <c r="H7066" s="12"/>
      <c r="I7066" s="12"/>
      <c r="J7066" s="12"/>
    </row>
    <row r="7067" spans="5:10" x14ac:dyDescent="0.25">
      <c r="E7067"/>
      <c r="F7067"/>
      <c r="G7067" s="12"/>
      <c r="H7067" s="12"/>
      <c r="I7067" s="12"/>
      <c r="J7067" s="12"/>
    </row>
    <row r="7068" spans="5:10" x14ac:dyDescent="0.25">
      <c r="E7068"/>
      <c r="F7068"/>
      <c r="G7068" s="12"/>
      <c r="H7068" s="12"/>
      <c r="I7068" s="12"/>
      <c r="J7068" s="12"/>
    </row>
    <row r="7069" spans="5:10" x14ac:dyDescent="0.25">
      <c r="E7069"/>
      <c r="F7069"/>
      <c r="G7069" s="12"/>
      <c r="H7069" s="12"/>
      <c r="I7069" s="12"/>
      <c r="J7069" s="12"/>
    </row>
    <row r="7070" spans="5:10" x14ac:dyDescent="0.25">
      <c r="E7070"/>
      <c r="F7070"/>
      <c r="G7070" s="12"/>
      <c r="H7070" s="12"/>
      <c r="I7070" s="12"/>
      <c r="J7070" s="12"/>
    </row>
    <row r="7071" spans="5:10" x14ac:dyDescent="0.25">
      <c r="E7071"/>
      <c r="F7071"/>
      <c r="G7071" s="12"/>
      <c r="H7071" s="12"/>
      <c r="I7071" s="12"/>
      <c r="J7071" s="12"/>
    </row>
    <row r="7072" spans="5:10" x14ac:dyDescent="0.25">
      <c r="E7072"/>
      <c r="F7072"/>
      <c r="G7072" s="12"/>
      <c r="H7072" s="12"/>
      <c r="I7072" s="12"/>
      <c r="J7072" s="12"/>
    </row>
    <row r="7073" spans="5:10" x14ac:dyDescent="0.25">
      <c r="E7073"/>
      <c r="F7073"/>
      <c r="G7073" s="12"/>
      <c r="H7073" s="12"/>
      <c r="I7073" s="12"/>
      <c r="J7073" s="12"/>
    </row>
    <row r="7074" spans="5:10" x14ac:dyDescent="0.25">
      <c r="E7074"/>
      <c r="F7074"/>
      <c r="G7074" s="12"/>
      <c r="H7074" s="12"/>
      <c r="I7074" s="12"/>
      <c r="J7074" s="12"/>
    </row>
    <row r="7075" spans="5:10" x14ac:dyDescent="0.25">
      <c r="E7075"/>
      <c r="F7075"/>
      <c r="G7075" s="12"/>
      <c r="H7075" s="12"/>
      <c r="I7075" s="12"/>
      <c r="J7075" s="12"/>
    </row>
    <row r="7076" spans="5:10" x14ac:dyDescent="0.25">
      <c r="E7076"/>
      <c r="F7076"/>
      <c r="G7076" s="12"/>
      <c r="H7076" s="12"/>
      <c r="I7076" s="12"/>
      <c r="J7076" s="12"/>
    </row>
    <row r="7077" spans="5:10" x14ac:dyDescent="0.25">
      <c r="E7077"/>
      <c r="F7077"/>
      <c r="G7077" s="12"/>
      <c r="H7077" s="12"/>
      <c r="I7077" s="12"/>
      <c r="J7077" s="12"/>
    </row>
    <row r="7078" spans="5:10" x14ac:dyDescent="0.25">
      <c r="E7078"/>
      <c r="F7078"/>
      <c r="G7078" s="12"/>
      <c r="H7078" s="12"/>
      <c r="I7078" s="12"/>
      <c r="J7078" s="12"/>
    </row>
    <row r="7079" spans="5:10" x14ac:dyDescent="0.25">
      <c r="E7079"/>
      <c r="F7079"/>
      <c r="G7079" s="12"/>
      <c r="H7079" s="12"/>
      <c r="I7079" s="12"/>
      <c r="J7079" s="12"/>
    </row>
    <row r="7080" spans="5:10" x14ac:dyDescent="0.25">
      <c r="E7080"/>
      <c r="F7080"/>
      <c r="G7080" s="12"/>
      <c r="H7080" s="12"/>
      <c r="I7080" s="12"/>
      <c r="J7080" s="12"/>
    </row>
    <row r="7081" spans="5:10" x14ac:dyDescent="0.25">
      <c r="E7081"/>
      <c r="F7081"/>
      <c r="G7081" s="12"/>
      <c r="H7081" s="12"/>
      <c r="I7081" s="12"/>
      <c r="J7081" s="12"/>
    </row>
    <row r="7082" spans="5:10" x14ac:dyDescent="0.25">
      <c r="E7082"/>
      <c r="F7082"/>
      <c r="G7082" s="12"/>
      <c r="H7082" s="12"/>
      <c r="I7082" s="12"/>
      <c r="J7082" s="12"/>
    </row>
    <row r="7083" spans="5:10" x14ac:dyDescent="0.25">
      <c r="E7083"/>
      <c r="F7083"/>
      <c r="G7083" s="12"/>
      <c r="H7083" s="12"/>
      <c r="I7083" s="12"/>
      <c r="J7083" s="12"/>
    </row>
    <row r="7084" spans="5:10" x14ac:dyDescent="0.25">
      <c r="E7084"/>
      <c r="F7084"/>
      <c r="G7084" s="12"/>
      <c r="H7084" s="12"/>
      <c r="I7084" s="12"/>
      <c r="J7084" s="12"/>
    </row>
    <row r="7085" spans="5:10" x14ac:dyDescent="0.25">
      <c r="E7085"/>
      <c r="F7085"/>
      <c r="G7085" s="12"/>
      <c r="H7085" s="12"/>
      <c r="I7085" s="12"/>
      <c r="J7085" s="12"/>
    </row>
    <row r="7086" spans="5:10" x14ac:dyDescent="0.25">
      <c r="E7086"/>
      <c r="F7086"/>
      <c r="G7086" s="12"/>
      <c r="H7086" s="12"/>
      <c r="I7086" s="12"/>
      <c r="J7086" s="12"/>
    </row>
    <row r="7087" spans="5:10" x14ac:dyDescent="0.25">
      <c r="E7087"/>
      <c r="F7087"/>
      <c r="G7087" s="12"/>
      <c r="H7087" s="12"/>
      <c r="I7087" s="12"/>
      <c r="J7087" s="12"/>
    </row>
    <row r="7088" spans="5:10" x14ac:dyDescent="0.25">
      <c r="E7088"/>
      <c r="F7088"/>
      <c r="G7088" s="12"/>
      <c r="H7088" s="12"/>
      <c r="I7088" s="12"/>
      <c r="J7088" s="12"/>
    </row>
    <row r="7089" spans="5:10" x14ac:dyDescent="0.25">
      <c r="E7089"/>
      <c r="F7089"/>
      <c r="G7089" s="12"/>
      <c r="H7089" s="12"/>
      <c r="I7089" s="12"/>
      <c r="J7089" s="12"/>
    </row>
    <row r="7090" spans="5:10" x14ac:dyDescent="0.25">
      <c r="E7090"/>
      <c r="F7090"/>
      <c r="G7090" s="12"/>
      <c r="H7090" s="12"/>
      <c r="I7090" s="12"/>
      <c r="J7090" s="12"/>
    </row>
    <row r="7091" spans="5:10" x14ac:dyDescent="0.25">
      <c r="E7091"/>
      <c r="F7091"/>
      <c r="G7091" s="12"/>
      <c r="H7091" s="12"/>
      <c r="I7091" s="12"/>
      <c r="J7091" s="12"/>
    </row>
    <row r="7092" spans="5:10" x14ac:dyDescent="0.25">
      <c r="E7092"/>
      <c r="F7092"/>
      <c r="G7092" s="12"/>
      <c r="H7092" s="12"/>
      <c r="I7092" s="12"/>
      <c r="J7092" s="12"/>
    </row>
    <row r="7093" spans="5:10" x14ac:dyDescent="0.25">
      <c r="E7093"/>
      <c r="F7093"/>
      <c r="G7093" s="12"/>
      <c r="H7093" s="12"/>
      <c r="I7093" s="12"/>
      <c r="J7093" s="12"/>
    </row>
    <row r="7094" spans="5:10" x14ac:dyDescent="0.25">
      <c r="E7094"/>
      <c r="F7094"/>
      <c r="G7094" s="12"/>
      <c r="H7094" s="12"/>
      <c r="I7094" s="12"/>
      <c r="J7094" s="12"/>
    </row>
    <row r="7095" spans="5:10" x14ac:dyDescent="0.25">
      <c r="E7095"/>
      <c r="F7095"/>
      <c r="G7095" s="12"/>
      <c r="H7095" s="12"/>
      <c r="I7095" s="12"/>
      <c r="J7095" s="12"/>
    </row>
    <row r="7096" spans="5:10" x14ac:dyDescent="0.25">
      <c r="E7096"/>
      <c r="F7096"/>
      <c r="G7096" s="12"/>
      <c r="H7096" s="12"/>
      <c r="I7096" s="12"/>
      <c r="J7096" s="12"/>
    </row>
    <row r="7097" spans="5:10" x14ac:dyDescent="0.25">
      <c r="E7097"/>
      <c r="F7097"/>
      <c r="G7097" s="12"/>
      <c r="H7097" s="12"/>
      <c r="I7097" s="12"/>
      <c r="J7097" s="12"/>
    </row>
    <row r="7098" spans="5:10" x14ac:dyDescent="0.25">
      <c r="E7098"/>
      <c r="F7098"/>
      <c r="G7098" s="12"/>
      <c r="H7098" s="12"/>
      <c r="I7098" s="12"/>
      <c r="J7098" s="12"/>
    </row>
    <row r="7099" spans="5:10" x14ac:dyDescent="0.25">
      <c r="E7099"/>
      <c r="F7099"/>
      <c r="G7099" s="12"/>
      <c r="H7099" s="12"/>
      <c r="I7099" s="12"/>
      <c r="J7099" s="12"/>
    </row>
    <row r="7100" spans="5:10" x14ac:dyDescent="0.25">
      <c r="E7100"/>
      <c r="F7100"/>
      <c r="G7100" s="12"/>
      <c r="H7100" s="12"/>
      <c r="I7100" s="12"/>
      <c r="J7100" s="12"/>
    </row>
    <row r="7101" spans="5:10" x14ac:dyDescent="0.25">
      <c r="E7101"/>
      <c r="F7101"/>
      <c r="G7101" s="12"/>
      <c r="H7101" s="12"/>
      <c r="I7101" s="12"/>
      <c r="J7101" s="12"/>
    </row>
    <row r="7102" spans="5:10" x14ac:dyDescent="0.25">
      <c r="E7102"/>
      <c r="F7102"/>
      <c r="G7102" s="12"/>
      <c r="H7102" s="12"/>
      <c r="I7102" s="12"/>
      <c r="J7102" s="12"/>
    </row>
    <row r="7103" spans="5:10" x14ac:dyDescent="0.25">
      <c r="E7103"/>
      <c r="F7103"/>
      <c r="G7103" s="12"/>
      <c r="H7103" s="12"/>
      <c r="I7103" s="12"/>
      <c r="J7103" s="12"/>
    </row>
    <row r="7104" spans="5:10" x14ac:dyDescent="0.25">
      <c r="E7104"/>
      <c r="F7104"/>
      <c r="G7104" s="12"/>
      <c r="H7104" s="12"/>
      <c r="I7104" s="12"/>
      <c r="J7104" s="12"/>
    </row>
    <row r="7105" spans="5:10" x14ac:dyDescent="0.25">
      <c r="E7105"/>
      <c r="F7105"/>
      <c r="G7105" s="12"/>
      <c r="H7105" s="12"/>
      <c r="I7105" s="12"/>
      <c r="J7105" s="12"/>
    </row>
    <row r="7106" spans="5:10" x14ac:dyDescent="0.25">
      <c r="E7106"/>
      <c r="F7106"/>
      <c r="G7106" s="12"/>
      <c r="H7106" s="12"/>
      <c r="I7106" s="12"/>
      <c r="J7106" s="12"/>
    </row>
    <row r="7107" spans="5:10" x14ac:dyDescent="0.25">
      <c r="E7107"/>
      <c r="F7107"/>
      <c r="G7107" s="12"/>
      <c r="H7107" s="12"/>
      <c r="I7107" s="12"/>
      <c r="J7107" s="12"/>
    </row>
    <row r="7108" spans="5:10" x14ac:dyDescent="0.25">
      <c r="E7108"/>
      <c r="F7108"/>
      <c r="G7108" s="12"/>
      <c r="H7108" s="12"/>
      <c r="I7108" s="12"/>
      <c r="J7108" s="12"/>
    </row>
    <row r="7109" spans="5:10" x14ac:dyDescent="0.25">
      <c r="E7109"/>
      <c r="F7109"/>
      <c r="G7109" s="12"/>
      <c r="H7109" s="12"/>
      <c r="I7109" s="12"/>
      <c r="J7109" s="12"/>
    </row>
    <row r="7110" spans="5:10" x14ac:dyDescent="0.25">
      <c r="E7110"/>
      <c r="F7110"/>
      <c r="G7110" s="12"/>
      <c r="H7110" s="12"/>
      <c r="I7110" s="12"/>
      <c r="J7110" s="12"/>
    </row>
    <row r="7111" spans="5:10" x14ac:dyDescent="0.25">
      <c r="E7111"/>
      <c r="F7111"/>
      <c r="G7111" s="12"/>
      <c r="H7111" s="12"/>
      <c r="I7111" s="12"/>
      <c r="J7111" s="12"/>
    </row>
    <row r="7112" spans="5:10" x14ac:dyDescent="0.25">
      <c r="E7112"/>
      <c r="F7112"/>
      <c r="G7112" s="12"/>
      <c r="H7112" s="12"/>
      <c r="I7112" s="12"/>
      <c r="J7112" s="12"/>
    </row>
    <row r="7113" spans="5:10" x14ac:dyDescent="0.25">
      <c r="E7113"/>
      <c r="F7113"/>
      <c r="G7113" s="12"/>
      <c r="H7113" s="12"/>
      <c r="I7113" s="12"/>
      <c r="J7113" s="12"/>
    </row>
    <row r="7114" spans="5:10" x14ac:dyDescent="0.25">
      <c r="E7114"/>
      <c r="F7114"/>
      <c r="G7114" s="12"/>
      <c r="H7114" s="12"/>
      <c r="I7114" s="12"/>
      <c r="J7114" s="12"/>
    </row>
    <row r="7115" spans="5:10" x14ac:dyDescent="0.25">
      <c r="E7115"/>
      <c r="F7115"/>
      <c r="G7115" s="12"/>
      <c r="H7115" s="12"/>
      <c r="I7115" s="12"/>
      <c r="J7115" s="12"/>
    </row>
    <row r="7116" spans="5:10" x14ac:dyDescent="0.25">
      <c r="E7116"/>
      <c r="F7116"/>
      <c r="G7116" s="12"/>
      <c r="H7116" s="12"/>
      <c r="I7116" s="12"/>
      <c r="J7116" s="12"/>
    </row>
    <row r="7117" spans="5:10" x14ac:dyDescent="0.25">
      <c r="E7117"/>
      <c r="F7117"/>
      <c r="G7117" s="12"/>
      <c r="H7117" s="12"/>
      <c r="I7117" s="12"/>
      <c r="J7117" s="12"/>
    </row>
    <row r="7118" spans="5:10" x14ac:dyDescent="0.25">
      <c r="E7118"/>
      <c r="F7118"/>
      <c r="G7118" s="12"/>
      <c r="H7118" s="12"/>
      <c r="I7118" s="12"/>
      <c r="J7118" s="12"/>
    </row>
    <row r="7119" spans="5:10" x14ac:dyDescent="0.25">
      <c r="E7119"/>
      <c r="F7119"/>
      <c r="G7119" s="12"/>
      <c r="H7119" s="12"/>
      <c r="I7119" s="12"/>
      <c r="J7119" s="12"/>
    </row>
    <row r="7120" spans="5:10" x14ac:dyDescent="0.25">
      <c r="E7120"/>
      <c r="F7120"/>
      <c r="G7120" s="12"/>
      <c r="H7120" s="12"/>
      <c r="I7120" s="12"/>
      <c r="J7120" s="12"/>
    </row>
    <row r="7121" spans="5:10" x14ac:dyDescent="0.25">
      <c r="E7121"/>
      <c r="F7121"/>
      <c r="G7121" s="12"/>
      <c r="H7121" s="12"/>
      <c r="I7121" s="12"/>
      <c r="J7121" s="12"/>
    </row>
    <row r="7122" spans="5:10" x14ac:dyDescent="0.25">
      <c r="E7122"/>
      <c r="F7122"/>
      <c r="G7122" s="12"/>
      <c r="H7122" s="12"/>
      <c r="I7122" s="12"/>
      <c r="J7122" s="12"/>
    </row>
    <row r="7123" spans="5:10" x14ac:dyDescent="0.25">
      <c r="E7123"/>
      <c r="F7123"/>
      <c r="G7123" s="12"/>
      <c r="H7123" s="12"/>
      <c r="I7123" s="12"/>
      <c r="J7123" s="12"/>
    </row>
    <row r="7124" spans="5:10" x14ac:dyDescent="0.25">
      <c r="E7124"/>
      <c r="F7124"/>
      <c r="G7124" s="12"/>
      <c r="H7124" s="12"/>
      <c r="I7124" s="12"/>
      <c r="J7124" s="12"/>
    </row>
    <row r="7125" spans="5:10" x14ac:dyDescent="0.25">
      <c r="E7125"/>
      <c r="F7125"/>
      <c r="G7125" s="12"/>
      <c r="H7125" s="12"/>
      <c r="I7125" s="12"/>
      <c r="J7125" s="12"/>
    </row>
    <row r="7126" spans="5:10" x14ac:dyDescent="0.25">
      <c r="E7126"/>
      <c r="F7126"/>
      <c r="G7126" s="12"/>
      <c r="H7126" s="12"/>
      <c r="I7126" s="12"/>
      <c r="J7126" s="12"/>
    </row>
    <row r="7127" spans="5:10" x14ac:dyDescent="0.25">
      <c r="E7127"/>
      <c r="F7127"/>
      <c r="G7127" s="12"/>
      <c r="H7127" s="12"/>
      <c r="I7127" s="12"/>
      <c r="J7127" s="12"/>
    </row>
    <row r="7128" spans="5:10" x14ac:dyDescent="0.25">
      <c r="E7128"/>
      <c r="F7128"/>
      <c r="G7128" s="12"/>
      <c r="H7128" s="12"/>
      <c r="I7128" s="12"/>
      <c r="J7128" s="12"/>
    </row>
    <row r="7129" spans="5:10" x14ac:dyDescent="0.25">
      <c r="E7129"/>
      <c r="F7129"/>
      <c r="G7129" s="12"/>
      <c r="H7129" s="12"/>
      <c r="I7129" s="12"/>
      <c r="J7129" s="12"/>
    </row>
    <row r="7130" spans="5:10" x14ac:dyDescent="0.25">
      <c r="E7130"/>
      <c r="F7130"/>
      <c r="G7130" s="12"/>
      <c r="H7130" s="12"/>
      <c r="I7130" s="12"/>
      <c r="J7130" s="12"/>
    </row>
    <row r="7131" spans="5:10" x14ac:dyDescent="0.25">
      <c r="E7131"/>
      <c r="F7131"/>
      <c r="G7131" s="12"/>
      <c r="H7131" s="12"/>
      <c r="I7131" s="12"/>
      <c r="J7131" s="12"/>
    </row>
    <row r="7132" spans="5:10" x14ac:dyDescent="0.25">
      <c r="E7132"/>
      <c r="F7132"/>
      <c r="G7132" s="12"/>
      <c r="H7132" s="12"/>
      <c r="I7132" s="12"/>
      <c r="J7132" s="12"/>
    </row>
    <row r="7133" spans="5:10" x14ac:dyDescent="0.25">
      <c r="E7133"/>
      <c r="F7133"/>
      <c r="G7133" s="12"/>
      <c r="H7133" s="12"/>
      <c r="I7133" s="12"/>
      <c r="J7133" s="12"/>
    </row>
    <row r="7134" spans="5:10" x14ac:dyDescent="0.25">
      <c r="E7134"/>
      <c r="F7134"/>
      <c r="G7134" s="12"/>
      <c r="H7134" s="12"/>
      <c r="I7134" s="12"/>
      <c r="J7134" s="12"/>
    </row>
    <row r="7135" spans="5:10" x14ac:dyDescent="0.25">
      <c r="E7135"/>
      <c r="F7135"/>
      <c r="G7135" s="12"/>
      <c r="H7135" s="12"/>
      <c r="I7135" s="12"/>
      <c r="J7135" s="12"/>
    </row>
    <row r="7136" spans="5:10" x14ac:dyDescent="0.25">
      <c r="E7136"/>
      <c r="F7136"/>
      <c r="G7136" s="12"/>
      <c r="H7136" s="12"/>
      <c r="I7136" s="12"/>
      <c r="J7136" s="12"/>
    </row>
    <row r="7137" spans="5:10" x14ac:dyDescent="0.25">
      <c r="E7137"/>
      <c r="F7137"/>
      <c r="G7137" s="12"/>
      <c r="H7137" s="12"/>
      <c r="I7137" s="12"/>
      <c r="J7137" s="12"/>
    </row>
    <row r="7138" spans="5:10" x14ac:dyDescent="0.25">
      <c r="E7138"/>
      <c r="F7138"/>
      <c r="G7138" s="12"/>
      <c r="H7138" s="12"/>
      <c r="I7138" s="12"/>
      <c r="J7138" s="12"/>
    </row>
    <row r="7139" spans="5:10" x14ac:dyDescent="0.25">
      <c r="E7139"/>
      <c r="F7139"/>
      <c r="G7139" s="12"/>
      <c r="H7139" s="12"/>
      <c r="I7139" s="12"/>
      <c r="J7139" s="12"/>
    </row>
    <row r="7140" spans="5:10" x14ac:dyDescent="0.25">
      <c r="E7140"/>
      <c r="F7140"/>
      <c r="G7140" s="12"/>
      <c r="H7140" s="12"/>
      <c r="I7140" s="12"/>
      <c r="J7140" s="12"/>
    </row>
    <row r="7141" spans="5:10" x14ac:dyDescent="0.25">
      <c r="E7141"/>
      <c r="F7141"/>
      <c r="G7141" s="12"/>
      <c r="H7141" s="12"/>
      <c r="I7141" s="12"/>
      <c r="J7141" s="12"/>
    </row>
    <row r="7142" spans="5:10" x14ac:dyDescent="0.25">
      <c r="E7142"/>
      <c r="F7142"/>
      <c r="G7142" s="12"/>
      <c r="H7142" s="12"/>
      <c r="I7142" s="12"/>
      <c r="J7142" s="12"/>
    </row>
    <row r="7143" spans="5:10" x14ac:dyDescent="0.25">
      <c r="E7143"/>
      <c r="F7143"/>
      <c r="G7143" s="12"/>
      <c r="H7143" s="12"/>
      <c r="I7143" s="12"/>
      <c r="J7143" s="12"/>
    </row>
    <row r="7144" spans="5:10" x14ac:dyDescent="0.25">
      <c r="E7144"/>
      <c r="F7144"/>
      <c r="G7144" s="12"/>
      <c r="H7144" s="12"/>
      <c r="I7144" s="12"/>
      <c r="J7144" s="12"/>
    </row>
    <row r="7145" spans="5:10" x14ac:dyDescent="0.25">
      <c r="E7145"/>
      <c r="F7145"/>
      <c r="G7145" s="12"/>
      <c r="H7145" s="12"/>
      <c r="I7145" s="12"/>
      <c r="J7145" s="12"/>
    </row>
    <row r="7146" spans="5:10" x14ac:dyDescent="0.25">
      <c r="E7146"/>
      <c r="F7146"/>
      <c r="G7146" s="12"/>
      <c r="H7146" s="12"/>
      <c r="I7146" s="12"/>
      <c r="J7146" s="12"/>
    </row>
    <row r="7147" spans="5:10" x14ac:dyDescent="0.25">
      <c r="E7147"/>
      <c r="F7147"/>
      <c r="G7147" s="12"/>
      <c r="H7147" s="12"/>
      <c r="I7147" s="12"/>
      <c r="J7147" s="12"/>
    </row>
    <row r="7148" spans="5:10" x14ac:dyDescent="0.25">
      <c r="E7148"/>
      <c r="F7148"/>
      <c r="G7148" s="12"/>
      <c r="H7148" s="12"/>
      <c r="I7148" s="12"/>
      <c r="J7148" s="12"/>
    </row>
    <row r="7149" spans="5:10" x14ac:dyDescent="0.25">
      <c r="E7149"/>
      <c r="F7149"/>
      <c r="G7149" s="12"/>
      <c r="H7149" s="12"/>
      <c r="I7149" s="12"/>
      <c r="J7149" s="12"/>
    </row>
    <row r="7150" spans="5:10" x14ac:dyDescent="0.25">
      <c r="E7150"/>
      <c r="F7150"/>
      <c r="G7150" s="12"/>
      <c r="H7150" s="12"/>
      <c r="I7150" s="12"/>
      <c r="J7150" s="12"/>
    </row>
    <row r="7151" spans="5:10" x14ac:dyDescent="0.25">
      <c r="E7151"/>
      <c r="F7151"/>
      <c r="G7151" s="12"/>
      <c r="H7151" s="12"/>
      <c r="I7151" s="12"/>
      <c r="J7151" s="12"/>
    </row>
    <row r="7152" spans="5:10" x14ac:dyDescent="0.25">
      <c r="E7152"/>
      <c r="F7152"/>
      <c r="G7152" s="12"/>
      <c r="H7152" s="12"/>
      <c r="I7152" s="12"/>
      <c r="J7152" s="12"/>
    </row>
    <row r="7153" spans="5:10" x14ac:dyDescent="0.25">
      <c r="E7153"/>
      <c r="F7153"/>
      <c r="G7153" s="12"/>
      <c r="H7153" s="12"/>
      <c r="I7153" s="12"/>
      <c r="J7153" s="12"/>
    </row>
    <row r="7154" spans="5:10" x14ac:dyDescent="0.25">
      <c r="E7154"/>
      <c r="F7154"/>
      <c r="G7154" s="12"/>
      <c r="H7154" s="12"/>
      <c r="I7154" s="12"/>
      <c r="J7154" s="12"/>
    </row>
    <row r="7155" spans="5:10" x14ac:dyDescent="0.25">
      <c r="E7155"/>
      <c r="F7155"/>
      <c r="G7155" s="12"/>
      <c r="H7155" s="12"/>
      <c r="I7155" s="12"/>
      <c r="J7155" s="12"/>
    </row>
    <row r="7156" spans="5:10" x14ac:dyDescent="0.25">
      <c r="E7156"/>
      <c r="F7156"/>
      <c r="G7156" s="12"/>
      <c r="H7156" s="12"/>
      <c r="I7156" s="12"/>
      <c r="J7156" s="12"/>
    </row>
    <row r="7157" spans="5:10" x14ac:dyDescent="0.25">
      <c r="E7157"/>
      <c r="F7157"/>
      <c r="G7157" s="12"/>
      <c r="H7157" s="12"/>
      <c r="I7157" s="12"/>
      <c r="J7157" s="12"/>
    </row>
    <row r="7158" spans="5:10" x14ac:dyDescent="0.25">
      <c r="E7158"/>
      <c r="F7158"/>
      <c r="G7158" s="12"/>
      <c r="H7158" s="12"/>
      <c r="I7158" s="12"/>
      <c r="J7158" s="12"/>
    </row>
    <row r="7159" spans="5:10" x14ac:dyDescent="0.25">
      <c r="E7159"/>
      <c r="F7159"/>
      <c r="G7159" s="12"/>
      <c r="H7159" s="12"/>
      <c r="I7159" s="12"/>
      <c r="J7159" s="12"/>
    </row>
    <row r="7160" spans="5:10" x14ac:dyDescent="0.25">
      <c r="E7160"/>
      <c r="F7160"/>
      <c r="G7160" s="12"/>
      <c r="H7160" s="12"/>
      <c r="I7160" s="12"/>
      <c r="J7160" s="12"/>
    </row>
    <row r="7161" spans="5:10" x14ac:dyDescent="0.25">
      <c r="E7161"/>
      <c r="F7161"/>
      <c r="G7161" s="12"/>
      <c r="H7161" s="12"/>
      <c r="I7161" s="12"/>
      <c r="J7161" s="12"/>
    </row>
    <row r="7162" spans="5:10" x14ac:dyDescent="0.25">
      <c r="E7162"/>
      <c r="F7162"/>
      <c r="G7162" s="12"/>
      <c r="H7162" s="12"/>
      <c r="I7162" s="12"/>
      <c r="J7162" s="12"/>
    </row>
    <row r="7163" spans="5:10" x14ac:dyDescent="0.25">
      <c r="E7163"/>
      <c r="F7163"/>
      <c r="G7163" s="12"/>
      <c r="H7163" s="12"/>
      <c r="I7163" s="12"/>
      <c r="J7163" s="12"/>
    </row>
    <row r="7164" spans="5:10" x14ac:dyDescent="0.25">
      <c r="E7164"/>
      <c r="F7164"/>
      <c r="G7164" s="12"/>
      <c r="H7164" s="12"/>
      <c r="I7164" s="12"/>
      <c r="J7164" s="12"/>
    </row>
    <row r="7165" spans="5:10" x14ac:dyDescent="0.25">
      <c r="E7165"/>
      <c r="F7165"/>
      <c r="G7165" s="12"/>
      <c r="H7165" s="12"/>
      <c r="I7165" s="12"/>
      <c r="J7165" s="12"/>
    </row>
    <row r="7166" spans="5:10" x14ac:dyDescent="0.25">
      <c r="E7166"/>
      <c r="F7166"/>
      <c r="G7166" s="12"/>
      <c r="H7166" s="12"/>
      <c r="I7166" s="12"/>
      <c r="J7166" s="12"/>
    </row>
    <row r="7167" spans="5:10" x14ac:dyDescent="0.25">
      <c r="E7167"/>
      <c r="F7167"/>
      <c r="G7167" s="12"/>
      <c r="H7167" s="12"/>
      <c r="I7167" s="12"/>
      <c r="J7167" s="12"/>
    </row>
    <row r="7168" spans="5:10" x14ac:dyDescent="0.25">
      <c r="E7168"/>
      <c r="F7168"/>
      <c r="G7168" s="12"/>
      <c r="H7168" s="12"/>
      <c r="I7168" s="12"/>
      <c r="J7168" s="12"/>
    </row>
    <row r="7169" spans="5:10" x14ac:dyDescent="0.25">
      <c r="E7169"/>
      <c r="F7169"/>
      <c r="G7169" s="12"/>
      <c r="H7169" s="12"/>
      <c r="I7169" s="12"/>
      <c r="J7169" s="12"/>
    </row>
    <row r="7170" spans="5:10" x14ac:dyDescent="0.25">
      <c r="E7170"/>
      <c r="F7170"/>
      <c r="G7170" s="12"/>
      <c r="H7170" s="12"/>
      <c r="I7170" s="12"/>
      <c r="J7170" s="12"/>
    </row>
    <row r="7171" spans="5:10" x14ac:dyDescent="0.25">
      <c r="E7171"/>
      <c r="F7171"/>
      <c r="G7171" s="12"/>
      <c r="H7171" s="12"/>
      <c r="I7171" s="12"/>
      <c r="J7171" s="12"/>
    </row>
    <row r="7172" spans="5:10" x14ac:dyDescent="0.25">
      <c r="E7172"/>
      <c r="F7172"/>
      <c r="G7172" s="12"/>
      <c r="H7172" s="12"/>
      <c r="I7172" s="12"/>
      <c r="J7172" s="12"/>
    </row>
    <row r="7173" spans="5:10" x14ac:dyDescent="0.25">
      <c r="E7173"/>
      <c r="F7173"/>
      <c r="G7173" s="12"/>
      <c r="H7173" s="12"/>
      <c r="I7173" s="12"/>
      <c r="J7173" s="12"/>
    </row>
    <row r="7174" spans="5:10" x14ac:dyDescent="0.25">
      <c r="E7174"/>
      <c r="F7174"/>
      <c r="G7174" s="12"/>
      <c r="H7174" s="12"/>
      <c r="I7174" s="12"/>
      <c r="J7174" s="12"/>
    </row>
    <row r="7175" spans="5:10" x14ac:dyDescent="0.25">
      <c r="E7175"/>
      <c r="F7175"/>
      <c r="G7175" s="12"/>
      <c r="H7175" s="12"/>
      <c r="I7175" s="12"/>
      <c r="J7175" s="12"/>
    </row>
    <row r="7176" spans="5:10" x14ac:dyDescent="0.25">
      <c r="E7176"/>
      <c r="F7176"/>
      <c r="G7176" s="12"/>
      <c r="H7176" s="12"/>
      <c r="I7176" s="12"/>
      <c r="J7176" s="12"/>
    </row>
    <row r="7177" spans="5:10" x14ac:dyDescent="0.25">
      <c r="E7177"/>
      <c r="F7177"/>
      <c r="G7177" s="12"/>
      <c r="H7177" s="12"/>
      <c r="I7177" s="12"/>
      <c r="J7177" s="12"/>
    </row>
    <row r="7178" spans="5:10" x14ac:dyDescent="0.25">
      <c r="E7178"/>
      <c r="F7178"/>
      <c r="G7178" s="12"/>
      <c r="H7178" s="12"/>
      <c r="I7178" s="12"/>
      <c r="J7178" s="12"/>
    </row>
    <row r="7179" spans="5:10" x14ac:dyDescent="0.25">
      <c r="E7179"/>
      <c r="F7179"/>
      <c r="G7179" s="12"/>
      <c r="H7179" s="12"/>
      <c r="I7179" s="12"/>
      <c r="J7179" s="12"/>
    </row>
    <row r="7180" spans="5:10" x14ac:dyDescent="0.25">
      <c r="E7180"/>
      <c r="F7180"/>
      <c r="G7180" s="12"/>
      <c r="H7180" s="12"/>
      <c r="I7180" s="12"/>
      <c r="J7180" s="12"/>
    </row>
    <row r="7181" spans="5:10" x14ac:dyDescent="0.25">
      <c r="E7181"/>
      <c r="F7181"/>
      <c r="G7181" s="12"/>
      <c r="H7181" s="12"/>
      <c r="I7181" s="12"/>
      <c r="J7181" s="12"/>
    </row>
    <row r="7182" spans="5:10" x14ac:dyDescent="0.25">
      <c r="E7182"/>
      <c r="F7182"/>
      <c r="G7182" s="12"/>
      <c r="H7182" s="12"/>
      <c r="I7182" s="12"/>
      <c r="J7182" s="12"/>
    </row>
    <row r="7183" spans="5:10" x14ac:dyDescent="0.25">
      <c r="E7183"/>
      <c r="F7183"/>
      <c r="G7183" s="12"/>
      <c r="H7183" s="12"/>
      <c r="I7183" s="12"/>
      <c r="J7183" s="12"/>
    </row>
    <row r="7184" spans="5:10" x14ac:dyDescent="0.25">
      <c r="E7184"/>
      <c r="F7184"/>
      <c r="G7184" s="12"/>
      <c r="H7184" s="12"/>
      <c r="I7184" s="12"/>
      <c r="J7184" s="12"/>
    </row>
    <row r="7185" spans="5:10" x14ac:dyDescent="0.25">
      <c r="E7185"/>
      <c r="F7185"/>
      <c r="G7185" s="12"/>
      <c r="H7185" s="12"/>
      <c r="I7185" s="12"/>
      <c r="J7185" s="12"/>
    </row>
    <row r="7186" spans="5:10" x14ac:dyDescent="0.25">
      <c r="E7186"/>
      <c r="F7186"/>
      <c r="G7186" s="12"/>
      <c r="H7186" s="12"/>
      <c r="I7186" s="12"/>
      <c r="J7186" s="12"/>
    </row>
    <row r="7187" spans="5:10" x14ac:dyDescent="0.25">
      <c r="E7187"/>
      <c r="F7187"/>
      <c r="G7187" s="12"/>
      <c r="H7187" s="12"/>
      <c r="I7187" s="12"/>
      <c r="J7187" s="12"/>
    </row>
    <row r="7188" spans="5:10" x14ac:dyDescent="0.25">
      <c r="E7188"/>
      <c r="F7188"/>
      <c r="G7188" s="12"/>
      <c r="H7188" s="12"/>
      <c r="I7188" s="12"/>
      <c r="J7188" s="12"/>
    </row>
    <row r="7189" spans="5:10" x14ac:dyDescent="0.25">
      <c r="E7189"/>
      <c r="F7189"/>
      <c r="G7189" s="12"/>
      <c r="H7189" s="12"/>
      <c r="I7189" s="12"/>
      <c r="J7189" s="12"/>
    </row>
    <row r="7190" spans="5:10" x14ac:dyDescent="0.25">
      <c r="E7190"/>
      <c r="F7190"/>
      <c r="G7190" s="12"/>
      <c r="H7190" s="12"/>
      <c r="I7190" s="12"/>
      <c r="J7190" s="12"/>
    </row>
    <row r="7191" spans="5:10" x14ac:dyDescent="0.25">
      <c r="E7191"/>
      <c r="F7191"/>
      <c r="G7191" s="12"/>
      <c r="H7191" s="12"/>
      <c r="I7191" s="12"/>
      <c r="J7191" s="12"/>
    </row>
    <row r="7192" spans="5:10" x14ac:dyDescent="0.25">
      <c r="E7192"/>
      <c r="F7192"/>
      <c r="G7192" s="12"/>
      <c r="H7192" s="12"/>
      <c r="I7192" s="12"/>
      <c r="J7192" s="12"/>
    </row>
    <row r="7193" spans="5:10" x14ac:dyDescent="0.25">
      <c r="E7193"/>
      <c r="F7193"/>
      <c r="G7193" s="12"/>
      <c r="H7193" s="12"/>
      <c r="I7193" s="12"/>
      <c r="J7193" s="12"/>
    </row>
    <row r="7194" spans="5:10" x14ac:dyDescent="0.25">
      <c r="E7194"/>
      <c r="F7194"/>
      <c r="G7194" s="12"/>
      <c r="H7194" s="12"/>
      <c r="I7194" s="12"/>
      <c r="J7194" s="12"/>
    </row>
    <row r="7195" spans="5:10" x14ac:dyDescent="0.25">
      <c r="E7195"/>
      <c r="F7195"/>
      <c r="G7195" s="12"/>
      <c r="H7195" s="12"/>
      <c r="I7195" s="12"/>
      <c r="J7195" s="12"/>
    </row>
    <row r="7196" spans="5:10" x14ac:dyDescent="0.25">
      <c r="E7196"/>
      <c r="F7196"/>
      <c r="G7196" s="12"/>
      <c r="H7196" s="12"/>
      <c r="I7196" s="12"/>
      <c r="J7196" s="12"/>
    </row>
    <row r="7197" spans="5:10" x14ac:dyDescent="0.25">
      <c r="E7197"/>
      <c r="F7197"/>
      <c r="G7197" s="12"/>
      <c r="H7197" s="12"/>
      <c r="I7197" s="12"/>
      <c r="J7197" s="12"/>
    </row>
    <row r="7198" spans="5:10" x14ac:dyDescent="0.25">
      <c r="E7198"/>
      <c r="F7198"/>
      <c r="G7198" s="12"/>
      <c r="H7198" s="12"/>
      <c r="I7198" s="12"/>
      <c r="J7198" s="12"/>
    </row>
    <row r="7199" spans="5:10" x14ac:dyDescent="0.25">
      <c r="E7199"/>
      <c r="F7199"/>
      <c r="G7199" s="12"/>
      <c r="H7199" s="12"/>
      <c r="I7199" s="12"/>
      <c r="J7199" s="12"/>
    </row>
    <row r="7200" spans="5:10" x14ac:dyDescent="0.25">
      <c r="E7200"/>
      <c r="F7200"/>
      <c r="G7200" s="12"/>
      <c r="H7200" s="12"/>
      <c r="I7200" s="12"/>
      <c r="J7200" s="12"/>
    </row>
    <row r="7201" spans="5:10" x14ac:dyDescent="0.25">
      <c r="E7201"/>
      <c r="F7201"/>
      <c r="G7201" s="12"/>
      <c r="H7201" s="12"/>
      <c r="I7201" s="12"/>
      <c r="J7201" s="12"/>
    </row>
    <row r="7202" spans="5:10" x14ac:dyDescent="0.25">
      <c r="E7202"/>
      <c r="F7202"/>
      <c r="G7202" s="12"/>
      <c r="H7202" s="12"/>
      <c r="I7202" s="12"/>
      <c r="J7202" s="12"/>
    </row>
    <row r="7203" spans="5:10" x14ac:dyDescent="0.25">
      <c r="E7203"/>
      <c r="F7203"/>
      <c r="G7203" s="12"/>
      <c r="H7203" s="12"/>
      <c r="I7203" s="12"/>
      <c r="J7203" s="12"/>
    </row>
    <row r="7204" spans="5:10" x14ac:dyDescent="0.25">
      <c r="E7204"/>
      <c r="F7204"/>
      <c r="G7204" s="12"/>
      <c r="H7204" s="12"/>
      <c r="I7204" s="12"/>
      <c r="J7204" s="12"/>
    </row>
    <row r="7205" spans="5:10" x14ac:dyDescent="0.25">
      <c r="E7205"/>
      <c r="F7205"/>
      <c r="G7205" s="12"/>
      <c r="H7205" s="12"/>
      <c r="I7205" s="12"/>
      <c r="J7205" s="12"/>
    </row>
    <row r="7206" spans="5:10" x14ac:dyDescent="0.25">
      <c r="E7206"/>
      <c r="F7206"/>
      <c r="G7206" s="12"/>
      <c r="H7206" s="12"/>
      <c r="I7206" s="12"/>
      <c r="J7206" s="12"/>
    </row>
    <row r="7207" spans="5:10" x14ac:dyDescent="0.25">
      <c r="E7207"/>
      <c r="F7207"/>
      <c r="G7207" s="12"/>
      <c r="H7207" s="12"/>
      <c r="I7207" s="12"/>
      <c r="J7207" s="12"/>
    </row>
    <row r="7208" spans="5:10" x14ac:dyDescent="0.25">
      <c r="E7208"/>
      <c r="F7208"/>
      <c r="G7208" s="12"/>
      <c r="H7208" s="12"/>
      <c r="I7208" s="12"/>
      <c r="J7208" s="12"/>
    </row>
    <row r="7209" spans="5:10" x14ac:dyDescent="0.25">
      <c r="E7209"/>
      <c r="F7209"/>
      <c r="G7209" s="12"/>
      <c r="H7209" s="12"/>
      <c r="I7209" s="12"/>
      <c r="J7209" s="12"/>
    </row>
    <row r="7210" spans="5:10" x14ac:dyDescent="0.25">
      <c r="E7210"/>
      <c r="F7210"/>
      <c r="G7210" s="12"/>
      <c r="H7210" s="12"/>
      <c r="I7210" s="12"/>
      <c r="J7210" s="12"/>
    </row>
    <row r="7211" spans="5:10" x14ac:dyDescent="0.25">
      <c r="E7211"/>
      <c r="F7211"/>
      <c r="G7211" s="12"/>
      <c r="H7211" s="12"/>
      <c r="I7211" s="12"/>
      <c r="J7211" s="12"/>
    </row>
    <row r="7212" spans="5:10" x14ac:dyDescent="0.25">
      <c r="E7212"/>
      <c r="F7212"/>
      <c r="G7212" s="12"/>
      <c r="H7212" s="12"/>
      <c r="I7212" s="12"/>
      <c r="J7212" s="12"/>
    </row>
    <row r="7213" spans="5:10" x14ac:dyDescent="0.25">
      <c r="E7213"/>
      <c r="F7213"/>
      <c r="G7213" s="12"/>
      <c r="H7213" s="12"/>
      <c r="I7213" s="12"/>
      <c r="J7213" s="12"/>
    </row>
    <row r="7214" spans="5:10" x14ac:dyDescent="0.25">
      <c r="E7214"/>
      <c r="F7214"/>
      <c r="G7214" s="12"/>
      <c r="H7214" s="12"/>
      <c r="I7214" s="12"/>
      <c r="J7214" s="12"/>
    </row>
    <row r="7215" spans="5:10" x14ac:dyDescent="0.25">
      <c r="E7215"/>
      <c r="F7215"/>
      <c r="G7215" s="12"/>
      <c r="H7215" s="12"/>
      <c r="I7215" s="12"/>
      <c r="J7215" s="12"/>
    </row>
    <row r="7216" spans="5:10" x14ac:dyDescent="0.25">
      <c r="E7216"/>
      <c r="F7216"/>
      <c r="G7216" s="12"/>
      <c r="H7216" s="12"/>
      <c r="I7216" s="12"/>
      <c r="J7216" s="12"/>
    </row>
    <row r="7217" spans="5:10" x14ac:dyDescent="0.25">
      <c r="E7217"/>
      <c r="F7217"/>
      <c r="G7217" s="12"/>
      <c r="H7217" s="12"/>
      <c r="I7217" s="12"/>
      <c r="J7217" s="12"/>
    </row>
    <row r="7218" spans="5:10" x14ac:dyDescent="0.25">
      <c r="E7218"/>
      <c r="F7218"/>
      <c r="G7218" s="12"/>
      <c r="H7218" s="12"/>
      <c r="I7218" s="12"/>
      <c r="J7218" s="12"/>
    </row>
    <row r="7219" spans="5:10" x14ac:dyDescent="0.25">
      <c r="E7219"/>
      <c r="F7219"/>
      <c r="G7219" s="12"/>
      <c r="H7219" s="12"/>
      <c r="I7219" s="12"/>
      <c r="J7219" s="12"/>
    </row>
    <row r="7220" spans="5:10" x14ac:dyDescent="0.25">
      <c r="E7220"/>
      <c r="F7220"/>
      <c r="G7220" s="12"/>
      <c r="H7220" s="12"/>
      <c r="I7220" s="12"/>
      <c r="J7220" s="12"/>
    </row>
    <row r="7221" spans="5:10" x14ac:dyDescent="0.25">
      <c r="E7221"/>
      <c r="F7221"/>
      <c r="G7221" s="12"/>
      <c r="H7221" s="12"/>
      <c r="I7221" s="12"/>
      <c r="J7221" s="12"/>
    </row>
    <row r="7222" spans="5:10" x14ac:dyDescent="0.25">
      <c r="E7222"/>
      <c r="F7222"/>
      <c r="G7222" s="12"/>
      <c r="H7222" s="12"/>
      <c r="I7222" s="12"/>
      <c r="J7222" s="12"/>
    </row>
    <row r="7223" spans="5:10" x14ac:dyDescent="0.25">
      <c r="E7223"/>
      <c r="F7223"/>
      <c r="G7223" s="12"/>
      <c r="H7223" s="12"/>
      <c r="I7223" s="12"/>
      <c r="J7223" s="12"/>
    </row>
    <row r="7224" spans="5:10" x14ac:dyDescent="0.25">
      <c r="E7224"/>
      <c r="F7224"/>
      <c r="G7224" s="12"/>
      <c r="H7224" s="12"/>
      <c r="I7224" s="12"/>
      <c r="J7224" s="12"/>
    </row>
    <row r="7225" spans="5:10" x14ac:dyDescent="0.25">
      <c r="E7225"/>
      <c r="F7225"/>
      <c r="G7225" s="12"/>
      <c r="H7225" s="12"/>
      <c r="I7225" s="12"/>
      <c r="J7225" s="12"/>
    </row>
    <row r="7226" spans="5:10" x14ac:dyDescent="0.25">
      <c r="E7226"/>
      <c r="F7226"/>
      <c r="G7226" s="12"/>
      <c r="H7226" s="12"/>
      <c r="I7226" s="12"/>
      <c r="J7226" s="12"/>
    </row>
    <row r="7227" spans="5:10" x14ac:dyDescent="0.25">
      <c r="E7227"/>
      <c r="F7227"/>
      <c r="G7227" s="12"/>
      <c r="H7227" s="12"/>
      <c r="I7227" s="12"/>
      <c r="J7227" s="12"/>
    </row>
    <row r="7228" spans="5:10" x14ac:dyDescent="0.25">
      <c r="E7228"/>
      <c r="F7228"/>
      <c r="G7228" s="12"/>
      <c r="H7228" s="12"/>
      <c r="I7228" s="12"/>
      <c r="J7228" s="12"/>
    </row>
    <row r="7229" spans="5:10" x14ac:dyDescent="0.25">
      <c r="E7229"/>
      <c r="F7229"/>
      <c r="G7229" s="12"/>
      <c r="H7229" s="12"/>
      <c r="I7229" s="12"/>
      <c r="J7229" s="12"/>
    </row>
    <row r="7230" spans="5:10" x14ac:dyDescent="0.25">
      <c r="E7230"/>
      <c r="F7230"/>
      <c r="G7230" s="12"/>
      <c r="H7230" s="12"/>
      <c r="I7230" s="12"/>
      <c r="J7230" s="12"/>
    </row>
    <row r="7231" spans="5:10" x14ac:dyDescent="0.25">
      <c r="E7231"/>
      <c r="F7231"/>
      <c r="G7231" s="12"/>
      <c r="H7231" s="12"/>
      <c r="I7231" s="12"/>
      <c r="J7231" s="12"/>
    </row>
    <row r="7232" spans="5:10" x14ac:dyDescent="0.25">
      <c r="E7232"/>
      <c r="F7232"/>
      <c r="G7232" s="12"/>
      <c r="H7232" s="12"/>
      <c r="I7232" s="12"/>
      <c r="J7232" s="12"/>
    </row>
    <row r="7233" spans="5:10" x14ac:dyDescent="0.25">
      <c r="E7233"/>
      <c r="F7233"/>
      <c r="G7233" s="12"/>
      <c r="H7233" s="12"/>
      <c r="I7233" s="12"/>
      <c r="J7233" s="12"/>
    </row>
    <row r="7234" spans="5:10" x14ac:dyDescent="0.25">
      <c r="E7234"/>
      <c r="F7234"/>
      <c r="G7234" s="12"/>
      <c r="H7234" s="12"/>
      <c r="I7234" s="12"/>
      <c r="J7234" s="12"/>
    </row>
    <row r="7235" spans="5:10" x14ac:dyDescent="0.25">
      <c r="E7235"/>
      <c r="F7235"/>
      <c r="G7235" s="12"/>
      <c r="H7235" s="12"/>
      <c r="I7235" s="12"/>
      <c r="J7235" s="12"/>
    </row>
    <row r="7236" spans="5:10" x14ac:dyDescent="0.25">
      <c r="E7236"/>
      <c r="F7236"/>
      <c r="G7236" s="12"/>
      <c r="H7236" s="12"/>
      <c r="I7236" s="12"/>
      <c r="J7236" s="12"/>
    </row>
    <row r="7237" spans="5:10" x14ac:dyDescent="0.25">
      <c r="E7237"/>
      <c r="F7237"/>
      <c r="G7237" s="12"/>
      <c r="H7237" s="12"/>
      <c r="I7237" s="12"/>
      <c r="J7237" s="12"/>
    </row>
    <row r="7238" spans="5:10" x14ac:dyDescent="0.25">
      <c r="E7238"/>
      <c r="F7238"/>
      <c r="G7238" s="12"/>
      <c r="H7238" s="12"/>
      <c r="I7238" s="12"/>
      <c r="J7238" s="12"/>
    </row>
    <row r="7239" spans="5:10" x14ac:dyDescent="0.25">
      <c r="E7239"/>
      <c r="F7239"/>
      <c r="G7239" s="12"/>
      <c r="H7239" s="12"/>
      <c r="I7239" s="12"/>
      <c r="J7239" s="12"/>
    </row>
    <row r="7240" spans="5:10" x14ac:dyDescent="0.25">
      <c r="E7240"/>
      <c r="F7240"/>
      <c r="G7240" s="12"/>
      <c r="H7240" s="12"/>
      <c r="I7240" s="12"/>
      <c r="J7240" s="12"/>
    </row>
    <row r="7241" spans="5:10" x14ac:dyDescent="0.25">
      <c r="E7241"/>
      <c r="F7241"/>
      <c r="G7241" s="12"/>
      <c r="H7241" s="12"/>
      <c r="I7241" s="12"/>
      <c r="J7241" s="12"/>
    </row>
    <row r="7242" spans="5:10" x14ac:dyDescent="0.25">
      <c r="E7242"/>
      <c r="F7242"/>
      <c r="G7242" s="12"/>
      <c r="H7242" s="12"/>
      <c r="I7242" s="12"/>
      <c r="J7242" s="12"/>
    </row>
    <row r="7243" spans="5:10" x14ac:dyDescent="0.25">
      <c r="E7243"/>
      <c r="F7243"/>
      <c r="G7243" s="12"/>
      <c r="H7243" s="12"/>
      <c r="I7243" s="12"/>
      <c r="J7243" s="12"/>
    </row>
    <row r="7244" spans="5:10" x14ac:dyDescent="0.25">
      <c r="E7244"/>
      <c r="F7244"/>
      <c r="G7244" s="12"/>
      <c r="H7244" s="12"/>
      <c r="I7244" s="12"/>
      <c r="J7244" s="12"/>
    </row>
    <row r="7245" spans="5:10" x14ac:dyDescent="0.25">
      <c r="E7245"/>
      <c r="F7245"/>
      <c r="G7245" s="12"/>
      <c r="H7245" s="12"/>
      <c r="I7245" s="12"/>
      <c r="J7245" s="12"/>
    </row>
    <row r="7246" spans="5:10" x14ac:dyDescent="0.25">
      <c r="E7246"/>
      <c r="F7246"/>
      <c r="G7246" s="12"/>
      <c r="H7246" s="12"/>
      <c r="I7246" s="12"/>
      <c r="J7246" s="12"/>
    </row>
    <row r="7247" spans="5:10" x14ac:dyDescent="0.25">
      <c r="E7247"/>
      <c r="F7247"/>
      <c r="G7247" s="12"/>
      <c r="H7247" s="12"/>
      <c r="I7247" s="12"/>
      <c r="J7247" s="12"/>
    </row>
    <row r="7248" spans="5:10" x14ac:dyDescent="0.25">
      <c r="E7248"/>
      <c r="F7248"/>
      <c r="G7248" s="12"/>
      <c r="H7248" s="12"/>
      <c r="I7248" s="12"/>
      <c r="J7248" s="12"/>
    </row>
    <row r="7249" spans="5:10" x14ac:dyDescent="0.25">
      <c r="E7249"/>
      <c r="F7249"/>
      <c r="G7249" s="12"/>
      <c r="H7249" s="12"/>
      <c r="I7249" s="12"/>
      <c r="J7249" s="12"/>
    </row>
    <row r="7250" spans="5:10" x14ac:dyDescent="0.25">
      <c r="E7250"/>
      <c r="F7250"/>
      <c r="G7250" s="12"/>
      <c r="H7250" s="12"/>
      <c r="I7250" s="12"/>
      <c r="J7250" s="12"/>
    </row>
    <row r="7251" spans="5:10" x14ac:dyDescent="0.25">
      <c r="E7251"/>
      <c r="F7251"/>
      <c r="G7251" s="12"/>
      <c r="H7251" s="12"/>
      <c r="I7251" s="12"/>
      <c r="J7251" s="12"/>
    </row>
    <row r="7252" spans="5:10" x14ac:dyDescent="0.25">
      <c r="E7252"/>
      <c r="F7252"/>
      <c r="G7252" s="12"/>
      <c r="H7252" s="12"/>
      <c r="I7252" s="12"/>
      <c r="J7252" s="12"/>
    </row>
    <row r="7253" spans="5:10" x14ac:dyDescent="0.25">
      <c r="E7253"/>
      <c r="F7253"/>
      <c r="G7253" s="12"/>
      <c r="H7253" s="12"/>
      <c r="I7253" s="12"/>
      <c r="J7253" s="12"/>
    </row>
    <row r="7254" spans="5:10" x14ac:dyDescent="0.25">
      <c r="E7254"/>
      <c r="F7254"/>
      <c r="G7254" s="12"/>
      <c r="H7254" s="12"/>
      <c r="I7254" s="12"/>
      <c r="J7254" s="12"/>
    </row>
    <row r="7255" spans="5:10" x14ac:dyDescent="0.25">
      <c r="E7255"/>
      <c r="F7255"/>
      <c r="G7255" s="12"/>
      <c r="H7255" s="12"/>
      <c r="I7255" s="12"/>
      <c r="J7255" s="12"/>
    </row>
    <row r="7256" spans="5:10" x14ac:dyDescent="0.25">
      <c r="E7256"/>
      <c r="F7256"/>
      <c r="G7256" s="12"/>
      <c r="H7256" s="12"/>
      <c r="I7256" s="12"/>
      <c r="J7256" s="12"/>
    </row>
    <row r="7257" spans="5:10" x14ac:dyDescent="0.25">
      <c r="E7257"/>
      <c r="F7257"/>
      <c r="G7257" s="12"/>
      <c r="H7257" s="12"/>
      <c r="I7257" s="12"/>
      <c r="J7257" s="12"/>
    </row>
    <row r="7258" spans="5:10" x14ac:dyDescent="0.25">
      <c r="E7258"/>
      <c r="F7258"/>
      <c r="G7258" s="12"/>
      <c r="H7258" s="12"/>
      <c r="I7258" s="12"/>
      <c r="J7258" s="12"/>
    </row>
    <row r="7259" spans="5:10" x14ac:dyDescent="0.25">
      <c r="E7259"/>
      <c r="F7259"/>
      <c r="G7259" s="12"/>
      <c r="H7259" s="12"/>
      <c r="I7259" s="12"/>
      <c r="J7259" s="12"/>
    </row>
    <row r="7260" spans="5:10" x14ac:dyDescent="0.25">
      <c r="E7260"/>
      <c r="F7260"/>
      <c r="G7260" s="12"/>
      <c r="H7260" s="12"/>
      <c r="I7260" s="12"/>
      <c r="J7260" s="12"/>
    </row>
    <row r="7261" spans="5:10" x14ac:dyDescent="0.25">
      <c r="E7261"/>
      <c r="F7261"/>
      <c r="G7261" s="12"/>
      <c r="H7261" s="12"/>
      <c r="I7261" s="12"/>
      <c r="J7261" s="12"/>
    </row>
    <row r="7262" spans="5:10" x14ac:dyDescent="0.25">
      <c r="E7262"/>
      <c r="F7262"/>
      <c r="G7262" s="12"/>
      <c r="H7262" s="12"/>
      <c r="I7262" s="12"/>
      <c r="J7262" s="12"/>
    </row>
    <row r="7263" spans="5:10" x14ac:dyDescent="0.25">
      <c r="E7263"/>
      <c r="F7263"/>
      <c r="G7263" s="12"/>
      <c r="H7263" s="12"/>
      <c r="I7263" s="12"/>
      <c r="J7263" s="12"/>
    </row>
    <row r="7264" spans="5:10" x14ac:dyDescent="0.25">
      <c r="E7264"/>
      <c r="F7264"/>
      <c r="G7264" s="12"/>
      <c r="H7264" s="12"/>
      <c r="I7264" s="12"/>
      <c r="J7264" s="12"/>
    </row>
    <row r="7265" spans="5:10" x14ac:dyDescent="0.25">
      <c r="E7265"/>
      <c r="F7265"/>
      <c r="G7265" s="12"/>
      <c r="H7265" s="12"/>
      <c r="I7265" s="12"/>
      <c r="J7265" s="12"/>
    </row>
    <row r="7266" spans="5:10" x14ac:dyDescent="0.25">
      <c r="E7266"/>
      <c r="F7266"/>
      <c r="G7266" s="12"/>
      <c r="H7266" s="12"/>
      <c r="I7266" s="12"/>
      <c r="J7266" s="12"/>
    </row>
    <row r="7267" spans="5:10" x14ac:dyDescent="0.25">
      <c r="E7267"/>
      <c r="F7267"/>
      <c r="G7267" s="12"/>
      <c r="H7267" s="12"/>
      <c r="I7267" s="12"/>
      <c r="J7267" s="12"/>
    </row>
    <row r="7268" spans="5:10" x14ac:dyDescent="0.25">
      <c r="E7268"/>
      <c r="F7268"/>
      <c r="G7268" s="12"/>
      <c r="H7268" s="12"/>
      <c r="I7268" s="12"/>
      <c r="J7268" s="12"/>
    </row>
    <row r="7269" spans="5:10" x14ac:dyDescent="0.25">
      <c r="E7269"/>
      <c r="F7269"/>
      <c r="G7269" s="12"/>
      <c r="H7269" s="12"/>
      <c r="I7269" s="12"/>
      <c r="J7269" s="12"/>
    </row>
    <row r="7270" spans="5:10" x14ac:dyDescent="0.25">
      <c r="E7270"/>
      <c r="F7270"/>
      <c r="G7270" s="12"/>
      <c r="H7270" s="12"/>
      <c r="I7270" s="12"/>
      <c r="J7270" s="12"/>
    </row>
    <row r="7271" spans="5:10" x14ac:dyDescent="0.25">
      <c r="E7271"/>
      <c r="F7271"/>
      <c r="G7271" s="12"/>
      <c r="H7271" s="12"/>
      <c r="I7271" s="12"/>
      <c r="J7271" s="12"/>
    </row>
    <row r="7272" spans="5:10" x14ac:dyDescent="0.25">
      <c r="E7272"/>
      <c r="F7272"/>
      <c r="G7272" s="12"/>
      <c r="H7272" s="12"/>
      <c r="I7272" s="12"/>
      <c r="J7272" s="12"/>
    </row>
    <row r="7273" spans="5:10" x14ac:dyDescent="0.25">
      <c r="E7273"/>
      <c r="F7273"/>
      <c r="G7273" s="12"/>
      <c r="H7273" s="12"/>
      <c r="I7273" s="12"/>
      <c r="J7273" s="12"/>
    </row>
    <row r="7274" spans="5:10" x14ac:dyDescent="0.25">
      <c r="E7274"/>
      <c r="F7274"/>
      <c r="G7274" s="12"/>
      <c r="H7274" s="12"/>
      <c r="I7274" s="12"/>
      <c r="J7274" s="12"/>
    </row>
    <row r="7275" spans="5:10" x14ac:dyDescent="0.25">
      <c r="E7275"/>
      <c r="F7275"/>
      <c r="G7275" s="12"/>
      <c r="H7275" s="12"/>
      <c r="I7275" s="12"/>
      <c r="J7275" s="12"/>
    </row>
    <row r="7276" spans="5:10" x14ac:dyDescent="0.25">
      <c r="E7276"/>
      <c r="F7276"/>
      <c r="G7276" s="12"/>
      <c r="H7276" s="12"/>
      <c r="I7276" s="12"/>
      <c r="J7276" s="12"/>
    </row>
    <row r="7277" spans="5:10" x14ac:dyDescent="0.25">
      <c r="E7277"/>
      <c r="F7277"/>
      <c r="G7277" s="12"/>
      <c r="H7277" s="12"/>
      <c r="I7277" s="12"/>
      <c r="J7277" s="12"/>
    </row>
    <row r="7278" spans="5:10" x14ac:dyDescent="0.25">
      <c r="E7278"/>
      <c r="F7278"/>
      <c r="G7278" s="12"/>
      <c r="H7278" s="12"/>
      <c r="I7278" s="12"/>
      <c r="J7278" s="12"/>
    </row>
    <row r="7279" spans="5:10" x14ac:dyDescent="0.25">
      <c r="E7279"/>
      <c r="F7279"/>
      <c r="G7279" s="12"/>
      <c r="H7279" s="12"/>
      <c r="I7279" s="12"/>
      <c r="J7279" s="12"/>
    </row>
    <row r="7280" spans="5:10" x14ac:dyDescent="0.25">
      <c r="E7280"/>
      <c r="F7280"/>
      <c r="G7280" s="12"/>
      <c r="H7280" s="12"/>
      <c r="I7280" s="12"/>
      <c r="J7280" s="12"/>
    </row>
    <row r="7281" spans="5:10" x14ac:dyDescent="0.25">
      <c r="E7281"/>
      <c r="F7281"/>
      <c r="G7281" s="12"/>
      <c r="H7281" s="12"/>
      <c r="I7281" s="12"/>
      <c r="J7281" s="12"/>
    </row>
    <row r="7282" spans="5:10" x14ac:dyDescent="0.25">
      <c r="E7282"/>
      <c r="F7282"/>
      <c r="G7282" s="12"/>
      <c r="H7282" s="12"/>
      <c r="I7282" s="12"/>
      <c r="J7282" s="12"/>
    </row>
    <row r="7283" spans="5:10" x14ac:dyDescent="0.25">
      <c r="E7283"/>
      <c r="F7283"/>
      <c r="G7283" s="12"/>
      <c r="H7283" s="12"/>
      <c r="I7283" s="12"/>
      <c r="J7283" s="12"/>
    </row>
    <row r="7284" spans="5:10" x14ac:dyDescent="0.25">
      <c r="E7284"/>
      <c r="F7284"/>
      <c r="G7284" s="12"/>
      <c r="H7284" s="12"/>
      <c r="I7284" s="12"/>
      <c r="J7284" s="12"/>
    </row>
    <row r="7285" spans="5:10" x14ac:dyDescent="0.25">
      <c r="E7285"/>
      <c r="F7285"/>
      <c r="G7285" s="12"/>
      <c r="H7285" s="12"/>
      <c r="I7285" s="12"/>
      <c r="J7285" s="12"/>
    </row>
    <row r="7286" spans="5:10" x14ac:dyDescent="0.25">
      <c r="E7286"/>
      <c r="F7286"/>
      <c r="G7286" s="12"/>
      <c r="H7286" s="12"/>
      <c r="I7286" s="12"/>
      <c r="J7286" s="12"/>
    </row>
    <row r="7287" spans="5:10" x14ac:dyDescent="0.25">
      <c r="E7287"/>
      <c r="F7287"/>
      <c r="G7287" s="12"/>
      <c r="H7287" s="12"/>
      <c r="I7287" s="12"/>
      <c r="J7287" s="12"/>
    </row>
    <row r="7288" spans="5:10" x14ac:dyDescent="0.25">
      <c r="E7288"/>
      <c r="F7288"/>
      <c r="G7288" s="12"/>
      <c r="H7288" s="12"/>
      <c r="I7288" s="12"/>
      <c r="J7288" s="12"/>
    </row>
    <row r="7289" spans="5:10" x14ac:dyDescent="0.25">
      <c r="E7289"/>
      <c r="F7289"/>
      <c r="G7289" s="12"/>
      <c r="H7289" s="12"/>
      <c r="I7289" s="12"/>
      <c r="J7289" s="12"/>
    </row>
    <row r="7290" spans="5:10" x14ac:dyDescent="0.25">
      <c r="E7290"/>
      <c r="F7290"/>
      <c r="G7290" s="12"/>
      <c r="H7290" s="12"/>
      <c r="I7290" s="12"/>
      <c r="J7290" s="12"/>
    </row>
    <row r="7291" spans="5:10" x14ac:dyDescent="0.25">
      <c r="E7291"/>
      <c r="F7291"/>
      <c r="G7291" s="12"/>
      <c r="H7291" s="12"/>
      <c r="I7291" s="12"/>
      <c r="J7291" s="12"/>
    </row>
    <row r="7292" spans="5:10" x14ac:dyDescent="0.25">
      <c r="E7292"/>
      <c r="F7292"/>
      <c r="G7292" s="12"/>
      <c r="H7292" s="12"/>
      <c r="I7292" s="12"/>
      <c r="J7292" s="12"/>
    </row>
    <row r="7293" spans="5:10" x14ac:dyDescent="0.25">
      <c r="E7293"/>
      <c r="F7293"/>
      <c r="G7293" s="12"/>
      <c r="H7293" s="12"/>
      <c r="I7293" s="12"/>
      <c r="J7293" s="12"/>
    </row>
    <row r="7294" spans="5:10" x14ac:dyDescent="0.25">
      <c r="E7294"/>
      <c r="F7294"/>
      <c r="G7294" s="12"/>
      <c r="H7294" s="12"/>
      <c r="I7294" s="12"/>
      <c r="J7294" s="12"/>
    </row>
    <row r="7295" spans="5:10" x14ac:dyDescent="0.25">
      <c r="E7295"/>
      <c r="F7295"/>
      <c r="G7295" s="12"/>
      <c r="H7295" s="12"/>
      <c r="I7295" s="12"/>
      <c r="J7295" s="12"/>
    </row>
    <row r="7296" spans="5:10" x14ac:dyDescent="0.25">
      <c r="E7296"/>
      <c r="F7296"/>
      <c r="G7296" s="12"/>
      <c r="H7296" s="12"/>
      <c r="I7296" s="12"/>
      <c r="J7296" s="12"/>
    </row>
    <row r="7297" spans="5:10" x14ac:dyDescent="0.25">
      <c r="E7297"/>
      <c r="F7297"/>
      <c r="G7297" s="12"/>
      <c r="H7297" s="12"/>
      <c r="I7297" s="12"/>
      <c r="J7297" s="12"/>
    </row>
    <row r="7298" spans="5:10" x14ac:dyDescent="0.25">
      <c r="E7298"/>
      <c r="F7298"/>
      <c r="G7298" s="12"/>
      <c r="H7298" s="12"/>
      <c r="I7298" s="12"/>
      <c r="J7298" s="12"/>
    </row>
    <row r="7299" spans="5:10" x14ac:dyDescent="0.25">
      <c r="E7299"/>
      <c r="F7299"/>
      <c r="G7299" s="12"/>
      <c r="H7299" s="12"/>
      <c r="I7299" s="12"/>
      <c r="J7299" s="12"/>
    </row>
    <row r="7300" spans="5:10" x14ac:dyDescent="0.25">
      <c r="E7300"/>
      <c r="F7300"/>
      <c r="G7300" s="12"/>
      <c r="H7300" s="12"/>
      <c r="I7300" s="12"/>
      <c r="J7300" s="12"/>
    </row>
    <row r="7301" spans="5:10" x14ac:dyDescent="0.25">
      <c r="E7301"/>
      <c r="F7301"/>
      <c r="G7301" s="12"/>
      <c r="H7301" s="12"/>
      <c r="I7301" s="12"/>
      <c r="J7301" s="12"/>
    </row>
    <row r="7302" spans="5:10" x14ac:dyDescent="0.25">
      <c r="E7302"/>
      <c r="F7302"/>
      <c r="G7302" s="12"/>
      <c r="H7302" s="12"/>
      <c r="I7302" s="12"/>
      <c r="J7302" s="12"/>
    </row>
    <row r="7303" spans="5:10" x14ac:dyDescent="0.25">
      <c r="E7303"/>
      <c r="F7303"/>
      <c r="G7303" s="12"/>
      <c r="H7303" s="12"/>
      <c r="I7303" s="12"/>
      <c r="J7303" s="12"/>
    </row>
    <row r="7304" spans="5:10" x14ac:dyDescent="0.25">
      <c r="E7304"/>
      <c r="F7304"/>
      <c r="G7304" s="12"/>
      <c r="H7304" s="12"/>
      <c r="I7304" s="12"/>
      <c r="J7304" s="12"/>
    </row>
    <row r="7305" spans="5:10" x14ac:dyDescent="0.25">
      <c r="E7305"/>
      <c r="F7305"/>
      <c r="G7305" s="12"/>
      <c r="H7305" s="12"/>
      <c r="I7305" s="12"/>
      <c r="J7305" s="12"/>
    </row>
    <row r="7306" spans="5:10" x14ac:dyDescent="0.25">
      <c r="E7306"/>
      <c r="F7306"/>
      <c r="G7306" s="12"/>
      <c r="H7306" s="12"/>
      <c r="I7306" s="12"/>
      <c r="J7306" s="12"/>
    </row>
    <row r="7307" spans="5:10" x14ac:dyDescent="0.25">
      <c r="E7307"/>
      <c r="F7307"/>
      <c r="G7307" s="12"/>
      <c r="H7307" s="12"/>
      <c r="I7307" s="12"/>
      <c r="J7307" s="12"/>
    </row>
    <row r="7308" spans="5:10" x14ac:dyDescent="0.25">
      <c r="E7308"/>
      <c r="F7308"/>
      <c r="G7308" s="12"/>
      <c r="H7308" s="12"/>
      <c r="I7308" s="12"/>
      <c r="J7308" s="12"/>
    </row>
    <row r="7309" spans="5:10" x14ac:dyDescent="0.25">
      <c r="E7309"/>
      <c r="F7309"/>
      <c r="G7309" s="12"/>
      <c r="H7309" s="12"/>
      <c r="I7309" s="12"/>
      <c r="J7309" s="12"/>
    </row>
    <row r="7310" spans="5:10" x14ac:dyDescent="0.25">
      <c r="E7310"/>
      <c r="F7310"/>
      <c r="G7310" s="12"/>
      <c r="H7310" s="12"/>
      <c r="I7310" s="12"/>
      <c r="J7310" s="12"/>
    </row>
    <row r="7311" spans="5:10" x14ac:dyDescent="0.25">
      <c r="E7311"/>
      <c r="F7311"/>
      <c r="G7311" s="12"/>
      <c r="H7311" s="12"/>
      <c r="I7311" s="12"/>
      <c r="J7311" s="12"/>
    </row>
    <row r="7312" spans="5:10" x14ac:dyDescent="0.25">
      <c r="E7312"/>
      <c r="F7312"/>
      <c r="G7312" s="12"/>
      <c r="H7312" s="12"/>
      <c r="I7312" s="12"/>
      <c r="J7312" s="12"/>
    </row>
    <row r="7313" spans="5:10" x14ac:dyDescent="0.25">
      <c r="E7313"/>
      <c r="F7313"/>
      <c r="G7313" s="12"/>
      <c r="H7313" s="12"/>
      <c r="I7313" s="12"/>
      <c r="J7313" s="12"/>
    </row>
    <row r="7314" spans="5:10" x14ac:dyDescent="0.25">
      <c r="E7314"/>
      <c r="F7314"/>
      <c r="G7314" s="12"/>
      <c r="H7314" s="12"/>
      <c r="I7314" s="12"/>
      <c r="J7314" s="12"/>
    </row>
    <row r="7315" spans="5:10" x14ac:dyDescent="0.25">
      <c r="E7315"/>
      <c r="F7315"/>
      <c r="G7315" s="12"/>
      <c r="H7315" s="12"/>
      <c r="I7315" s="12"/>
      <c r="J7315" s="12"/>
    </row>
    <row r="7316" spans="5:10" x14ac:dyDescent="0.25">
      <c r="E7316"/>
      <c r="F7316"/>
      <c r="G7316" s="12"/>
      <c r="H7316" s="12"/>
      <c r="I7316" s="12"/>
      <c r="J7316" s="12"/>
    </row>
    <row r="7317" spans="5:10" x14ac:dyDescent="0.25">
      <c r="E7317"/>
      <c r="F7317"/>
      <c r="G7317" s="12"/>
      <c r="H7317" s="12"/>
      <c r="I7317" s="12"/>
      <c r="J7317" s="12"/>
    </row>
    <row r="7318" spans="5:10" x14ac:dyDescent="0.25">
      <c r="E7318"/>
      <c r="F7318"/>
      <c r="G7318" s="12"/>
      <c r="H7318" s="12"/>
      <c r="I7318" s="12"/>
      <c r="J7318" s="12"/>
    </row>
    <row r="7319" spans="5:10" x14ac:dyDescent="0.25">
      <c r="E7319"/>
      <c r="F7319"/>
      <c r="G7319" s="12"/>
      <c r="H7319" s="12"/>
      <c r="I7319" s="12"/>
      <c r="J7319" s="12"/>
    </row>
    <row r="7320" spans="5:10" x14ac:dyDescent="0.25">
      <c r="E7320"/>
      <c r="F7320"/>
      <c r="G7320" s="12"/>
      <c r="H7320" s="12"/>
      <c r="I7320" s="12"/>
      <c r="J7320" s="12"/>
    </row>
    <row r="7321" spans="5:10" x14ac:dyDescent="0.25">
      <c r="E7321"/>
      <c r="F7321"/>
      <c r="G7321" s="12"/>
      <c r="H7321" s="12"/>
      <c r="I7321" s="12"/>
      <c r="J7321" s="12"/>
    </row>
    <row r="7322" spans="5:10" x14ac:dyDescent="0.25">
      <c r="E7322"/>
      <c r="F7322"/>
      <c r="G7322" s="12"/>
      <c r="H7322" s="12"/>
      <c r="I7322" s="12"/>
      <c r="J7322" s="12"/>
    </row>
    <row r="7323" spans="5:10" x14ac:dyDescent="0.25">
      <c r="E7323"/>
      <c r="F7323"/>
      <c r="G7323" s="12"/>
      <c r="H7323" s="12"/>
      <c r="I7323" s="12"/>
      <c r="J7323" s="12"/>
    </row>
    <row r="7324" spans="5:10" x14ac:dyDescent="0.25">
      <c r="E7324"/>
      <c r="F7324"/>
      <c r="G7324" s="12"/>
      <c r="H7324" s="12"/>
      <c r="I7324" s="12"/>
      <c r="J7324" s="12"/>
    </row>
    <row r="7325" spans="5:10" x14ac:dyDescent="0.25">
      <c r="E7325"/>
      <c r="F7325"/>
      <c r="G7325" s="12"/>
      <c r="H7325" s="12"/>
      <c r="I7325" s="12"/>
      <c r="J7325" s="12"/>
    </row>
    <row r="7326" spans="5:10" x14ac:dyDescent="0.25">
      <c r="E7326"/>
      <c r="F7326"/>
      <c r="G7326" s="12"/>
      <c r="H7326" s="12"/>
      <c r="I7326" s="12"/>
      <c r="J7326" s="12"/>
    </row>
    <row r="7327" spans="5:10" x14ac:dyDescent="0.25">
      <c r="E7327"/>
      <c r="F7327"/>
      <c r="G7327" s="12"/>
      <c r="H7327" s="12"/>
      <c r="I7327" s="12"/>
      <c r="J7327" s="12"/>
    </row>
    <row r="7328" spans="5:10" x14ac:dyDescent="0.25">
      <c r="E7328"/>
      <c r="F7328"/>
      <c r="G7328" s="12"/>
      <c r="H7328" s="12"/>
      <c r="I7328" s="12"/>
      <c r="J7328" s="12"/>
    </row>
    <row r="7329" spans="5:10" x14ac:dyDescent="0.25">
      <c r="E7329"/>
      <c r="F7329"/>
      <c r="G7329" s="12"/>
      <c r="H7329" s="12"/>
      <c r="I7329" s="12"/>
      <c r="J7329" s="12"/>
    </row>
    <row r="7330" spans="5:10" x14ac:dyDescent="0.25">
      <c r="E7330"/>
      <c r="F7330"/>
      <c r="G7330" s="12"/>
      <c r="H7330" s="12"/>
      <c r="I7330" s="12"/>
      <c r="J7330" s="12"/>
    </row>
    <row r="7331" spans="5:10" x14ac:dyDescent="0.25">
      <c r="E7331"/>
      <c r="F7331"/>
      <c r="G7331" s="12"/>
      <c r="H7331" s="12"/>
      <c r="I7331" s="12"/>
      <c r="J7331" s="12"/>
    </row>
    <row r="7332" spans="5:10" x14ac:dyDescent="0.25">
      <c r="E7332"/>
      <c r="F7332"/>
      <c r="G7332" s="12"/>
      <c r="H7332" s="12"/>
      <c r="I7332" s="12"/>
      <c r="J7332" s="12"/>
    </row>
    <row r="7333" spans="5:10" x14ac:dyDescent="0.25">
      <c r="E7333"/>
      <c r="F7333"/>
      <c r="G7333" s="12"/>
      <c r="H7333" s="12"/>
      <c r="I7333" s="12"/>
      <c r="J7333" s="12"/>
    </row>
    <row r="7334" spans="5:10" x14ac:dyDescent="0.25">
      <c r="E7334"/>
      <c r="F7334"/>
      <c r="G7334" s="12"/>
      <c r="H7334" s="12"/>
      <c r="I7334" s="12"/>
      <c r="J7334" s="12"/>
    </row>
    <row r="7335" spans="5:10" x14ac:dyDescent="0.25">
      <c r="E7335"/>
      <c r="F7335"/>
      <c r="G7335" s="12"/>
      <c r="H7335" s="12"/>
      <c r="I7335" s="12"/>
      <c r="J7335" s="12"/>
    </row>
    <row r="7336" spans="5:10" x14ac:dyDescent="0.25">
      <c r="E7336"/>
      <c r="F7336"/>
      <c r="G7336" s="12"/>
      <c r="H7336" s="12"/>
      <c r="I7336" s="12"/>
      <c r="J7336" s="12"/>
    </row>
    <row r="7337" spans="5:10" x14ac:dyDescent="0.25">
      <c r="E7337"/>
      <c r="F7337"/>
      <c r="G7337" s="12"/>
      <c r="H7337" s="12"/>
      <c r="I7337" s="12"/>
      <c r="J7337" s="12"/>
    </row>
    <row r="7338" spans="5:10" x14ac:dyDescent="0.25">
      <c r="E7338"/>
      <c r="F7338"/>
      <c r="G7338" s="12"/>
      <c r="H7338" s="12"/>
      <c r="I7338" s="12"/>
      <c r="J7338" s="12"/>
    </row>
    <row r="7339" spans="5:10" x14ac:dyDescent="0.25">
      <c r="E7339"/>
      <c r="F7339"/>
      <c r="G7339" s="12"/>
      <c r="H7339" s="12"/>
      <c r="I7339" s="12"/>
      <c r="J7339" s="12"/>
    </row>
    <row r="7340" spans="5:10" x14ac:dyDescent="0.25">
      <c r="E7340"/>
      <c r="F7340"/>
      <c r="G7340" s="12"/>
      <c r="H7340" s="12"/>
      <c r="I7340" s="12"/>
      <c r="J7340" s="12"/>
    </row>
    <row r="7341" spans="5:10" x14ac:dyDescent="0.25">
      <c r="E7341"/>
      <c r="F7341"/>
      <c r="G7341" s="12"/>
      <c r="H7341" s="12"/>
      <c r="I7341" s="12"/>
      <c r="J7341" s="12"/>
    </row>
    <row r="7342" spans="5:10" x14ac:dyDescent="0.25">
      <c r="E7342"/>
      <c r="F7342"/>
      <c r="G7342" s="12"/>
      <c r="H7342" s="12"/>
      <c r="I7342" s="12"/>
      <c r="J7342" s="12"/>
    </row>
    <row r="7343" spans="5:10" x14ac:dyDescent="0.25">
      <c r="E7343"/>
      <c r="F7343"/>
      <c r="G7343" s="12"/>
      <c r="H7343" s="12"/>
      <c r="I7343" s="12"/>
      <c r="J7343" s="12"/>
    </row>
    <row r="7344" spans="5:10" x14ac:dyDescent="0.25">
      <c r="E7344"/>
      <c r="F7344"/>
      <c r="G7344" s="12"/>
      <c r="H7344" s="12"/>
      <c r="I7344" s="12"/>
      <c r="J7344" s="12"/>
    </row>
    <row r="7345" spans="5:10" x14ac:dyDescent="0.25">
      <c r="E7345"/>
      <c r="F7345"/>
      <c r="G7345" s="12"/>
      <c r="H7345" s="12"/>
      <c r="I7345" s="12"/>
      <c r="J7345" s="12"/>
    </row>
    <row r="7346" spans="5:10" x14ac:dyDescent="0.25">
      <c r="E7346"/>
      <c r="F7346"/>
      <c r="G7346" s="12"/>
      <c r="H7346" s="12"/>
      <c r="I7346" s="12"/>
      <c r="J7346" s="12"/>
    </row>
    <row r="7347" spans="5:10" x14ac:dyDescent="0.25">
      <c r="E7347"/>
      <c r="F7347"/>
      <c r="G7347" s="12"/>
      <c r="H7347" s="12"/>
      <c r="I7347" s="12"/>
      <c r="J7347" s="12"/>
    </row>
    <row r="7348" spans="5:10" x14ac:dyDescent="0.25">
      <c r="E7348"/>
      <c r="F7348"/>
      <c r="G7348" s="12"/>
      <c r="H7348" s="12"/>
      <c r="I7348" s="12"/>
      <c r="J7348" s="12"/>
    </row>
    <row r="7349" spans="5:10" x14ac:dyDescent="0.25">
      <c r="E7349"/>
      <c r="F7349"/>
      <c r="G7349" s="12"/>
      <c r="H7349" s="12"/>
      <c r="I7349" s="12"/>
      <c r="J7349" s="12"/>
    </row>
    <row r="7350" spans="5:10" x14ac:dyDescent="0.25">
      <c r="E7350"/>
      <c r="F7350"/>
      <c r="G7350" s="12"/>
      <c r="H7350" s="12"/>
      <c r="I7350" s="12"/>
      <c r="J7350" s="12"/>
    </row>
    <row r="7351" spans="5:10" x14ac:dyDescent="0.25">
      <c r="E7351"/>
      <c r="F7351"/>
      <c r="G7351" s="12"/>
      <c r="H7351" s="12"/>
      <c r="I7351" s="12"/>
      <c r="J7351" s="12"/>
    </row>
    <row r="7352" spans="5:10" x14ac:dyDescent="0.25">
      <c r="E7352"/>
      <c r="F7352"/>
      <c r="G7352" s="12"/>
      <c r="H7352" s="12"/>
      <c r="I7352" s="12"/>
      <c r="J7352" s="12"/>
    </row>
    <row r="7353" spans="5:10" x14ac:dyDescent="0.25">
      <c r="E7353"/>
      <c r="F7353"/>
      <c r="G7353" s="12"/>
      <c r="H7353" s="12"/>
      <c r="I7353" s="12"/>
      <c r="J7353" s="12"/>
    </row>
    <row r="7354" spans="5:10" x14ac:dyDescent="0.25">
      <c r="E7354"/>
      <c r="F7354"/>
      <c r="G7354" s="12"/>
      <c r="H7354" s="12"/>
      <c r="I7354" s="12"/>
      <c r="J7354" s="12"/>
    </row>
    <row r="7355" spans="5:10" x14ac:dyDescent="0.25">
      <c r="E7355"/>
      <c r="F7355"/>
      <c r="G7355" s="12"/>
      <c r="H7355" s="12"/>
      <c r="I7355" s="12"/>
      <c r="J7355" s="12"/>
    </row>
    <row r="7356" spans="5:10" x14ac:dyDescent="0.25">
      <c r="E7356"/>
      <c r="F7356"/>
      <c r="G7356" s="12"/>
      <c r="H7356" s="12"/>
      <c r="I7356" s="12"/>
      <c r="J7356" s="12"/>
    </row>
    <row r="7357" spans="5:10" x14ac:dyDescent="0.25">
      <c r="E7357"/>
      <c r="F7357"/>
      <c r="G7357" s="12"/>
      <c r="H7357" s="12"/>
      <c r="I7357" s="12"/>
      <c r="J7357" s="12"/>
    </row>
    <row r="7358" spans="5:10" x14ac:dyDescent="0.25">
      <c r="E7358"/>
      <c r="F7358"/>
      <c r="G7358" s="12"/>
      <c r="H7358" s="12"/>
      <c r="I7358" s="12"/>
      <c r="J7358" s="12"/>
    </row>
    <row r="7359" spans="5:10" x14ac:dyDescent="0.25">
      <c r="E7359"/>
      <c r="F7359"/>
      <c r="G7359" s="12"/>
      <c r="H7359" s="12"/>
      <c r="I7359" s="12"/>
      <c r="J7359" s="12"/>
    </row>
    <row r="7360" spans="5:10" x14ac:dyDescent="0.25">
      <c r="E7360"/>
      <c r="F7360"/>
      <c r="G7360" s="12"/>
      <c r="H7360" s="12"/>
      <c r="I7360" s="12"/>
      <c r="J7360" s="12"/>
    </row>
    <row r="7361" spans="5:10" x14ac:dyDescent="0.25">
      <c r="E7361"/>
      <c r="F7361"/>
      <c r="G7361" s="12"/>
      <c r="H7361" s="12"/>
      <c r="I7361" s="12"/>
      <c r="J7361" s="12"/>
    </row>
    <row r="7362" spans="5:10" x14ac:dyDescent="0.25">
      <c r="E7362"/>
      <c r="F7362"/>
      <c r="G7362" s="12"/>
      <c r="H7362" s="12"/>
      <c r="I7362" s="12"/>
      <c r="J7362" s="12"/>
    </row>
    <row r="7363" spans="5:10" x14ac:dyDescent="0.25">
      <c r="E7363"/>
      <c r="F7363"/>
      <c r="G7363" s="12"/>
      <c r="H7363" s="12"/>
      <c r="I7363" s="12"/>
      <c r="J7363" s="12"/>
    </row>
    <row r="7364" spans="5:10" x14ac:dyDescent="0.25">
      <c r="E7364"/>
      <c r="F7364"/>
      <c r="G7364" s="12"/>
      <c r="H7364" s="12"/>
      <c r="I7364" s="12"/>
      <c r="J7364" s="12"/>
    </row>
    <row r="7365" spans="5:10" x14ac:dyDescent="0.25">
      <c r="E7365"/>
      <c r="F7365"/>
      <c r="G7365" s="12"/>
      <c r="H7365" s="12"/>
      <c r="I7365" s="12"/>
      <c r="J7365" s="12"/>
    </row>
    <row r="7366" spans="5:10" x14ac:dyDescent="0.25">
      <c r="E7366"/>
      <c r="F7366"/>
      <c r="G7366" s="12"/>
      <c r="H7366" s="12"/>
      <c r="I7366" s="12"/>
      <c r="J7366" s="12"/>
    </row>
    <row r="7367" spans="5:10" x14ac:dyDescent="0.25">
      <c r="E7367"/>
      <c r="F7367"/>
      <c r="G7367" s="12"/>
      <c r="H7367" s="12"/>
      <c r="I7367" s="12"/>
      <c r="J7367" s="12"/>
    </row>
    <row r="7368" spans="5:10" x14ac:dyDescent="0.25">
      <c r="E7368"/>
      <c r="F7368"/>
      <c r="G7368" s="12"/>
      <c r="H7368" s="12"/>
      <c r="I7368" s="12"/>
      <c r="J7368" s="12"/>
    </row>
    <row r="7369" spans="5:10" x14ac:dyDescent="0.25">
      <c r="E7369"/>
      <c r="F7369"/>
      <c r="G7369" s="12"/>
      <c r="H7369" s="12"/>
      <c r="I7369" s="12"/>
      <c r="J7369" s="12"/>
    </row>
    <row r="7370" spans="5:10" x14ac:dyDescent="0.25">
      <c r="E7370"/>
      <c r="F7370"/>
      <c r="G7370" s="12"/>
      <c r="H7370" s="12"/>
      <c r="I7370" s="12"/>
      <c r="J7370" s="12"/>
    </row>
    <row r="7371" spans="5:10" x14ac:dyDescent="0.25">
      <c r="E7371"/>
      <c r="F7371"/>
      <c r="G7371" s="12"/>
      <c r="H7371" s="12"/>
      <c r="I7371" s="12"/>
      <c r="J7371" s="12"/>
    </row>
    <row r="7372" spans="5:10" x14ac:dyDescent="0.25">
      <c r="E7372"/>
      <c r="F7372"/>
      <c r="G7372" s="12"/>
      <c r="H7372" s="12"/>
      <c r="I7372" s="12"/>
      <c r="J7372" s="12"/>
    </row>
    <row r="7373" spans="5:10" x14ac:dyDescent="0.25">
      <c r="E7373"/>
      <c r="F7373"/>
      <c r="G7373" s="12"/>
      <c r="H7373" s="12"/>
      <c r="I7373" s="12"/>
      <c r="J7373" s="12"/>
    </row>
    <row r="7374" spans="5:10" x14ac:dyDescent="0.25">
      <c r="E7374"/>
      <c r="F7374"/>
      <c r="G7374" s="12"/>
      <c r="H7374" s="12"/>
      <c r="I7374" s="12"/>
      <c r="J7374" s="12"/>
    </row>
    <row r="7375" spans="5:10" x14ac:dyDescent="0.25">
      <c r="E7375"/>
      <c r="F7375"/>
      <c r="G7375" s="12"/>
      <c r="H7375" s="12"/>
      <c r="I7375" s="12"/>
      <c r="J7375" s="12"/>
    </row>
    <row r="7376" spans="5:10" x14ac:dyDescent="0.25">
      <c r="E7376"/>
      <c r="F7376"/>
      <c r="G7376" s="12"/>
      <c r="H7376" s="12"/>
      <c r="I7376" s="12"/>
      <c r="J7376" s="12"/>
    </row>
    <row r="7377" spans="5:10" x14ac:dyDescent="0.25">
      <c r="E7377"/>
      <c r="F7377"/>
      <c r="G7377" s="12"/>
      <c r="H7377" s="12"/>
      <c r="I7377" s="12"/>
      <c r="J7377" s="12"/>
    </row>
    <row r="7378" spans="5:10" x14ac:dyDescent="0.25">
      <c r="E7378"/>
      <c r="F7378"/>
      <c r="G7378" s="12"/>
      <c r="H7378" s="12"/>
      <c r="I7378" s="12"/>
      <c r="J7378" s="12"/>
    </row>
    <row r="7379" spans="5:10" x14ac:dyDescent="0.25">
      <c r="E7379"/>
      <c r="F7379"/>
      <c r="G7379" s="12"/>
      <c r="H7379" s="12"/>
      <c r="I7379" s="12"/>
      <c r="J7379" s="12"/>
    </row>
    <row r="7380" spans="5:10" x14ac:dyDescent="0.25">
      <c r="E7380"/>
      <c r="F7380"/>
      <c r="G7380" s="12"/>
      <c r="H7380" s="12"/>
      <c r="I7380" s="12"/>
      <c r="J7380" s="12"/>
    </row>
    <row r="7381" spans="5:10" x14ac:dyDescent="0.25">
      <c r="E7381"/>
      <c r="F7381"/>
      <c r="G7381" s="12"/>
      <c r="H7381" s="12"/>
      <c r="I7381" s="12"/>
      <c r="J7381" s="12"/>
    </row>
    <row r="7382" spans="5:10" x14ac:dyDescent="0.25">
      <c r="E7382"/>
      <c r="F7382"/>
      <c r="G7382" s="12"/>
      <c r="H7382" s="12"/>
      <c r="I7382" s="12"/>
      <c r="J7382" s="12"/>
    </row>
    <row r="7383" spans="5:10" x14ac:dyDescent="0.25">
      <c r="E7383"/>
      <c r="F7383"/>
      <c r="G7383" s="12"/>
      <c r="H7383" s="12"/>
      <c r="I7383" s="12"/>
      <c r="J7383" s="12"/>
    </row>
    <row r="7384" spans="5:10" x14ac:dyDescent="0.25">
      <c r="E7384"/>
      <c r="F7384"/>
      <c r="G7384" s="12"/>
      <c r="H7384" s="12"/>
      <c r="I7384" s="12"/>
      <c r="J7384" s="12"/>
    </row>
    <row r="7385" spans="5:10" x14ac:dyDescent="0.25">
      <c r="E7385"/>
      <c r="F7385"/>
      <c r="G7385" s="12"/>
      <c r="H7385" s="12"/>
      <c r="I7385" s="12"/>
      <c r="J7385" s="12"/>
    </row>
    <row r="7386" spans="5:10" x14ac:dyDescent="0.25">
      <c r="E7386"/>
      <c r="F7386"/>
      <c r="G7386" s="12"/>
      <c r="H7386" s="12"/>
      <c r="I7386" s="12"/>
      <c r="J7386" s="12"/>
    </row>
    <row r="7387" spans="5:10" x14ac:dyDescent="0.25">
      <c r="E7387"/>
      <c r="F7387"/>
      <c r="G7387" s="12"/>
      <c r="H7387" s="12"/>
      <c r="I7387" s="12"/>
      <c r="J7387" s="12"/>
    </row>
    <row r="7388" spans="5:10" x14ac:dyDescent="0.25">
      <c r="E7388"/>
      <c r="F7388"/>
      <c r="G7388" s="12"/>
      <c r="H7388" s="12"/>
      <c r="I7388" s="12"/>
      <c r="J7388" s="12"/>
    </row>
    <row r="7389" spans="5:10" x14ac:dyDescent="0.25">
      <c r="E7389"/>
      <c r="F7389"/>
      <c r="G7389" s="12"/>
      <c r="H7389" s="12"/>
      <c r="I7389" s="12"/>
      <c r="J7389" s="12"/>
    </row>
    <row r="7390" spans="5:10" x14ac:dyDescent="0.25">
      <c r="E7390"/>
      <c r="F7390"/>
      <c r="G7390" s="12"/>
      <c r="H7390" s="12"/>
      <c r="I7390" s="12"/>
      <c r="J7390" s="12"/>
    </row>
    <row r="7391" spans="5:10" x14ac:dyDescent="0.25">
      <c r="E7391"/>
      <c r="F7391"/>
      <c r="G7391" s="12"/>
      <c r="H7391" s="12"/>
      <c r="I7391" s="12"/>
      <c r="J7391" s="12"/>
    </row>
    <row r="7392" spans="5:10" x14ac:dyDescent="0.25">
      <c r="E7392"/>
      <c r="F7392"/>
      <c r="G7392" s="12"/>
      <c r="H7392" s="12"/>
      <c r="I7392" s="12"/>
      <c r="J7392" s="12"/>
    </row>
    <row r="7393" spans="5:10" x14ac:dyDescent="0.25">
      <c r="E7393"/>
      <c r="F7393"/>
      <c r="G7393" s="12"/>
      <c r="H7393" s="12"/>
      <c r="I7393" s="12"/>
      <c r="J7393" s="12"/>
    </row>
    <row r="7394" spans="5:10" x14ac:dyDescent="0.25">
      <c r="E7394"/>
      <c r="F7394"/>
      <c r="G7394" s="12"/>
      <c r="H7394" s="12"/>
      <c r="I7394" s="12"/>
      <c r="J7394" s="12"/>
    </row>
    <row r="7395" spans="5:10" x14ac:dyDescent="0.25">
      <c r="E7395"/>
      <c r="F7395"/>
      <c r="G7395" s="12"/>
      <c r="H7395" s="12"/>
      <c r="I7395" s="12"/>
      <c r="J7395" s="12"/>
    </row>
    <row r="7396" spans="5:10" x14ac:dyDescent="0.25">
      <c r="E7396"/>
      <c r="F7396"/>
      <c r="G7396" s="12"/>
      <c r="H7396" s="12"/>
      <c r="I7396" s="12"/>
      <c r="J7396" s="12"/>
    </row>
    <row r="7397" spans="5:10" x14ac:dyDescent="0.25">
      <c r="E7397"/>
      <c r="F7397"/>
      <c r="G7397" s="12"/>
      <c r="H7397" s="12"/>
      <c r="I7397" s="12"/>
      <c r="J7397" s="12"/>
    </row>
    <row r="7398" spans="5:10" x14ac:dyDescent="0.25">
      <c r="E7398"/>
      <c r="F7398"/>
      <c r="G7398" s="12"/>
      <c r="H7398" s="12"/>
      <c r="I7398" s="12"/>
      <c r="J7398" s="12"/>
    </row>
    <row r="7399" spans="5:10" x14ac:dyDescent="0.25">
      <c r="E7399"/>
      <c r="F7399"/>
      <c r="G7399" s="12"/>
      <c r="H7399" s="12"/>
      <c r="I7399" s="12"/>
      <c r="J7399" s="12"/>
    </row>
    <row r="7400" spans="5:10" x14ac:dyDescent="0.25">
      <c r="E7400"/>
      <c r="F7400"/>
      <c r="G7400" s="12"/>
      <c r="H7400" s="12"/>
      <c r="I7400" s="12"/>
      <c r="J7400" s="12"/>
    </row>
    <row r="7401" spans="5:10" x14ac:dyDescent="0.25">
      <c r="E7401"/>
      <c r="F7401"/>
      <c r="G7401" s="12"/>
      <c r="H7401" s="12"/>
      <c r="I7401" s="12"/>
      <c r="J7401" s="12"/>
    </row>
    <row r="7402" spans="5:10" x14ac:dyDescent="0.25">
      <c r="E7402"/>
      <c r="F7402"/>
      <c r="G7402" s="12"/>
      <c r="H7402" s="12"/>
      <c r="I7402" s="12"/>
      <c r="J7402" s="12"/>
    </row>
    <row r="7403" spans="5:10" x14ac:dyDescent="0.25">
      <c r="E7403"/>
      <c r="F7403"/>
      <c r="G7403" s="12"/>
      <c r="H7403" s="12"/>
      <c r="I7403" s="12"/>
      <c r="J7403" s="12"/>
    </row>
    <row r="7404" spans="5:10" x14ac:dyDescent="0.25">
      <c r="E7404"/>
      <c r="F7404"/>
      <c r="G7404" s="12"/>
      <c r="H7404" s="12"/>
      <c r="I7404" s="12"/>
      <c r="J7404" s="12"/>
    </row>
    <row r="7405" spans="5:10" x14ac:dyDescent="0.25">
      <c r="E7405"/>
      <c r="F7405"/>
      <c r="G7405" s="12"/>
      <c r="H7405" s="12"/>
      <c r="I7405" s="12"/>
      <c r="J7405" s="12"/>
    </row>
    <row r="7406" spans="5:10" x14ac:dyDescent="0.25">
      <c r="E7406"/>
      <c r="F7406"/>
      <c r="G7406" s="12"/>
      <c r="H7406" s="12"/>
      <c r="I7406" s="12"/>
      <c r="J7406" s="12"/>
    </row>
    <row r="7407" spans="5:10" x14ac:dyDescent="0.25">
      <c r="E7407"/>
      <c r="F7407"/>
      <c r="G7407" s="12"/>
      <c r="H7407" s="12"/>
      <c r="I7407" s="12"/>
      <c r="J7407" s="12"/>
    </row>
    <row r="7408" spans="5:10" x14ac:dyDescent="0.25">
      <c r="E7408"/>
      <c r="F7408"/>
      <c r="G7408" s="12"/>
      <c r="H7408" s="12"/>
      <c r="I7408" s="12"/>
      <c r="J7408" s="12"/>
    </row>
    <row r="7409" spans="5:10" x14ac:dyDescent="0.25">
      <c r="E7409"/>
      <c r="F7409"/>
      <c r="G7409" s="12"/>
      <c r="H7409" s="12"/>
      <c r="I7409" s="12"/>
      <c r="J7409" s="12"/>
    </row>
    <row r="7410" spans="5:10" x14ac:dyDescent="0.25">
      <c r="E7410"/>
      <c r="F7410"/>
      <c r="G7410" s="12"/>
      <c r="H7410" s="12"/>
      <c r="I7410" s="12"/>
      <c r="J7410" s="12"/>
    </row>
    <row r="7411" spans="5:10" x14ac:dyDescent="0.25">
      <c r="E7411"/>
      <c r="F7411"/>
      <c r="G7411" s="12"/>
      <c r="H7411" s="12"/>
      <c r="I7411" s="12"/>
      <c r="J7411" s="12"/>
    </row>
    <row r="7412" spans="5:10" x14ac:dyDescent="0.25">
      <c r="E7412"/>
      <c r="F7412"/>
      <c r="G7412" s="12"/>
      <c r="H7412" s="12"/>
      <c r="I7412" s="12"/>
      <c r="J7412" s="12"/>
    </row>
    <row r="7413" spans="5:10" x14ac:dyDescent="0.25">
      <c r="E7413"/>
      <c r="F7413"/>
      <c r="G7413" s="12"/>
      <c r="H7413" s="12"/>
      <c r="I7413" s="12"/>
      <c r="J7413" s="12"/>
    </row>
    <row r="7414" spans="5:10" x14ac:dyDescent="0.25">
      <c r="E7414"/>
      <c r="F7414"/>
      <c r="G7414" s="12"/>
      <c r="H7414" s="12"/>
      <c r="I7414" s="12"/>
      <c r="J7414" s="12"/>
    </row>
    <row r="7415" spans="5:10" x14ac:dyDescent="0.25">
      <c r="E7415"/>
      <c r="F7415"/>
      <c r="G7415" s="12"/>
      <c r="H7415" s="12"/>
      <c r="I7415" s="12"/>
      <c r="J7415" s="12"/>
    </row>
    <row r="7416" spans="5:10" x14ac:dyDescent="0.25">
      <c r="E7416"/>
      <c r="F7416"/>
      <c r="G7416" s="12"/>
      <c r="H7416" s="12"/>
      <c r="I7416" s="12"/>
      <c r="J7416" s="12"/>
    </row>
    <row r="7417" spans="5:10" x14ac:dyDescent="0.25">
      <c r="E7417"/>
      <c r="F7417"/>
      <c r="G7417" s="12"/>
      <c r="H7417" s="12"/>
      <c r="I7417" s="12"/>
      <c r="J7417" s="12"/>
    </row>
    <row r="7418" spans="5:10" x14ac:dyDescent="0.25">
      <c r="E7418"/>
      <c r="F7418"/>
      <c r="G7418" s="12"/>
      <c r="H7418" s="12"/>
      <c r="I7418" s="12"/>
      <c r="J7418" s="12"/>
    </row>
    <row r="7419" spans="5:10" x14ac:dyDescent="0.25">
      <c r="E7419"/>
      <c r="F7419"/>
      <c r="G7419" s="12"/>
      <c r="H7419" s="12"/>
      <c r="I7419" s="12"/>
      <c r="J7419" s="12"/>
    </row>
    <row r="7420" spans="5:10" x14ac:dyDescent="0.25">
      <c r="E7420"/>
      <c r="F7420"/>
      <c r="G7420" s="12"/>
      <c r="H7420" s="12"/>
      <c r="I7420" s="12"/>
      <c r="J7420" s="12"/>
    </row>
    <row r="7421" spans="5:10" x14ac:dyDescent="0.25">
      <c r="E7421"/>
      <c r="F7421"/>
      <c r="G7421" s="12"/>
      <c r="H7421" s="12"/>
      <c r="I7421" s="12"/>
      <c r="J7421" s="12"/>
    </row>
    <row r="7422" spans="5:10" x14ac:dyDescent="0.25">
      <c r="E7422"/>
      <c r="F7422"/>
      <c r="G7422" s="12"/>
      <c r="H7422" s="12"/>
      <c r="I7422" s="12"/>
      <c r="J7422" s="12"/>
    </row>
    <row r="7423" spans="5:10" x14ac:dyDescent="0.25">
      <c r="E7423"/>
      <c r="F7423"/>
      <c r="G7423" s="12"/>
      <c r="H7423" s="12"/>
      <c r="I7423" s="12"/>
      <c r="J7423" s="12"/>
    </row>
    <row r="7424" spans="5:10" x14ac:dyDescent="0.25">
      <c r="E7424"/>
      <c r="F7424"/>
      <c r="G7424" s="12"/>
      <c r="H7424" s="12"/>
      <c r="I7424" s="12"/>
      <c r="J7424" s="12"/>
    </row>
    <row r="7425" spans="5:10" x14ac:dyDescent="0.25">
      <c r="E7425"/>
      <c r="F7425"/>
      <c r="G7425" s="12"/>
      <c r="H7425" s="12"/>
      <c r="I7425" s="12"/>
      <c r="J7425" s="12"/>
    </row>
    <row r="7426" spans="5:10" x14ac:dyDescent="0.25">
      <c r="E7426"/>
      <c r="F7426"/>
      <c r="G7426" s="12"/>
      <c r="H7426" s="12"/>
      <c r="I7426" s="12"/>
      <c r="J7426" s="12"/>
    </row>
    <row r="7427" spans="5:10" x14ac:dyDescent="0.25">
      <c r="E7427"/>
      <c r="F7427"/>
      <c r="G7427" s="12"/>
      <c r="H7427" s="12"/>
      <c r="I7427" s="12"/>
      <c r="J7427" s="12"/>
    </row>
    <row r="7428" spans="5:10" x14ac:dyDescent="0.25">
      <c r="E7428"/>
      <c r="F7428"/>
      <c r="G7428" s="12"/>
      <c r="H7428" s="12"/>
      <c r="I7428" s="12"/>
      <c r="J7428" s="12"/>
    </row>
    <row r="7429" spans="5:10" x14ac:dyDescent="0.25">
      <c r="E7429"/>
      <c r="F7429"/>
      <c r="G7429" s="12"/>
      <c r="H7429" s="12"/>
      <c r="I7429" s="12"/>
      <c r="J7429" s="12"/>
    </row>
    <row r="7430" spans="5:10" x14ac:dyDescent="0.25">
      <c r="E7430"/>
      <c r="F7430"/>
      <c r="G7430" s="12"/>
      <c r="H7430" s="12"/>
      <c r="I7430" s="12"/>
      <c r="J7430" s="12"/>
    </row>
    <row r="7431" spans="5:10" x14ac:dyDescent="0.25">
      <c r="E7431"/>
      <c r="F7431"/>
      <c r="G7431" s="12"/>
      <c r="H7431" s="12"/>
      <c r="I7431" s="12"/>
      <c r="J7431" s="12"/>
    </row>
    <row r="7432" spans="5:10" x14ac:dyDescent="0.25">
      <c r="E7432"/>
      <c r="F7432"/>
      <c r="G7432" s="12"/>
      <c r="H7432" s="12"/>
      <c r="I7432" s="12"/>
      <c r="J7432" s="12"/>
    </row>
    <row r="7433" spans="5:10" x14ac:dyDescent="0.25">
      <c r="E7433"/>
      <c r="F7433"/>
      <c r="G7433" s="12"/>
      <c r="H7433" s="12"/>
      <c r="I7433" s="12"/>
      <c r="J7433" s="12"/>
    </row>
    <row r="7434" spans="5:10" x14ac:dyDescent="0.25">
      <c r="E7434"/>
      <c r="F7434"/>
      <c r="G7434" s="12"/>
      <c r="H7434" s="12"/>
      <c r="I7434" s="12"/>
      <c r="J7434" s="12"/>
    </row>
    <row r="7435" spans="5:10" x14ac:dyDescent="0.25">
      <c r="E7435"/>
      <c r="F7435"/>
      <c r="G7435" s="12"/>
      <c r="H7435" s="12"/>
      <c r="I7435" s="12"/>
      <c r="J7435" s="12"/>
    </row>
    <row r="7436" spans="5:10" x14ac:dyDescent="0.25">
      <c r="E7436"/>
      <c r="F7436"/>
      <c r="G7436" s="12"/>
      <c r="H7436" s="12"/>
      <c r="I7436" s="12"/>
      <c r="J7436" s="12"/>
    </row>
    <row r="7437" spans="5:10" x14ac:dyDescent="0.25">
      <c r="E7437"/>
      <c r="F7437"/>
      <c r="G7437" s="12"/>
      <c r="H7437" s="12"/>
      <c r="I7437" s="12"/>
      <c r="J7437" s="12"/>
    </row>
    <row r="7438" spans="5:10" x14ac:dyDescent="0.25">
      <c r="E7438"/>
      <c r="F7438"/>
      <c r="G7438" s="12"/>
      <c r="H7438" s="12"/>
      <c r="I7438" s="12"/>
      <c r="J7438" s="12"/>
    </row>
    <row r="7439" spans="5:10" x14ac:dyDescent="0.25">
      <c r="E7439"/>
      <c r="F7439"/>
      <c r="G7439" s="12"/>
      <c r="H7439" s="12"/>
      <c r="I7439" s="12"/>
      <c r="J7439" s="12"/>
    </row>
    <row r="7440" spans="5:10" x14ac:dyDescent="0.25">
      <c r="E7440"/>
      <c r="F7440"/>
      <c r="G7440" s="12"/>
      <c r="H7440" s="12"/>
      <c r="I7440" s="12"/>
      <c r="J7440" s="12"/>
    </row>
    <row r="7441" spans="5:10" x14ac:dyDescent="0.25">
      <c r="E7441"/>
      <c r="F7441"/>
      <c r="G7441" s="12"/>
      <c r="H7441" s="12"/>
      <c r="I7441" s="12"/>
      <c r="J7441" s="12"/>
    </row>
    <row r="7442" spans="5:10" x14ac:dyDescent="0.25">
      <c r="E7442"/>
      <c r="F7442"/>
      <c r="G7442" s="12"/>
      <c r="H7442" s="12"/>
      <c r="I7442" s="12"/>
      <c r="J7442" s="12"/>
    </row>
    <row r="7443" spans="5:10" x14ac:dyDescent="0.25">
      <c r="E7443"/>
      <c r="F7443"/>
      <c r="G7443" s="12"/>
      <c r="H7443" s="12"/>
      <c r="I7443" s="12"/>
      <c r="J7443" s="12"/>
    </row>
    <row r="7444" spans="5:10" x14ac:dyDescent="0.25">
      <c r="E7444"/>
      <c r="F7444"/>
      <c r="G7444" s="12"/>
      <c r="H7444" s="12"/>
      <c r="I7444" s="12"/>
      <c r="J7444" s="12"/>
    </row>
    <row r="7445" spans="5:10" x14ac:dyDescent="0.25">
      <c r="E7445"/>
      <c r="F7445"/>
      <c r="G7445" s="12"/>
      <c r="H7445" s="12"/>
      <c r="I7445" s="12"/>
      <c r="J7445" s="12"/>
    </row>
    <row r="7446" spans="5:10" x14ac:dyDescent="0.25">
      <c r="E7446"/>
      <c r="F7446"/>
      <c r="G7446" s="12"/>
      <c r="H7446" s="12"/>
      <c r="I7446" s="12"/>
      <c r="J7446" s="12"/>
    </row>
    <row r="7447" spans="5:10" x14ac:dyDescent="0.25">
      <c r="E7447"/>
      <c r="F7447"/>
      <c r="G7447" s="12"/>
      <c r="H7447" s="12"/>
      <c r="I7447" s="12"/>
      <c r="J7447" s="12"/>
    </row>
    <row r="7448" spans="5:10" x14ac:dyDescent="0.25">
      <c r="E7448"/>
      <c r="F7448"/>
      <c r="G7448" s="12"/>
      <c r="H7448" s="12"/>
      <c r="I7448" s="12"/>
      <c r="J7448" s="12"/>
    </row>
    <row r="7449" spans="5:10" x14ac:dyDescent="0.25">
      <c r="E7449"/>
      <c r="F7449"/>
      <c r="G7449" s="12"/>
      <c r="H7449" s="12"/>
      <c r="I7449" s="12"/>
      <c r="J7449" s="12"/>
    </row>
    <row r="7450" spans="5:10" x14ac:dyDescent="0.25">
      <c r="E7450"/>
      <c r="F7450"/>
      <c r="G7450" s="12"/>
      <c r="H7450" s="12"/>
      <c r="I7450" s="12"/>
      <c r="J7450" s="12"/>
    </row>
    <row r="7451" spans="5:10" x14ac:dyDescent="0.25">
      <c r="E7451"/>
      <c r="F7451"/>
      <c r="G7451" s="12"/>
      <c r="H7451" s="12"/>
      <c r="I7451" s="12"/>
      <c r="J7451" s="12"/>
    </row>
    <row r="7452" spans="5:10" x14ac:dyDescent="0.25">
      <c r="E7452"/>
      <c r="F7452"/>
      <c r="G7452" s="12"/>
      <c r="H7452" s="12"/>
      <c r="I7452" s="12"/>
      <c r="J7452" s="12"/>
    </row>
    <row r="7453" spans="5:10" x14ac:dyDescent="0.25">
      <c r="E7453"/>
      <c r="F7453"/>
      <c r="G7453" s="12"/>
      <c r="H7453" s="12"/>
      <c r="I7453" s="12"/>
      <c r="J7453" s="12"/>
    </row>
    <row r="7454" spans="5:10" x14ac:dyDescent="0.25">
      <c r="E7454"/>
      <c r="F7454"/>
      <c r="G7454" s="12"/>
      <c r="H7454" s="12"/>
      <c r="I7454" s="12"/>
      <c r="J7454" s="12"/>
    </row>
    <row r="7455" spans="5:10" x14ac:dyDescent="0.25">
      <c r="E7455"/>
      <c r="F7455"/>
      <c r="G7455" s="12"/>
      <c r="H7455" s="12"/>
      <c r="I7455" s="12"/>
      <c r="J7455" s="12"/>
    </row>
    <row r="7456" spans="5:10" x14ac:dyDescent="0.25">
      <c r="E7456"/>
      <c r="F7456"/>
      <c r="G7456" s="12"/>
      <c r="H7456" s="12"/>
      <c r="I7456" s="12"/>
      <c r="J7456" s="12"/>
    </row>
    <row r="7457" spans="5:10" x14ac:dyDescent="0.25">
      <c r="E7457"/>
      <c r="F7457"/>
      <c r="G7457" s="12"/>
      <c r="H7457" s="12"/>
      <c r="I7457" s="12"/>
      <c r="J7457" s="12"/>
    </row>
    <row r="7458" spans="5:10" x14ac:dyDescent="0.25">
      <c r="E7458"/>
      <c r="F7458"/>
      <c r="G7458" s="12"/>
      <c r="H7458" s="12"/>
      <c r="I7458" s="12"/>
      <c r="J7458" s="12"/>
    </row>
    <row r="7459" spans="5:10" x14ac:dyDescent="0.25">
      <c r="E7459"/>
      <c r="F7459"/>
      <c r="G7459" s="12"/>
      <c r="H7459" s="12"/>
      <c r="I7459" s="12"/>
      <c r="J7459" s="12"/>
    </row>
    <row r="7460" spans="5:10" x14ac:dyDescent="0.25">
      <c r="E7460"/>
      <c r="F7460"/>
      <c r="G7460" s="12"/>
      <c r="H7460" s="12"/>
      <c r="I7460" s="12"/>
      <c r="J7460" s="12"/>
    </row>
    <row r="7461" spans="5:10" x14ac:dyDescent="0.25">
      <c r="E7461"/>
      <c r="F7461"/>
      <c r="G7461" s="12"/>
      <c r="H7461" s="12"/>
      <c r="I7461" s="12"/>
      <c r="J7461" s="12"/>
    </row>
    <row r="7462" spans="5:10" x14ac:dyDescent="0.25">
      <c r="E7462"/>
      <c r="F7462"/>
      <c r="G7462" s="12"/>
      <c r="H7462" s="12"/>
      <c r="I7462" s="12"/>
      <c r="J7462" s="12"/>
    </row>
    <row r="7463" spans="5:10" x14ac:dyDescent="0.25">
      <c r="E7463"/>
      <c r="F7463"/>
      <c r="G7463" s="12"/>
      <c r="H7463" s="12"/>
      <c r="I7463" s="12"/>
      <c r="J7463" s="12"/>
    </row>
    <row r="7464" spans="5:10" x14ac:dyDescent="0.25">
      <c r="E7464"/>
      <c r="F7464"/>
      <c r="G7464" s="12"/>
      <c r="H7464" s="12"/>
      <c r="I7464" s="12"/>
      <c r="J7464" s="12"/>
    </row>
    <row r="7465" spans="5:10" x14ac:dyDescent="0.25">
      <c r="E7465"/>
      <c r="F7465"/>
      <c r="G7465" s="12"/>
      <c r="H7465" s="12"/>
      <c r="I7465" s="12"/>
      <c r="J7465" s="12"/>
    </row>
    <row r="7466" spans="5:10" x14ac:dyDescent="0.25">
      <c r="E7466"/>
      <c r="F7466"/>
      <c r="G7466" s="12"/>
      <c r="H7466" s="12"/>
      <c r="I7466" s="12"/>
      <c r="J7466" s="12"/>
    </row>
    <row r="7467" spans="5:10" x14ac:dyDescent="0.25">
      <c r="E7467"/>
      <c r="F7467"/>
      <c r="G7467" s="12"/>
      <c r="H7467" s="12"/>
      <c r="I7467" s="12"/>
      <c r="J7467" s="12"/>
    </row>
    <row r="7468" spans="5:10" x14ac:dyDescent="0.25">
      <c r="E7468"/>
      <c r="F7468"/>
      <c r="G7468" s="12"/>
      <c r="H7468" s="12"/>
      <c r="I7468" s="12"/>
      <c r="J7468" s="12"/>
    </row>
    <row r="7469" spans="5:10" x14ac:dyDescent="0.25">
      <c r="E7469"/>
      <c r="F7469"/>
      <c r="G7469" s="12"/>
      <c r="H7469" s="12"/>
      <c r="I7469" s="12"/>
      <c r="J7469" s="12"/>
    </row>
    <row r="7470" spans="5:10" x14ac:dyDescent="0.25">
      <c r="E7470"/>
      <c r="F7470"/>
      <c r="G7470" s="12"/>
      <c r="H7470" s="12"/>
      <c r="I7470" s="12"/>
      <c r="J7470" s="12"/>
    </row>
    <row r="7471" spans="5:10" x14ac:dyDescent="0.25">
      <c r="E7471"/>
      <c r="F7471"/>
      <c r="G7471" s="12"/>
      <c r="H7471" s="12"/>
      <c r="I7471" s="12"/>
      <c r="J7471" s="12"/>
    </row>
    <row r="7472" spans="5:10" x14ac:dyDescent="0.25">
      <c r="E7472"/>
      <c r="F7472"/>
      <c r="G7472" s="12"/>
      <c r="H7472" s="12"/>
      <c r="I7472" s="12"/>
      <c r="J7472" s="12"/>
    </row>
    <row r="7473" spans="5:10" x14ac:dyDescent="0.25">
      <c r="E7473"/>
      <c r="F7473"/>
      <c r="G7473" s="12"/>
      <c r="H7473" s="12"/>
      <c r="I7473" s="12"/>
      <c r="J7473" s="12"/>
    </row>
    <row r="7474" spans="5:10" x14ac:dyDescent="0.25">
      <c r="E7474"/>
      <c r="F7474"/>
      <c r="G7474" s="12"/>
      <c r="H7474" s="12"/>
      <c r="I7474" s="12"/>
      <c r="J7474" s="12"/>
    </row>
    <row r="7475" spans="5:10" x14ac:dyDescent="0.25">
      <c r="E7475"/>
      <c r="F7475"/>
      <c r="G7475" s="12"/>
      <c r="H7475" s="12"/>
      <c r="I7475" s="12"/>
      <c r="J7475" s="12"/>
    </row>
    <row r="7476" spans="5:10" x14ac:dyDescent="0.25">
      <c r="E7476"/>
      <c r="F7476"/>
      <c r="G7476" s="12"/>
      <c r="H7476" s="12"/>
      <c r="I7476" s="12"/>
      <c r="J7476" s="12"/>
    </row>
    <row r="7477" spans="5:10" x14ac:dyDescent="0.25">
      <c r="E7477"/>
      <c r="F7477"/>
      <c r="G7477" s="12"/>
      <c r="H7477" s="12"/>
      <c r="I7477" s="12"/>
      <c r="J7477" s="12"/>
    </row>
    <row r="7478" spans="5:10" x14ac:dyDescent="0.25">
      <c r="E7478"/>
      <c r="F7478"/>
      <c r="G7478" s="12"/>
      <c r="H7478" s="12"/>
      <c r="I7478" s="12"/>
      <c r="J7478" s="12"/>
    </row>
    <row r="7479" spans="5:10" x14ac:dyDescent="0.25">
      <c r="E7479"/>
      <c r="F7479"/>
      <c r="G7479" s="12"/>
      <c r="H7479" s="12"/>
      <c r="I7479" s="12"/>
      <c r="J7479" s="12"/>
    </row>
    <row r="7480" spans="5:10" x14ac:dyDescent="0.25">
      <c r="E7480"/>
      <c r="F7480"/>
      <c r="G7480" s="12"/>
      <c r="H7480" s="12"/>
      <c r="I7480" s="12"/>
      <c r="J7480" s="12"/>
    </row>
    <row r="7481" spans="5:10" x14ac:dyDescent="0.25">
      <c r="E7481"/>
      <c r="F7481"/>
      <c r="G7481" s="12"/>
      <c r="H7481" s="12"/>
      <c r="I7481" s="12"/>
      <c r="J7481" s="12"/>
    </row>
    <row r="7482" spans="5:10" x14ac:dyDescent="0.25">
      <c r="E7482"/>
      <c r="F7482"/>
      <c r="G7482" s="12"/>
      <c r="H7482" s="12"/>
      <c r="I7482" s="12"/>
      <c r="J7482" s="12"/>
    </row>
    <row r="7483" spans="5:10" x14ac:dyDescent="0.25">
      <c r="E7483"/>
      <c r="F7483"/>
      <c r="G7483" s="12"/>
      <c r="H7483" s="12"/>
      <c r="I7483" s="12"/>
      <c r="J7483" s="12"/>
    </row>
    <row r="7484" spans="5:10" x14ac:dyDescent="0.25">
      <c r="E7484"/>
      <c r="F7484"/>
      <c r="G7484" s="12"/>
      <c r="H7484" s="12"/>
      <c r="I7484" s="12"/>
      <c r="J7484" s="12"/>
    </row>
    <row r="7485" spans="5:10" x14ac:dyDescent="0.25">
      <c r="E7485"/>
      <c r="F7485"/>
      <c r="G7485" s="12"/>
      <c r="H7485" s="12"/>
      <c r="I7485" s="12"/>
      <c r="J7485" s="12"/>
    </row>
    <row r="7486" spans="5:10" x14ac:dyDescent="0.25">
      <c r="E7486"/>
      <c r="F7486"/>
      <c r="G7486" s="12"/>
      <c r="H7486" s="12"/>
      <c r="I7486" s="12"/>
      <c r="J7486" s="12"/>
    </row>
    <row r="7487" spans="5:10" x14ac:dyDescent="0.25">
      <c r="E7487"/>
      <c r="F7487"/>
      <c r="G7487" s="12"/>
      <c r="H7487" s="12"/>
      <c r="I7487" s="12"/>
      <c r="J7487" s="12"/>
    </row>
    <row r="7488" spans="5:10" x14ac:dyDescent="0.25">
      <c r="E7488"/>
      <c r="F7488"/>
      <c r="G7488" s="12"/>
      <c r="H7488" s="12"/>
      <c r="I7488" s="12"/>
      <c r="J7488" s="12"/>
    </row>
    <row r="7489" spans="5:10" x14ac:dyDescent="0.25">
      <c r="E7489"/>
      <c r="F7489"/>
      <c r="G7489" s="12"/>
      <c r="H7489" s="12"/>
      <c r="I7489" s="12"/>
      <c r="J7489" s="12"/>
    </row>
    <row r="7490" spans="5:10" x14ac:dyDescent="0.25">
      <c r="E7490"/>
      <c r="F7490"/>
      <c r="G7490" s="12"/>
      <c r="H7490" s="12"/>
      <c r="I7490" s="12"/>
      <c r="J7490" s="12"/>
    </row>
    <row r="7491" spans="5:10" x14ac:dyDescent="0.25">
      <c r="E7491"/>
      <c r="F7491"/>
      <c r="G7491" s="12"/>
      <c r="H7491" s="12"/>
      <c r="I7491" s="12"/>
      <c r="J7491" s="12"/>
    </row>
    <row r="7492" spans="5:10" x14ac:dyDescent="0.25">
      <c r="E7492"/>
      <c r="F7492"/>
      <c r="G7492" s="12"/>
      <c r="H7492" s="12"/>
      <c r="I7492" s="12"/>
      <c r="J7492" s="12"/>
    </row>
    <row r="7493" spans="5:10" x14ac:dyDescent="0.25">
      <c r="E7493"/>
      <c r="F7493"/>
      <c r="G7493" s="12"/>
      <c r="H7493" s="12"/>
      <c r="I7493" s="12"/>
      <c r="J7493" s="12"/>
    </row>
    <row r="7494" spans="5:10" x14ac:dyDescent="0.25">
      <c r="E7494"/>
      <c r="F7494"/>
      <c r="G7494" s="12"/>
      <c r="H7494" s="12"/>
      <c r="I7494" s="12"/>
      <c r="J7494" s="12"/>
    </row>
    <row r="7495" spans="5:10" x14ac:dyDescent="0.25">
      <c r="E7495"/>
      <c r="F7495"/>
      <c r="G7495" s="12"/>
      <c r="H7495" s="12"/>
      <c r="I7495" s="12"/>
      <c r="J7495" s="12"/>
    </row>
    <row r="7496" spans="5:10" x14ac:dyDescent="0.25">
      <c r="E7496"/>
      <c r="F7496"/>
      <c r="G7496" s="12"/>
      <c r="H7496" s="12"/>
      <c r="I7496" s="12"/>
      <c r="J7496" s="12"/>
    </row>
    <row r="7497" spans="5:10" x14ac:dyDescent="0.25">
      <c r="E7497"/>
      <c r="F7497"/>
      <c r="G7497" s="12"/>
      <c r="H7497" s="12"/>
      <c r="I7497" s="12"/>
      <c r="J7497" s="12"/>
    </row>
    <row r="7498" spans="5:10" x14ac:dyDescent="0.25">
      <c r="E7498"/>
      <c r="F7498"/>
      <c r="G7498" s="12"/>
      <c r="H7498" s="12"/>
      <c r="I7498" s="12"/>
      <c r="J7498" s="12"/>
    </row>
    <row r="7499" spans="5:10" x14ac:dyDescent="0.25">
      <c r="E7499"/>
      <c r="F7499"/>
      <c r="G7499" s="12"/>
      <c r="H7499" s="12"/>
      <c r="I7499" s="12"/>
      <c r="J7499" s="12"/>
    </row>
    <row r="7500" spans="5:10" x14ac:dyDescent="0.25">
      <c r="E7500"/>
      <c r="F7500"/>
      <c r="G7500" s="12"/>
      <c r="H7500" s="12"/>
      <c r="I7500" s="12"/>
      <c r="J7500" s="12"/>
    </row>
    <row r="7501" spans="5:10" x14ac:dyDescent="0.25">
      <c r="E7501"/>
      <c r="F7501"/>
      <c r="G7501" s="12"/>
      <c r="H7501" s="12"/>
      <c r="I7501" s="12"/>
      <c r="J7501" s="12"/>
    </row>
    <row r="7502" spans="5:10" x14ac:dyDescent="0.25">
      <c r="E7502"/>
      <c r="F7502"/>
      <c r="G7502" s="12"/>
      <c r="H7502" s="12"/>
      <c r="I7502" s="12"/>
      <c r="J7502" s="12"/>
    </row>
    <row r="7503" spans="5:10" x14ac:dyDescent="0.25">
      <c r="E7503"/>
      <c r="F7503"/>
      <c r="G7503" s="12"/>
      <c r="H7503" s="12"/>
      <c r="I7503" s="12"/>
      <c r="J7503" s="12"/>
    </row>
    <row r="7504" spans="5:10" x14ac:dyDescent="0.25">
      <c r="E7504"/>
      <c r="F7504"/>
      <c r="G7504" s="12"/>
      <c r="H7504" s="12"/>
      <c r="I7504" s="12"/>
      <c r="J7504" s="12"/>
    </row>
    <row r="7505" spans="5:10" x14ac:dyDescent="0.25">
      <c r="E7505"/>
      <c r="F7505"/>
      <c r="G7505" s="12"/>
      <c r="H7505" s="12"/>
      <c r="I7505" s="12"/>
      <c r="J7505" s="12"/>
    </row>
    <row r="7506" spans="5:10" x14ac:dyDescent="0.25">
      <c r="E7506"/>
      <c r="F7506"/>
      <c r="G7506" s="12"/>
      <c r="H7506" s="12"/>
      <c r="I7506" s="12"/>
      <c r="J7506" s="12"/>
    </row>
    <row r="7507" spans="5:10" x14ac:dyDescent="0.25">
      <c r="E7507"/>
      <c r="F7507"/>
      <c r="G7507" s="12"/>
      <c r="H7507" s="12"/>
      <c r="I7507" s="12"/>
      <c r="J7507" s="12"/>
    </row>
    <row r="7508" spans="5:10" x14ac:dyDescent="0.25">
      <c r="E7508"/>
      <c r="F7508"/>
      <c r="G7508" s="12"/>
      <c r="H7508" s="12"/>
      <c r="I7508" s="12"/>
      <c r="J7508" s="12"/>
    </row>
    <row r="7509" spans="5:10" x14ac:dyDescent="0.25">
      <c r="E7509"/>
      <c r="F7509"/>
      <c r="G7509" s="12"/>
      <c r="H7509" s="12"/>
      <c r="I7509" s="12"/>
      <c r="J7509" s="12"/>
    </row>
    <row r="7510" spans="5:10" x14ac:dyDescent="0.25">
      <c r="E7510"/>
      <c r="F7510"/>
      <c r="G7510" s="12"/>
      <c r="H7510" s="12"/>
      <c r="I7510" s="12"/>
      <c r="J7510" s="12"/>
    </row>
    <row r="7511" spans="5:10" x14ac:dyDescent="0.25">
      <c r="E7511"/>
      <c r="F7511"/>
      <c r="G7511" s="12"/>
      <c r="H7511" s="12"/>
      <c r="I7511" s="12"/>
      <c r="J7511" s="12"/>
    </row>
    <row r="7512" spans="5:10" x14ac:dyDescent="0.25">
      <c r="E7512"/>
      <c r="F7512"/>
      <c r="G7512" s="12"/>
      <c r="H7512" s="12"/>
      <c r="I7512" s="12"/>
      <c r="J7512" s="12"/>
    </row>
    <row r="7513" spans="5:10" x14ac:dyDescent="0.25">
      <c r="E7513"/>
      <c r="F7513"/>
      <c r="G7513" s="12"/>
      <c r="H7513" s="12"/>
      <c r="I7513" s="12"/>
      <c r="J7513" s="12"/>
    </row>
    <row r="7514" spans="5:10" x14ac:dyDescent="0.25">
      <c r="E7514"/>
      <c r="F7514"/>
      <c r="G7514" s="12"/>
      <c r="H7514" s="12"/>
      <c r="I7514" s="12"/>
      <c r="J7514" s="12"/>
    </row>
    <row r="7515" spans="5:10" x14ac:dyDescent="0.25">
      <c r="E7515"/>
      <c r="F7515"/>
      <c r="G7515" s="12"/>
      <c r="H7515" s="12"/>
      <c r="I7515" s="12"/>
      <c r="J7515" s="12"/>
    </row>
    <row r="7516" spans="5:10" x14ac:dyDescent="0.25">
      <c r="E7516"/>
      <c r="F7516"/>
      <c r="G7516" s="12"/>
      <c r="H7516" s="12"/>
      <c r="I7516" s="12"/>
      <c r="J7516" s="12"/>
    </row>
    <row r="7517" spans="5:10" x14ac:dyDescent="0.25">
      <c r="E7517"/>
      <c r="F7517"/>
      <c r="G7517" s="12"/>
      <c r="H7517" s="12"/>
      <c r="I7517" s="12"/>
      <c r="J7517" s="12"/>
    </row>
    <row r="7518" spans="5:10" x14ac:dyDescent="0.25">
      <c r="E7518"/>
      <c r="F7518"/>
      <c r="G7518" s="12"/>
      <c r="H7518" s="12"/>
      <c r="I7518" s="12"/>
      <c r="J7518" s="12"/>
    </row>
    <row r="7519" spans="5:10" x14ac:dyDescent="0.25">
      <c r="E7519"/>
      <c r="F7519"/>
      <c r="G7519" s="12"/>
      <c r="H7519" s="12"/>
      <c r="I7519" s="12"/>
      <c r="J7519" s="12"/>
    </row>
    <row r="7520" spans="5:10" x14ac:dyDescent="0.25">
      <c r="E7520"/>
      <c r="F7520"/>
      <c r="G7520" s="12"/>
      <c r="H7520" s="12"/>
      <c r="I7520" s="12"/>
      <c r="J7520" s="12"/>
    </row>
    <row r="7521" spans="5:10" x14ac:dyDescent="0.25">
      <c r="E7521"/>
      <c r="F7521"/>
      <c r="G7521" s="12"/>
      <c r="H7521" s="12"/>
      <c r="I7521" s="12"/>
      <c r="J7521" s="12"/>
    </row>
    <row r="7522" spans="5:10" x14ac:dyDescent="0.25">
      <c r="E7522"/>
      <c r="F7522"/>
      <c r="G7522" s="12"/>
      <c r="H7522" s="12"/>
      <c r="I7522" s="12"/>
      <c r="J7522" s="12"/>
    </row>
    <row r="7523" spans="5:10" x14ac:dyDescent="0.25">
      <c r="E7523"/>
      <c r="F7523"/>
      <c r="G7523" s="12"/>
      <c r="H7523" s="12"/>
      <c r="I7523" s="12"/>
      <c r="J7523" s="12"/>
    </row>
    <row r="7524" spans="5:10" x14ac:dyDescent="0.25">
      <c r="E7524"/>
      <c r="F7524"/>
      <c r="G7524" s="12"/>
      <c r="H7524" s="12"/>
      <c r="I7524" s="12"/>
      <c r="J7524" s="12"/>
    </row>
    <row r="7525" spans="5:10" x14ac:dyDescent="0.25">
      <c r="E7525"/>
      <c r="F7525"/>
      <c r="G7525" s="12"/>
      <c r="H7525" s="12"/>
      <c r="I7525" s="12"/>
      <c r="J7525" s="12"/>
    </row>
    <row r="7526" spans="5:10" x14ac:dyDescent="0.25">
      <c r="E7526"/>
      <c r="F7526"/>
      <c r="G7526" s="12"/>
      <c r="H7526" s="12"/>
      <c r="I7526" s="12"/>
      <c r="J7526" s="12"/>
    </row>
    <row r="7527" spans="5:10" x14ac:dyDescent="0.25">
      <c r="E7527"/>
      <c r="F7527"/>
      <c r="G7527" s="12"/>
      <c r="H7527" s="12"/>
      <c r="I7527" s="12"/>
      <c r="J7527" s="12"/>
    </row>
    <row r="7528" spans="5:10" x14ac:dyDescent="0.25">
      <c r="E7528"/>
      <c r="F7528"/>
      <c r="G7528" s="12"/>
      <c r="H7528" s="12"/>
      <c r="I7528" s="12"/>
      <c r="J7528" s="12"/>
    </row>
    <row r="7529" spans="5:10" x14ac:dyDescent="0.25">
      <c r="E7529"/>
      <c r="F7529"/>
      <c r="G7529" s="12"/>
      <c r="H7529" s="12"/>
      <c r="I7529" s="12"/>
      <c r="J7529" s="12"/>
    </row>
    <row r="7530" spans="5:10" x14ac:dyDescent="0.25">
      <c r="E7530"/>
      <c r="F7530"/>
      <c r="G7530" s="12"/>
      <c r="H7530" s="12"/>
      <c r="I7530" s="12"/>
      <c r="J7530" s="12"/>
    </row>
    <row r="7531" spans="5:10" x14ac:dyDescent="0.25">
      <c r="E7531"/>
      <c r="F7531"/>
      <c r="G7531" s="12"/>
      <c r="H7531" s="12"/>
      <c r="I7531" s="12"/>
      <c r="J7531" s="12"/>
    </row>
    <row r="7532" spans="5:10" x14ac:dyDescent="0.25">
      <c r="E7532"/>
      <c r="F7532"/>
      <c r="G7532" s="12"/>
      <c r="H7532" s="12"/>
      <c r="I7532" s="12"/>
      <c r="J7532" s="12"/>
    </row>
    <row r="7533" spans="5:10" x14ac:dyDescent="0.25">
      <c r="E7533"/>
      <c r="F7533"/>
      <c r="G7533" s="12"/>
      <c r="H7533" s="12"/>
      <c r="I7533" s="12"/>
      <c r="J7533" s="12"/>
    </row>
    <row r="7534" spans="5:10" x14ac:dyDescent="0.25">
      <c r="E7534"/>
      <c r="F7534"/>
      <c r="G7534" s="12"/>
      <c r="H7534" s="12"/>
      <c r="I7534" s="12"/>
      <c r="J7534" s="12"/>
    </row>
    <row r="7535" spans="5:10" x14ac:dyDescent="0.25">
      <c r="E7535"/>
      <c r="F7535"/>
      <c r="G7535" s="12"/>
      <c r="H7535" s="12"/>
      <c r="I7535" s="12"/>
      <c r="J7535" s="12"/>
    </row>
    <row r="7536" spans="5:10" x14ac:dyDescent="0.25">
      <c r="E7536"/>
      <c r="F7536"/>
      <c r="G7536" s="12"/>
      <c r="H7536" s="12"/>
      <c r="I7536" s="12"/>
      <c r="J7536" s="12"/>
    </row>
    <row r="7537" spans="5:10" x14ac:dyDescent="0.25">
      <c r="E7537"/>
      <c r="F7537"/>
      <c r="G7537" s="12"/>
      <c r="H7537" s="12"/>
      <c r="I7537" s="12"/>
      <c r="J7537" s="12"/>
    </row>
    <row r="7538" spans="5:10" x14ac:dyDescent="0.25">
      <c r="E7538"/>
      <c r="F7538"/>
      <c r="G7538" s="12"/>
      <c r="H7538" s="12"/>
      <c r="I7538" s="12"/>
      <c r="J7538" s="12"/>
    </row>
    <row r="7539" spans="5:10" x14ac:dyDescent="0.25">
      <c r="E7539"/>
      <c r="F7539"/>
      <c r="G7539" s="12"/>
      <c r="H7539" s="12"/>
      <c r="I7539" s="12"/>
      <c r="J7539" s="12"/>
    </row>
    <row r="7540" spans="5:10" x14ac:dyDescent="0.25">
      <c r="E7540"/>
      <c r="F7540"/>
      <c r="G7540" s="12"/>
      <c r="H7540" s="12"/>
      <c r="I7540" s="12"/>
      <c r="J7540" s="12"/>
    </row>
    <row r="7541" spans="5:10" x14ac:dyDescent="0.25">
      <c r="E7541"/>
      <c r="F7541"/>
      <c r="G7541" s="12"/>
      <c r="H7541" s="12"/>
      <c r="I7541" s="12"/>
      <c r="J7541" s="12"/>
    </row>
    <row r="7542" spans="5:10" x14ac:dyDescent="0.25">
      <c r="E7542"/>
      <c r="F7542"/>
      <c r="G7542" s="12"/>
      <c r="H7542" s="12"/>
      <c r="I7542" s="12"/>
      <c r="J7542" s="12"/>
    </row>
    <row r="7543" spans="5:10" x14ac:dyDescent="0.25">
      <c r="E7543"/>
      <c r="F7543"/>
      <c r="G7543" s="12"/>
      <c r="H7543" s="12"/>
      <c r="I7543" s="12"/>
      <c r="J7543" s="12"/>
    </row>
    <row r="7544" spans="5:10" x14ac:dyDescent="0.25">
      <c r="E7544"/>
      <c r="F7544"/>
      <c r="G7544" s="12"/>
      <c r="H7544" s="12"/>
      <c r="I7544" s="12"/>
      <c r="J7544" s="12"/>
    </row>
    <row r="7545" spans="5:10" x14ac:dyDescent="0.25">
      <c r="E7545"/>
      <c r="F7545"/>
      <c r="G7545" s="12"/>
      <c r="H7545" s="12"/>
      <c r="I7545" s="12"/>
      <c r="J7545" s="12"/>
    </row>
    <row r="7546" spans="5:10" x14ac:dyDescent="0.25">
      <c r="E7546"/>
      <c r="F7546"/>
      <c r="G7546" s="12"/>
      <c r="H7546" s="12"/>
      <c r="I7546" s="12"/>
      <c r="J7546" s="12"/>
    </row>
    <row r="7547" spans="5:10" x14ac:dyDescent="0.25">
      <c r="E7547"/>
      <c r="F7547"/>
      <c r="G7547" s="12"/>
      <c r="H7547" s="12"/>
      <c r="I7547" s="12"/>
      <c r="J7547" s="12"/>
    </row>
    <row r="7548" spans="5:10" x14ac:dyDescent="0.25">
      <c r="E7548"/>
      <c r="F7548"/>
      <c r="G7548" s="12"/>
      <c r="H7548" s="12"/>
      <c r="I7548" s="12"/>
      <c r="J7548" s="12"/>
    </row>
    <row r="7549" spans="5:10" x14ac:dyDescent="0.25">
      <c r="E7549"/>
      <c r="F7549"/>
      <c r="G7549" s="12"/>
      <c r="H7549" s="12"/>
      <c r="I7549" s="12"/>
      <c r="J7549" s="12"/>
    </row>
    <row r="7550" spans="5:10" x14ac:dyDescent="0.25">
      <c r="E7550"/>
      <c r="F7550"/>
      <c r="G7550" s="12"/>
      <c r="H7550" s="12"/>
      <c r="I7550" s="12"/>
      <c r="J7550" s="12"/>
    </row>
    <row r="7551" spans="5:10" x14ac:dyDescent="0.25">
      <c r="E7551"/>
      <c r="F7551"/>
      <c r="G7551" s="12"/>
      <c r="H7551" s="12"/>
      <c r="I7551" s="12"/>
      <c r="J7551" s="12"/>
    </row>
    <row r="7552" spans="5:10" x14ac:dyDescent="0.25">
      <c r="E7552"/>
      <c r="F7552"/>
      <c r="G7552" s="12"/>
      <c r="H7552" s="12"/>
      <c r="I7552" s="12"/>
      <c r="J7552" s="12"/>
    </row>
    <row r="7553" spans="5:10" x14ac:dyDescent="0.25">
      <c r="E7553"/>
      <c r="F7553"/>
      <c r="G7553" s="12"/>
      <c r="H7553" s="12"/>
      <c r="I7553" s="12"/>
      <c r="J7553" s="12"/>
    </row>
    <row r="7554" spans="5:10" x14ac:dyDescent="0.25">
      <c r="E7554"/>
      <c r="F7554"/>
      <c r="G7554" s="12"/>
      <c r="H7554" s="12"/>
      <c r="I7554" s="12"/>
      <c r="J7554" s="12"/>
    </row>
    <row r="7555" spans="5:10" x14ac:dyDescent="0.25">
      <c r="E7555"/>
      <c r="F7555"/>
      <c r="G7555" s="12"/>
      <c r="H7555" s="12"/>
      <c r="I7555" s="12"/>
      <c r="J7555" s="12"/>
    </row>
    <row r="7556" spans="5:10" x14ac:dyDescent="0.25">
      <c r="E7556"/>
      <c r="F7556"/>
      <c r="G7556" s="12"/>
      <c r="H7556" s="12"/>
      <c r="I7556" s="12"/>
      <c r="J7556" s="12"/>
    </row>
    <row r="7557" spans="5:10" x14ac:dyDescent="0.25">
      <c r="E7557"/>
      <c r="F7557"/>
      <c r="G7557" s="12"/>
      <c r="H7557" s="12"/>
      <c r="I7557" s="12"/>
      <c r="J7557" s="12"/>
    </row>
    <row r="7558" spans="5:10" x14ac:dyDescent="0.25">
      <c r="E7558"/>
      <c r="F7558"/>
      <c r="G7558" s="12"/>
      <c r="H7558" s="12"/>
      <c r="I7558" s="12"/>
      <c r="J7558" s="12"/>
    </row>
    <row r="7559" spans="5:10" x14ac:dyDescent="0.25">
      <c r="E7559"/>
      <c r="F7559"/>
      <c r="G7559" s="12"/>
      <c r="H7559" s="12"/>
      <c r="I7559" s="12"/>
      <c r="J7559" s="12"/>
    </row>
    <row r="7560" spans="5:10" x14ac:dyDescent="0.25">
      <c r="E7560"/>
      <c r="F7560"/>
      <c r="G7560" s="12"/>
      <c r="H7560" s="12"/>
      <c r="I7560" s="12"/>
      <c r="J7560" s="12"/>
    </row>
    <row r="7561" spans="5:10" x14ac:dyDescent="0.25">
      <c r="E7561"/>
      <c r="F7561"/>
      <c r="G7561" s="12"/>
      <c r="H7561" s="12"/>
      <c r="I7561" s="12"/>
      <c r="J7561" s="12"/>
    </row>
    <row r="7562" spans="5:10" x14ac:dyDescent="0.25">
      <c r="E7562"/>
      <c r="F7562"/>
      <c r="G7562" s="12"/>
      <c r="H7562" s="12"/>
      <c r="I7562" s="12"/>
      <c r="J7562" s="12"/>
    </row>
    <row r="7563" spans="5:10" x14ac:dyDescent="0.25">
      <c r="E7563"/>
      <c r="F7563"/>
      <c r="G7563" s="12"/>
      <c r="H7563" s="12"/>
      <c r="I7563" s="12"/>
      <c r="J7563" s="12"/>
    </row>
    <row r="7564" spans="5:10" x14ac:dyDescent="0.25">
      <c r="E7564"/>
      <c r="F7564"/>
      <c r="G7564" s="12"/>
      <c r="H7564" s="12"/>
      <c r="I7564" s="12"/>
      <c r="J7564" s="12"/>
    </row>
    <row r="7565" spans="5:10" x14ac:dyDescent="0.25">
      <c r="E7565"/>
      <c r="F7565"/>
      <c r="G7565" s="12"/>
      <c r="H7565" s="12"/>
      <c r="I7565" s="12"/>
      <c r="J7565" s="12"/>
    </row>
    <row r="7566" spans="5:10" x14ac:dyDescent="0.25">
      <c r="E7566"/>
      <c r="F7566"/>
      <c r="G7566" s="12"/>
      <c r="H7566" s="12"/>
      <c r="I7566" s="12"/>
      <c r="J7566" s="12"/>
    </row>
    <row r="7567" spans="5:10" x14ac:dyDescent="0.25">
      <c r="E7567"/>
      <c r="F7567"/>
      <c r="G7567" s="12"/>
      <c r="H7567" s="12"/>
      <c r="I7567" s="12"/>
      <c r="J7567" s="12"/>
    </row>
    <row r="7568" spans="5:10" x14ac:dyDescent="0.25">
      <c r="E7568"/>
      <c r="F7568"/>
      <c r="G7568" s="12"/>
      <c r="H7568" s="12"/>
      <c r="I7568" s="12"/>
      <c r="J7568" s="12"/>
    </row>
    <row r="7569" spans="5:10" x14ac:dyDescent="0.25">
      <c r="E7569"/>
      <c r="F7569"/>
      <c r="G7569" s="12"/>
      <c r="H7569" s="12"/>
      <c r="I7569" s="12"/>
      <c r="J7569" s="12"/>
    </row>
    <row r="7570" spans="5:10" x14ac:dyDescent="0.25">
      <c r="E7570"/>
      <c r="F7570"/>
      <c r="G7570" s="12"/>
      <c r="H7570" s="12"/>
      <c r="I7570" s="12"/>
      <c r="J7570" s="12"/>
    </row>
    <row r="7571" spans="5:10" x14ac:dyDescent="0.25">
      <c r="E7571"/>
      <c r="F7571"/>
      <c r="G7571" s="12"/>
      <c r="H7571" s="12"/>
      <c r="I7571" s="12"/>
      <c r="J7571" s="12"/>
    </row>
    <row r="7572" spans="5:10" x14ac:dyDescent="0.25">
      <c r="E7572"/>
      <c r="F7572"/>
      <c r="G7572" s="12"/>
      <c r="H7572" s="12"/>
      <c r="I7572" s="12"/>
      <c r="J7572" s="12"/>
    </row>
    <row r="7573" spans="5:10" x14ac:dyDescent="0.25">
      <c r="E7573"/>
      <c r="F7573"/>
      <c r="G7573" s="12"/>
      <c r="H7573" s="12"/>
      <c r="I7573" s="12"/>
      <c r="J7573" s="12"/>
    </row>
    <row r="7574" spans="5:10" x14ac:dyDescent="0.25">
      <c r="E7574"/>
      <c r="F7574"/>
      <c r="G7574" s="12"/>
      <c r="H7574" s="12"/>
      <c r="I7574" s="12"/>
      <c r="J7574" s="12"/>
    </row>
    <row r="7575" spans="5:10" x14ac:dyDescent="0.25">
      <c r="E7575"/>
      <c r="F7575"/>
      <c r="G7575" s="12"/>
      <c r="H7575" s="12"/>
      <c r="I7575" s="12"/>
      <c r="J7575" s="12"/>
    </row>
    <row r="7576" spans="5:10" x14ac:dyDescent="0.25">
      <c r="E7576"/>
      <c r="F7576"/>
      <c r="G7576" s="12"/>
      <c r="H7576" s="12"/>
      <c r="I7576" s="12"/>
      <c r="J7576" s="12"/>
    </row>
    <row r="7577" spans="5:10" x14ac:dyDescent="0.25">
      <c r="E7577"/>
      <c r="F7577"/>
      <c r="G7577" s="12"/>
      <c r="H7577" s="12"/>
      <c r="I7577" s="12"/>
      <c r="J7577" s="12"/>
    </row>
    <row r="7578" spans="5:10" x14ac:dyDescent="0.25">
      <c r="E7578"/>
      <c r="F7578"/>
      <c r="G7578" s="12"/>
      <c r="H7578" s="12"/>
      <c r="I7578" s="12"/>
      <c r="J7578" s="12"/>
    </row>
    <row r="7579" spans="5:10" x14ac:dyDescent="0.25">
      <c r="E7579"/>
      <c r="F7579"/>
      <c r="G7579" s="12"/>
      <c r="H7579" s="12"/>
      <c r="I7579" s="12"/>
      <c r="J7579" s="12"/>
    </row>
    <row r="7580" spans="5:10" x14ac:dyDescent="0.25">
      <c r="E7580"/>
      <c r="F7580"/>
      <c r="G7580" s="12"/>
      <c r="H7580" s="12"/>
      <c r="I7580" s="12"/>
      <c r="J7580" s="12"/>
    </row>
    <row r="7581" spans="5:10" x14ac:dyDescent="0.25">
      <c r="E7581"/>
      <c r="F7581"/>
      <c r="G7581" s="12"/>
      <c r="H7581" s="12"/>
      <c r="I7581" s="12"/>
      <c r="J7581" s="12"/>
    </row>
    <row r="7582" spans="5:10" x14ac:dyDescent="0.25">
      <c r="E7582"/>
      <c r="F7582"/>
      <c r="G7582" s="12"/>
      <c r="H7582" s="12"/>
      <c r="I7582" s="12"/>
      <c r="J7582" s="12"/>
    </row>
    <row r="7583" spans="5:10" x14ac:dyDescent="0.25">
      <c r="E7583"/>
      <c r="F7583"/>
      <c r="G7583" s="12"/>
      <c r="H7583" s="12"/>
      <c r="I7583" s="12"/>
      <c r="J7583" s="12"/>
    </row>
    <row r="7584" spans="5:10" x14ac:dyDescent="0.25">
      <c r="E7584"/>
      <c r="F7584"/>
      <c r="G7584" s="12"/>
      <c r="H7584" s="12"/>
      <c r="I7584" s="12"/>
      <c r="J7584" s="12"/>
    </row>
    <row r="7585" spans="5:10" x14ac:dyDescent="0.25">
      <c r="E7585"/>
      <c r="F7585"/>
      <c r="G7585" s="12"/>
      <c r="H7585" s="12"/>
      <c r="I7585" s="12"/>
      <c r="J7585" s="12"/>
    </row>
    <row r="7586" spans="5:10" x14ac:dyDescent="0.25">
      <c r="E7586"/>
      <c r="F7586"/>
      <c r="G7586" s="12"/>
      <c r="H7586" s="12"/>
      <c r="I7586" s="12"/>
      <c r="J7586" s="12"/>
    </row>
    <row r="7587" spans="5:10" x14ac:dyDescent="0.25">
      <c r="E7587"/>
      <c r="F7587"/>
      <c r="G7587" s="12"/>
      <c r="H7587" s="12"/>
      <c r="I7587" s="12"/>
      <c r="J7587" s="12"/>
    </row>
    <row r="7588" spans="5:10" x14ac:dyDescent="0.25">
      <c r="E7588"/>
      <c r="F7588"/>
      <c r="G7588" s="12"/>
      <c r="H7588" s="12"/>
      <c r="I7588" s="12"/>
      <c r="J7588" s="12"/>
    </row>
    <row r="7589" spans="5:10" x14ac:dyDescent="0.25">
      <c r="E7589"/>
      <c r="F7589"/>
      <c r="G7589" s="12"/>
      <c r="H7589" s="12"/>
      <c r="I7589" s="12"/>
      <c r="J7589" s="12"/>
    </row>
    <row r="7590" spans="5:10" x14ac:dyDescent="0.25">
      <c r="E7590"/>
      <c r="F7590"/>
      <c r="G7590" s="12"/>
      <c r="H7590" s="12"/>
      <c r="I7590" s="12"/>
      <c r="J7590" s="12"/>
    </row>
    <row r="7591" spans="5:10" x14ac:dyDescent="0.25">
      <c r="E7591"/>
      <c r="F7591"/>
      <c r="G7591" s="12"/>
      <c r="H7591" s="12"/>
      <c r="I7591" s="12"/>
      <c r="J7591" s="12"/>
    </row>
    <row r="7592" spans="5:10" x14ac:dyDescent="0.25">
      <c r="E7592"/>
      <c r="F7592"/>
      <c r="G7592" s="12"/>
      <c r="H7592" s="12"/>
      <c r="I7592" s="12"/>
      <c r="J7592" s="12"/>
    </row>
    <row r="7593" spans="5:10" x14ac:dyDescent="0.25">
      <c r="E7593"/>
      <c r="F7593"/>
      <c r="G7593" s="12"/>
      <c r="H7593" s="12"/>
      <c r="I7593" s="12"/>
      <c r="J7593" s="12"/>
    </row>
    <row r="7594" spans="5:10" x14ac:dyDescent="0.25">
      <c r="E7594"/>
      <c r="F7594"/>
      <c r="G7594" s="12"/>
      <c r="H7594" s="12"/>
      <c r="I7594" s="12"/>
      <c r="J7594" s="12"/>
    </row>
    <row r="7595" spans="5:10" x14ac:dyDescent="0.25">
      <c r="E7595"/>
      <c r="F7595"/>
      <c r="G7595" s="12"/>
      <c r="H7595" s="12"/>
      <c r="I7595" s="12"/>
      <c r="J7595" s="12"/>
    </row>
    <row r="7596" spans="5:10" x14ac:dyDescent="0.25">
      <c r="E7596"/>
      <c r="F7596"/>
      <c r="G7596" s="12"/>
      <c r="H7596" s="12"/>
      <c r="I7596" s="12"/>
      <c r="J7596" s="12"/>
    </row>
    <row r="7597" spans="5:10" x14ac:dyDescent="0.25">
      <c r="E7597"/>
      <c r="F7597"/>
      <c r="G7597" s="12"/>
      <c r="H7597" s="12"/>
      <c r="I7597" s="12"/>
      <c r="J7597" s="12"/>
    </row>
    <row r="7598" spans="5:10" x14ac:dyDescent="0.25">
      <c r="E7598"/>
      <c r="F7598"/>
      <c r="G7598" s="12"/>
      <c r="H7598" s="12"/>
      <c r="I7598" s="12"/>
      <c r="J7598" s="12"/>
    </row>
    <row r="7599" spans="5:10" x14ac:dyDescent="0.25">
      <c r="E7599"/>
      <c r="F7599"/>
      <c r="G7599" s="12"/>
      <c r="H7599" s="12"/>
      <c r="I7599" s="12"/>
      <c r="J7599" s="12"/>
    </row>
    <row r="7600" spans="5:10" x14ac:dyDescent="0.25">
      <c r="E7600"/>
      <c r="F7600"/>
      <c r="G7600" s="12"/>
      <c r="H7600" s="12"/>
      <c r="I7600" s="12"/>
      <c r="J7600" s="12"/>
    </row>
    <row r="7601" spans="5:10" x14ac:dyDescent="0.25">
      <c r="E7601"/>
      <c r="F7601"/>
      <c r="G7601" s="12"/>
      <c r="H7601" s="12"/>
      <c r="I7601" s="12"/>
      <c r="J7601" s="12"/>
    </row>
    <row r="7602" spans="5:10" x14ac:dyDescent="0.25">
      <c r="E7602"/>
      <c r="F7602"/>
      <c r="G7602" s="12"/>
      <c r="H7602" s="12"/>
      <c r="I7602" s="12"/>
      <c r="J7602" s="12"/>
    </row>
    <row r="7603" spans="5:10" x14ac:dyDescent="0.25">
      <c r="E7603"/>
      <c r="F7603"/>
      <c r="G7603" s="12"/>
      <c r="H7603" s="12"/>
      <c r="I7603" s="12"/>
      <c r="J7603" s="12"/>
    </row>
    <row r="7604" spans="5:10" x14ac:dyDescent="0.25">
      <c r="E7604"/>
      <c r="F7604"/>
      <c r="G7604" s="12"/>
      <c r="H7604" s="12"/>
      <c r="I7604" s="12"/>
      <c r="J7604" s="12"/>
    </row>
    <row r="7605" spans="5:10" x14ac:dyDescent="0.25">
      <c r="E7605"/>
      <c r="F7605"/>
      <c r="G7605" s="12"/>
      <c r="H7605" s="12"/>
      <c r="I7605" s="12"/>
      <c r="J7605" s="12"/>
    </row>
    <row r="7606" spans="5:10" x14ac:dyDescent="0.25">
      <c r="E7606"/>
      <c r="F7606"/>
      <c r="G7606" s="12"/>
      <c r="H7606" s="12"/>
      <c r="I7606" s="12"/>
      <c r="J7606" s="12"/>
    </row>
    <row r="7607" spans="5:10" x14ac:dyDescent="0.25">
      <c r="E7607"/>
      <c r="F7607"/>
      <c r="G7607" s="12"/>
      <c r="H7607" s="12"/>
      <c r="I7607" s="12"/>
      <c r="J7607" s="12"/>
    </row>
    <row r="7608" spans="5:10" x14ac:dyDescent="0.25">
      <c r="E7608"/>
      <c r="F7608"/>
      <c r="G7608" s="12"/>
      <c r="H7608" s="12"/>
      <c r="I7608" s="12"/>
      <c r="J7608" s="12"/>
    </row>
    <row r="7609" spans="5:10" x14ac:dyDescent="0.25">
      <c r="E7609"/>
      <c r="F7609"/>
      <c r="G7609" s="12"/>
      <c r="H7609" s="12"/>
      <c r="I7609" s="12"/>
      <c r="J7609" s="12"/>
    </row>
    <row r="7610" spans="5:10" x14ac:dyDescent="0.25">
      <c r="E7610"/>
      <c r="F7610"/>
      <c r="G7610" s="12"/>
      <c r="H7610" s="12"/>
      <c r="I7610" s="12"/>
      <c r="J7610" s="12"/>
    </row>
    <row r="7611" spans="5:10" x14ac:dyDescent="0.25">
      <c r="E7611"/>
      <c r="F7611"/>
      <c r="G7611" s="12"/>
      <c r="H7611" s="12"/>
      <c r="I7611" s="12"/>
      <c r="J7611" s="12"/>
    </row>
    <row r="7612" spans="5:10" x14ac:dyDescent="0.25">
      <c r="E7612"/>
      <c r="F7612"/>
      <c r="G7612" s="12"/>
      <c r="H7612" s="12"/>
      <c r="I7612" s="12"/>
      <c r="J7612" s="12"/>
    </row>
    <row r="7613" spans="5:10" x14ac:dyDescent="0.25">
      <c r="E7613"/>
      <c r="F7613"/>
      <c r="G7613" s="12"/>
      <c r="H7613" s="12"/>
      <c r="I7613" s="12"/>
      <c r="J7613" s="12"/>
    </row>
    <row r="7614" spans="5:10" x14ac:dyDescent="0.25">
      <c r="E7614"/>
      <c r="F7614"/>
      <c r="G7614" s="12"/>
      <c r="H7614" s="12"/>
      <c r="I7614" s="12"/>
      <c r="J7614" s="12"/>
    </row>
    <row r="7615" spans="5:10" x14ac:dyDescent="0.25">
      <c r="E7615"/>
      <c r="F7615"/>
      <c r="G7615" s="12"/>
      <c r="H7615" s="12"/>
      <c r="I7615" s="12"/>
      <c r="J7615" s="12"/>
    </row>
    <row r="7616" spans="5:10" x14ac:dyDescent="0.25">
      <c r="E7616"/>
      <c r="F7616"/>
      <c r="G7616" s="12"/>
      <c r="H7616" s="12"/>
      <c r="I7616" s="12"/>
      <c r="J7616" s="12"/>
    </row>
    <row r="7617" spans="5:10" x14ac:dyDescent="0.25">
      <c r="E7617"/>
      <c r="F7617"/>
      <c r="G7617" s="12"/>
      <c r="H7617" s="12"/>
      <c r="I7617" s="12"/>
      <c r="J7617" s="12"/>
    </row>
    <row r="7618" spans="5:10" x14ac:dyDescent="0.25">
      <c r="E7618"/>
      <c r="F7618"/>
      <c r="G7618" s="12"/>
      <c r="H7618" s="12"/>
      <c r="I7618" s="12"/>
      <c r="J7618" s="12"/>
    </row>
    <row r="7619" spans="5:10" x14ac:dyDescent="0.25">
      <c r="E7619"/>
      <c r="F7619"/>
      <c r="G7619" s="12"/>
      <c r="H7619" s="12"/>
      <c r="I7619" s="12"/>
      <c r="J7619" s="12"/>
    </row>
    <row r="7620" spans="5:10" x14ac:dyDescent="0.25">
      <c r="E7620"/>
      <c r="F7620"/>
      <c r="G7620" s="12"/>
      <c r="H7620" s="12"/>
      <c r="I7620" s="12"/>
      <c r="J7620" s="12"/>
    </row>
    <row r="7621" spans="5:10" x14ac:dyDescent="0.25">
      <c r="E7621"/>
      <c r="F7621"/>
      <c r="G7621" s="12"/>
      <c r="H7621" s="12"/>
      <c r="I7621" s="12"/>
      <c r="J7621" s="12"/>
    </row>
    <row r="7622" spans="5:10" x14ac:dyDescent="0.25">
      <c r="E7622"/>
      <c r="F7622"/>
      <c r="G7622" s="12"/>
      <c r="H7622" s="12"/>
      <c r="I7622" s="12"/>
      <c r="J7622" s="12"/>
    </row>
    <row r="7623" spans="5:10" x14ac:dyDescent="0.25">
      <c r="E7623"/>
      <c r="F7623"/>
      <c r="G7623" s="12"/>
      <c r="H7623" s="12"/>
      <c r="I7623" s="12"/>
      <c r="J7623" s="12"/>
    </row>
    <row r="7624" spans="5:10" x14ac:dyDescent="0.25">
      <c r="E7624"/>
      <c r="F7624"/>
      <c r="G7624" s="12"/>
      <c r="H7624" s="12"/>
      <c r="I7624" s="12"/>
      <c r="J7624" s="12"/>
    </row>
    <row r="7625" spans="5:10" x14ac:dyDescent="0.25">
      <c r="E7625"/>
      <c r="F7625"/>
      <c r="G7625" s="12"/>
      <c r="H7625" s="12"/>
      <c r="I7625" s="12"/>
      <c r="J7625" s="12"/>
    </row>
    <row r="7626" spans="5:10" x14ac:dyDescent="0.25">
      <c r="E7626"/>
      <c r="F7626"/>
      <c r="G7626" s="12"/>
      <c r="H7626" s="12"/>
      <c r="I7626" s="12"/>
      <c r="J7626" s="12"/>
    </row>
    <row r="7627" spans="5:10" x14ac:dyDescent="0.25">
      <c r="E7627"/>
      <c r="F7627"/>
      <c r="G7627" s="12"/>
      <c r="H7627" s="12"/>
      <c r="I7627" s="12"/>
      <c r="J7627" s="12"/>
    </row>
    <row r="7628" spans="5:10" x14ac:dyDescent="0.25">
      <c r="E7628"/>
      <c r="F7628"/>
      <c r="G7628" s="12"/>
      <c r="H7628" s="12"/>
      <c r="I7628" s="12"/>
      <c r="J7628" s="12"/>
    </row>
    <row r="7629" spans="5:10" x14ac:dyDescent="0.25">
      <c r="E7629"/>
      <c r="F7629"/>
      <c r="G7629" s="12"/>
      <c r="H7629" s="12"/>
      <c r="I7629" s="12"/>
      <c r="J7629" s="12"/>
    </row>
    <row r="7630" spans="5:10" x14ac:dyDescent="0.25">
      <c r="E7630"/>
      <c r="F7630"/>
      <c r="G7630" s="12"/>
      <c r="H7630" s="12"/>
      <c r="I7630" s="12"/>
      <c r="J7630" s="12"/>
    </row>
    <row r="7631" spans="5:10" x14ac:dyDescent="0.25">
      <c r="E7631"/>
      <c r="F7631"/>
      <c r="G7631" s="12"/>
      <c r="H7631" s="12"/>
      <c r="I7631" s="12"/>
      <c r="J7631" s="12"/>
    </row>
    <row r="7632" spans="5:10" x14ac:dyDescent="0.25">
      <c r="E7632"/>
      <c r="F7632"/>
      <c r="G7632" s="12"/>
      <c r="H7632" s="12"/>
      <c r="I7632" s="12"/>
      <c r="J7632" s="12"/>
    </row>
    <row r="7633" spans="5:10" x14ac:dyDescent="0.25">
      <c r="E7633"/>
      <c r="F7633"/>
      <c r="G7633" s="12"/>
      <c r="H7633" s="12"/>
      <c r="I7633" s="12"/>
      <c r="J7633" s="12"/>
    </row>
    <row r="7634" spans="5:10" x14ac:dyDescent="0.25">
      <c r="E7634"/>
      <c r="F7634"/>
      <c r="G7634" s="12"/>
      <c r="H7634" s="12"/>
      <c r="I7634" s="12"/>
      <c r="J7634" s="12"/>
    </row>
    <row r="7635" spans="5:10" x14ac:dyDescent="0.25">
      <c r="E7635"/>
      <c r="F7635"/>
      <c r="G7635" s="12"/>
      <c r="H7635" s="12"/>
      <c r="I7635" s="12"/>
      <c r="J7635" s="12"/>
    </row>
    <row r="7636" spans="5:10" x14ac:dyDescent="0.25">
      <c r="E7636"/>
      <c r="F7636"/>
      <c r="G7636" s="12"/>
      <c r="H7636" s="12"/>
      <c r="I7636" s="12"/>
      <c r="J7636" s="12"/>
    </row>
    <row r="7637" spans="5:10" x14ac:dyDescent="0.25">
      <c r="E7637"/>
      <c r="F7637"/>
      <c r="G7637" s="12"/>
      <c r="H7637" s="12"/>
      <c r="I7637" s="12"/>
      <c r="J7637" s="12"/>
    </row>
    <row r="7638" spans="5:10" x14ac:dyDescent="0.25">
      <c r="E7638"/>
      <c r="F7638"/>
      <c r="G7638" s="12"/>
      <c r="H7638" s="12"/>
      <c r="I7638" s="12"/>
      <c r="J7638" s="12"/>
    </row>
    <row r="7639" spans="5:10" x14ac:dyDescent="0.25">
      <c r="E7639"/>
      <c r="F7639"/>
      <c r="G7639" s="12"/>
      <c r="H7639" s="12"/>
      <c r="I7639" s="12"/>
      <c r="J7639" s="12"/>
    </row>
    <row r="7640" spans="5:10" x14ac:dyDescent="0.25">
      <c r="E7640"/>
      <c r="F7640"/>
      <c r="G7640" s="12"/>
      <c r="H7640" s="12"/>
      <c r="I7640" s="12"/>
      <c r="J7640" s="12"/>
    </row>
    <row r="7641" spans="5:10" x14ac:dyDescent="0.25">
      <c r="E7641"/>
      <c r="F7641"/>
      <c r="G7641" s="12"/>
      <c r="H7641" s="12"/>
      <c r="I7641" s="12"/>
      <c r="J7641" s="12"/>
    </row>
    <row r="7642" spans="5:10" x14ac:dyDescent="0.25">
      <c r="E7642"/>
      <c r="F7642"/>
      <c r="G7642" s="12"/>
      <c r="H7642" s="12"/>
      <c r="I7642" s="12"/>
      <c r="J7642" s="12"/>
    </row>
    <row r="7643" spans="5:10" x14ac:dyDescent="0.25">
      <c r="E7643"/>
      <c r="F7643"/>
      <c r="G7643" s="12"/>
      <c r="H7643" s="12"/>
      <c r="I7643" s="12"/>
      <c r="J7643" s="12"/>
    </row>
    <row r="7644" spans="5:10" x14ac:dyDescent="0.25">
      <c r="E7644"/>
      <c r="F7644"/>
      <c r="G7644" s="12"/>
      <c r="H7644" s="12"/>
      <c r="I7644" s="12"/>
      <c r="J7644" s="12"/>
    </row>
    <row r="7645" spans="5:10" x14ac:dyDescent="0.25">
      <c r="E7645"/>
      <c r="F7645"/>
      <c r="G7645" s="12"/>
      <c r="H7645" s="12"/>
      <c r="I7645" s="12"/>
      <c r="J7645" s="12"/>
    </row>
    <row r="7646" spans="5:10" x14ac:dyDescent="0.25">
      <c r="E7646"/>
      <c r="F7646"/>
      <c r="G7646" s="12"/>
      <c r="H7646" s="12"/>
      <c r="I7646" s="12"/>
      <c r="J7646" s="12"/>
    </row>
    <row r="7647" spans="5:10" x14ac:dyDescent="0.25">
      <c r="E7647"/>
      <c r="F7647"/>
      <c r="G7647" s="12"/>
      <c r="H7647" s="12"/>
      <c r="I7647" s="12"/>
      <c r="J7647" s="12"/>
    </row>
    <row r="7648" spans="5:10" x14ac:dyDescent="0.25">
      <c r="E7648"/>
      <c r="F7648"/>
      <c r="G7648" s="12"/>
      <c r="H7648" s="12"/>
      <c r="I7648" s="12"/>
      <c r="J7648" s="12"/>
    </row>
    <row r="7649" spans="5:10" x14ac:dyDescent="0.25">
      <c r="E7649"/>
      <c r="F7649"/>
      <c r="G7649" s="12"/>
      <c r="H7649" s="12"/>
      <c r="I7649" s="12"/>
      <c r="J7649" s="12"/>
    </row>
    <row r="7650" spans="5:10" x14ac:dyDescent="0.25">
      <c r="E7650"/>
      <c r="F7650"/>
      <c r="G7650" s="12"/>
      <c r="H7650" s="12"/>
      <c r="I7650" s="12"/>
      <c r="J7650" s="12"/>
    </row>
    <row r="7651" spans="5:10" x14ac:dyDescent="0.25">
      <c r="E7651"/>
      <c r="F7651"/>
      <c r="G7651" s="12"/>
      <c r="H7651" s="12"/>
      <c r="I7651" s="12"/>
      <c r="J7651" s="12"/>
    </row>
    <row r="7652" spans="5:10" x14ac:dyDescent="0.25">
      <c r="E7652"/>
      <c r="F7652"/>
      <c r="G7652" s="12"/>
      <c r="H7652" s="12"/>
      <c r="I7652" s="12"/>
      <c r="J7652" s="12"/>
    </row>
    <row r="7653" spans="5:10" x14ac:dyDescent="0.25">
      <c r="E7653"/>
      <c r="F7653"/>
      <c r="G7653" s="12"/>
      <c r="H7653" s="12"/>
      <c r="I7653" s="12"/>
      <c r="J7653" s="12"/>
    </row>
    <row r="7654" spans="5:10" x14ac:dyDescent="0.25">
      <c r="E7654"/>
      <c r="F7654"/>
      <c r="G7654" s="12"/>
      <c r="H7654" s="12"/>
      <c r="I7654" s="12"/>
      <c r="J7654" s="12"/>
    </row>
    <row r="7655" spans="5:10" x14ac:dyDescent="0.25">
      <c r="E7655"/>
      <c r="F7655"/>
      <c r="G7655" s="12"/>
      <c r="H7655" s="12"/>
      <c r="I7655" s="12"/>
      <c r="J7655" s="12"/>
    </row>
    <row r="7656" spans="5:10" x14ac:dyDescent="0.25">
      <c r="E7656"/>
      <c r="F7656"/>
      <c r="G7656" s="12"/>
      <c r="H7656" s="12"/>
      <c r="I7656" s="12"/>
      <c r="J7656" s="12"/>
    </row>
    <row r="7657" spans="5:10" x14ac:dyDescent="0.25">
      <c r="E7657"/>
      <c r="F7657"/>
      <c r="G7657" s="12"/>
      <c r="H7657" s="12"/>
      <c r="I7657" s="12"/>
      <c r="J7657" s="12"/>
    </row>
    <row r="7658" spans="5:10" x14ac:dyDescent="0.25">
      <c r="E7658"/>
      <c r="F7658"/>
      <c r="G7658" s="12"/>
      <c r="H7658" s="12"/>
      <c r="I7658" s="12"/>
      <c r="J7658" s="12"/>
    </row>
    <row r="7659" spans="5:10" x14ac:dyDescent="0.25">
      <c r="E7659"/>
      <c r="F7659"/>
      <c r="G7659" s="12"/>
      <c r="H7659" s="12"/>
      <c r="I7659" s="12"/>
      <c r="J7659" s="12"/>
    </row>
    <row r="7660" spans="5:10" x14ac:dyDescent="0.25">
      <c r="E7660"/>
      <c r="F7660"/>
      <c r="G7660" s="12"/>
      <c r="H7660" s="12"/>
      <c r="I7660" s="12"/>
      <c r="J7660" s="12"/>
    </row>
    <row r="7661" spans="5:10" x14ac:dyDescent="0.25">
      <c r="E7661"/>
      <c r="F7661"/>
      <c r="G7661" s="12"/>
      <c r="H7661" s="12"/>
      <c r="I7661" s="12"/>
      <c r="J7661" s="12"/>
    </row>
    <row r="7662" spans="5:10" x14ac:dyDescent="0.25">
      <c r="E7662"/>
      <c r="F7662"/>
      <c r="G7662" s="12"/>
      <c r="H7662" s="12"/>
      <c r="I7662" s="12"/>
      <c r="J7662" s="12"/>
    </row>
    <row r="7663" spans="5:10" x14ac:dyDescent="0.25">
      <c r="E7663"/>
      <c r="F7663"/>
      <c r="G7663" s="12"/>
      <c r="H7663" s="12"/>
      <c r="I7663" s="12"/>
      <c r="J7663" s="12"/>
    </row>
    <row r="7664" spans="5:10" x14ac:dyDescent="0.25">
      <c r="E7664"/>
      <c r="F7664"/>
      <c r="G7664" s="12"/>
      <c r="H7664" s="12"/>
      <c r="I7664" s="12"/>
      <c r="J7664" s="12"/>
    </row>
    <row r="7665" spans="5:10" x14ac:dyDescent="0.25">
      <c r="E7665"/>
      <c r="F7665"/>
      <c r="G7665" s="12"/>
      <c r="H7665" s="12"/>
      <c r="I7665" s="12"/>
      <c r="J7665" s="12"/>
    </row>
    <row r="7666" spans="5:10" x14ac:dyDescent="0.25">
      <c r="E7666"/>
      <c r="F7666"/>
      <c r="G7666" s="12"/>
      <c r="H7666" s="12"/>
      <c r="I7666" s="12"/>
      <c r="J7666" s="12"/>
    </row>
    <row r="7667" spans="5:10" x14ac:dyDescent="0.25">
      <c r="E7667"/>
      <c r="F7667"/>
      <c r="G7667" s="12"/>
      <c r="H7667" s="12"/>
      <c r="I7667" s="12"/>
      <c r="J7667" s="12"/>
    </row>
    <row r="7668" spans="5:10" x14ac:dyDescent="0.25">
      <c r="E7668"/>
      <c r="F7668"/>
      <c r="G7668" s="12"/>
      <c r="H7668" s="12"/>
      <c r="I7668" s="12"/>
      <c r="J7668" s="12"/>
    </row>
    <row r="7669" spans="5:10" x14ac:dyDescent="0.25">
      <c r="E7669"/>
      <c r="F7669"/>
      <c r="G7669" s="12"/>
      <c r="H7669" s="12"/>
      <c r="I7669" s="12"/>
      <c r="J7669" s="12"/>
    </row>
    <row r="7670" spans="5:10" x14ac:dyDescent="0.25">
      <c r="E7670"/>
      <c r="F7670"/>
      <c r="G7670" s="12"/>
      <c r="H7670" s="12"/>
      <c r="I7670" s="12"/>
      <c r="J7670" s="12"/>
    </row>
    <row r="7671" spans="5:10" x14ac:dyDescent="0.25">
      <c r="E7671"/>
      <c r="F7671"/>
      <c r="G7671" s="12"/>
      <c r="H7671" s="12"/>
      <c r="I7671" s="12"/>
      <c r="J7671" s="12"/>
    </row>
    <row r="7672" spans="5:10" x14ac:dyDescent="0.25">
      <c r="E7672"/>
      <c r="F7672"/>
      <c r="G7672" s="12"/>
      <c r="H7672" s="12"/>
      <c r="I7672" s="12"/>
      <c r="J7672" s="12"/>
    </row>
    <row r="7673" spans="5:10" x14ac:dyDescent="0.25">
      <c r="E7673"/>
      <c r="F7673"/>
      <c r="G7673" s="12"/>
      <c r="H7673" s="12"/>
      <c r="I7673" s="12"/>
      <c r="J7673" s="12"/>
    </row>
    <row r="7674" spans="5:10" x14ac:dyDescent="0.25">
      <c r="E7674"/>
      <c r="F7674"/>
      <c r="G7674" s="12"/>
      <c r="H7674" s="12"/>
      <c r="I7674" s="12"/>
      <c r="J7674" s="12"/>
    </row>
    <row r="7675" spans="5:10" x14ac:dyDescent="0.25">
      <c r="E7675"/>
      <c r="F7675"/>
      <c r="G7675" s="12"/>
      <c r="H7675" s="12"/>
      <c r="I7675" s="12"/>
      <c r="J7675" s="12"/>
    </row>
    <row r="7676" spans="5:10" x14ac:dyDescent="0.25">
      <c r="E7676"/>
      <c r="F7676"/>
      <c r="G7676" s="12"/>
      <c r="H7676" s="12"/>
      <c r="I7676" s="12"/>
      <c r="J7676" s="12"/>
    </row>
    <row r="7677" spans="5:10" x14ac:dyDescent="0.25">
      <c r="E7677"/>
      <c r="F7677"/>
      <c r="G7677" s="12"/>
      <c r="H7677" s="12"/>
      <c r="I7677" s="12"/>
      <c r="J7677" s="12"/>
    </row>
    <row r="7678" spans="5:10" x14ac:dyDescent="0.25">
      <c r="E7678"/>
      <c r="F7678"/>
      <c r="G7678" s="12"/>
      <c r="H7678" s="12"/>
      <c r="I7678" s="12"/>
      <c r="J7678" s="12"/>
    </row>
    <row r="7679" spans="5:10" x14ac:dyDescent="0.25">
      <c r="E7679"/>
      <c r="F7679"/>
      <c r="G7679" s="12"/>
      <c r="H7679" s="12"/>
      <c r="I7679" s="12"/>
      <c r="J7679" s="12"/>
    </row>
    <row r="7680" spans="5:10" x14ac:dyDescent="0.25">
      <c r="E7680"/>
      <c r="F7680"/>
      <c r="G7680" s="12"/>
      <c r="H7680" s="12"/>
      <c r="I7680" s="12"/>
      <c r="J7680" s="12"/>
    </row>
    <row r="7681" spans="5:10" x14ac:dyDescent="0.25">
      <c r="E7681"/>
      <c r="F7681"/>
      <c r="G7681" s="12"/>
      <c r="H7681" s="12"/>
      <c r="I7681" s="12"/>
      <c r="J7681" s="12"/>
    </row>
    <row r="7682" spans="5:10" x14ac:dyDescent="0.25">
      <c r="E7682"/>
      <c r="F7682"/>
      <c r="G7682" s="12"/>
      <c r="H7682" s="12"/>
      <c r="I7682" s="12"/>
      <c r="J7682" s="12"/>
    </row>
    <row r="7683" spans="5:10" x14ac:dyDescent="0.25">
      <c r="E7683"/>
      <c r="F7683"/>
      <c r="G7683" s="12"/>
      <c r="H7683" s="12"/>
      <c r="I7683" s="12"/>
      <c r="J7683" s="12"/>
    </row>
    <row r="7684" spans="5:10" x14ac:dyDescent="0.25">
      <c r="E7684"/>
      <c r="F7684"/>
      <c r="G7684" s="12"/>
      <c r="H7684" s="12"/>
      <c r="I7684" s="12"/>
      <c r="J7684" s="12"/>
    </row>
    <row r="7685" spans="5:10" x14ac:dyDescent="0.25">
      <c r="E7685"/>
      <c r="F7685"/>
      <c r="G7685" s="12"/>
      <c r="H7685" s="12"/>
      <c r="I7685" s="12"/>
      <c r="J7685" s="12"/>
    </row>
    <row r="7686" spans="5:10" x14ac:dyDescent="0.25">
      <c r="E7686"/>
      <c r="F7686"/>
      <c r="G7686" s="12"/>
      <c r="H7686" s="12"/>
      <c r="I7686" s="12"/>
      <c r="J7686" s="12"/>
    </row>
    <row r="7687" spans="5:10" x14ac:dyDescent="0.25">
      <c r="E7687"/>
      <c r="F7687"/>
      <c r="G7687" s="12"/>
      <c r="H7687" s="12"/>
      <c r="I7687" s="12"/>
      <c r="J7687" s="12"/>
    </row>
    <row r="7688" spans="5:10" x14ac:dyDescent="0.25">
      <c r="E7688"/>
      <c r="F7688"/>
      <c r="G7688" s="12"/>
      <c r="H7688" s="12"/>
      <c r="I7688" s="12"/>
      <c r="J7688" s="12"/>
    </row>
    <row r="7689" spans="5:10" x14ac:dyDescent="0.25">
      <c r="E7689"/>
      <c r="F7689"/>
      <c r="G7689" s="12"/>
      <c r="H7689" s="12"/>
      <c r="I7689" s="12"/>
      <c r="J7689" s="12"/>
    </row>
    <row r="7690" spans="5:10" x14ac:dyDescent="0.25">
      <c r="E7690"/>
      <c r="F7690"/>
      <c r="G7690" s="12"/>
      <c r="H7690" s="12"/>
      <c r="I7690" s="12"/>
      <c r="J7690" s="12"/>
    </row>
    <row r="7691" spans="5:10" x14ac:dyDescent="0.25">
      <c r="E7691"/>
      <c r="F7691"/>
      <c r="G7691" s="12"/>
      <c r="H7691" s="12"/>
      <c r="I7691" s="12"/>
      <c r="J7691" s="12"/>
    </row>
    <row r="7692" spans="5:10" x14ac:dyDescent="0.25">
      <c r="E7692"/>
      <c r="F7692"/>
      <c r="G7692" s="12"/>
      <c r="H7692" s="12"/>
      <c r="I7692" s="12"/>
      <c r="J7692" s="12"/>
    </row>
    <row r="7693" spans="5:10" x14ac:dyDescent="0.25">
      <c r="E7693"/>
      <c r="F7693"/>
      <c r="G7693" s="12"/>
      <c r="H7693" s="12"/>
      <c r="I7693" s="12"/>
      <c r="J7693" s="12"/>
    </row>
    <row r="7694" spans="5:10" x14ac:dyDescent="0.25">
      <c r="E7694"/>
      <c r="F7694"/>
      <c r="G7694" s="12"/>
      <c r="H7694" s="12"/>
      <c r="I7694" s="12"/>
      <c r="J7694" s="12"/>
    </row>
    <row r="7695" spans="5:10" x14ac:dyDescent="0.25">
      <c r="E7695"/>
      <c r="F7695"/>
      <c r="G7695" s="12"/>
      <c r="H7695" s="12"/>
      <c r="I7695" s="12"/>
      <c r="J7695" s="12"/>
    </row>
    <row r="7696" spans="5:10" x14ac:dyDescent="0.25">
      <c r="E7696"/>
      <c r="F7696"/>
      <c r="G7696" s="12"/>
      <c r="H7696" s="12"/>
      <c r="I7696" s="12"/>
      <c r="J7696" s="12"/>
    </row>
    <row r="7697" spans="5:10" x14ac:dyDescent="0.25">
      <c r="E7697"/>
      <c r="F7697"/>
      <c r="G7697" s="12"/>
      <c r="H7697" s="12"/>
      <c r="I7697" s="12"/>
      <c r="J7697" s="12"/>
    </row>
    <row r="7698" spans="5:10" x14ac:dyDescent="0.25">
      <c r="E7698"/>
      <c r="F7698"/>
      <c r="G7698" s="12"/>
      <c r="H7698" s="12"/>
      <c r="I7698" s="12"/>
      <c r="J7698" s="12"/>
    </row>
    <row r="7699" spans="5:10" x14ac:dyDescent="0.25">
      <c r="E7699"/>
      <c r="F7699"/>
      <c r="G7699" s="12"/>
      <c r="H7699" s="12"/>
      <c r="I7699" s="12"/>
      <c r="J7699" s="12"/>
    </row>
    <row r="7700" spans="5:10" x14ac:dyDescent="0.25">
      <c r="E7700"/>
      <c r="F7700"/>
      <c r="G7700" s="12"/>
      <c r="H7700" s="12"/>
      <c r="I7700" s="12"/>
      <c r="J7700" s="12"/>
    </row>
    <row r="7701" spans="5:10" x14ac:dyDescent="0.25">
      <c r="E7701"/>
      <c r="F7701"/>
      <c r="G7701" s="12"/>
      <c r="H7701" s="12"/>
      <c r="I7701" s="12"/>
      <c r="J7701" s="12"/>
    </row>
    <row r="7702" spans="5:10" x14ac:dyDescent="0.25">
      <c r="E7702"/>
      <c r="F7702"/>
      <c r="G7702" s="12"/>
      <c r="H7702" s="12"/>
      <c r="I7702" s="12"/>
      <c r="J7702" s="12"/>
    </row>
    <row r="7703" spans="5:10" x14ac:dyDescent="0.25">
      <c r="E7703"/>
      <c r="F7703"/>
      <c r="G7703" s="12"/>
      <c r="H7703" s="12"/>
      <c r="I7703" s="12"/>
      <c r="J7703" s="12"/>
    </row>
    <row r="7704" spans="5:10" x14ac:dyDescent="0.25">
      <c r="E7704"/>
      <c r="F7704"/>
      <c r="G7704" s="12"/>
      <c r="H7704" s="12"/>
      <c r="I7704" s="12"/>
      <c r="J7704" s="12"/>
    </row>
    <row r="7705" spans="5:10" x14ac:dyDescent="0.25">
      <c r="E7705"/>
      <c r="F7705"/>
      <c r="G7705" s="12"/>
      <c r="H7705" s="12"/>
      <c r="I7705" s="12"/>
      <c r="J7705" s="12"/>
    </row>
    <row r="7706" spans="5:10" x14ac:dyDescent="0.25">
      <c r="E7706"/>
      <c r="F7706"/>
      <c r="G7706" s="12"/>
      <c r="H7706" s="12"/>
      <c r="I7706" s="12"/>
      <c r="J7706" s="12"/>
    </row>
    <row r="7707" spans="5:10" x14ac:dyDescent="0.25">
      <c r="E7707"/>
      <c r="F7707"/>
      <c r="G7707" s="12"/>
      <c r="H7707" s="12"/>
      <c r="I7707" s="12"/>
      <c r="J7707" s="12"/>
    </row>
    <row r="7708" spans="5:10" x14ac:dyDescent="0.25">
      <c r="E7708"/>
      <c r="F7708"/>
      <c r="G7708" s="12"/>
      <c r="H7708" s="12"/>
      <c r="I7708" s="12"/>
      <c r="J7708" s="12"/>
    </row>
    <row r="7709" spans="5:10" x14ac:dyDescent="0.25">
      <c r="E7709"/>
      <c r="F7709"/>
      <c r="G7709" s="12"/>
      <c r="H7709" s="12"/>
      <c r="I7709" s="12"/>
      <c r="J7709" s="12"/>
    </row>
    <row r="7710" spans="5:10" x14ac:dyDescent="0.25">
      <c r="E7710"/>
      <c r="F7710"/>
      <c r="G7710" s="12"/>
      <c r="H7710" s="12"/>
      <c r="I7710" s="12"/>
      <c r="J7710" s="12"/>
    </row>
    <row r="7711" spans="5:10" x14ac:dyDescent="0.25">
      <c r="E7711"/>
      <c r="F7711"/>
      <c r="G7711" s="12"/>
      <c r="H7711" s="12"/>
      <c r="I7711" s="12"/>
      <c r="J7711" s="12"/>
    </row>
    <row r="7712" spans="5:10" x14ac:dyDescent="0.25">
      <c r="E7712"/>
      <c r="F7712"/>
      <c r="G7712" s="12"/>
      <c r="H7712" s="12"/>
      <c r="I7712" s="12"/>
      <c r="J7712" s="12"/>
    </row>
    <row r="7713" spans="5:10" x14ac:dyDescent="0.25">
      <c r="E7713"/>
      <c r="F7713"/>
      <c r="G7713" s="12"/>
      <c r="H7713" s="12"/>
      <c r="I7713" s="12"/>
      <c r="J7713" s="12"/>
    </row>
    <row r="7714" spans="5:10" x14ac:dyDescent="0.25">
      <c r="E7714"/>
      <c r="F7714"/>
      <c r="G7714" s="12"/>
      <c r="H7714" s="12"/>
      <c r="I7714" s="12"/>
      <c r="J7714" s="12"/>
    </row>
    <row r="7715" spans="5:10" x14ac:dyDescent="0.25">
      <c r="E7715"/>
      <c r="F7715"/>
      <c r="G7715" s="12"/>
      <c r="H7715" s="12"/>
      <c r="I7715" s="12"/>
      <c r="J7715" s="12"/>
    </row>
    <row r="7716" spans="5:10" x14ac:dyDescent="0.25">
      <c r="E7716"/>
      <c r="F7716"/>
      <c r="G7716" s="12"/>
      <c r="H7716" s="12"/>
      <c r="I7716" s="12"/>
      <c r="J7716" s="12"/>
    </row>
    <row r="7717" spans="5:10" x14ac:dyDescent="0.25">
      <c r="E7717"/>
      <c r="F7717"/>
      <c r="G7717" s="12"/>
      <c r="H7717" s="12"/>
      <c r="I7717" s="12"/>
      <c r="J7717" s="12"/>
    </row>
    <row r="7718" spans="5:10" x14ac:dyDescent="0.25">
      <c r="E7718"/>
      <c r="F7718"/>
      <c r="G7718" s="12"/>
      <c r="H7718" s="12"/>
      <c r="I7718" s="12"/>
      <c r="J7718" s="12"/>
    </row>
    <row r="7719" spans="5:10" x14ac:dyDescent="0.25">
      <c r="E7719"/>
      <c r="F7719"/>
      <c r="G7719" s="12"/>
      <c r="H7719" s="12"/>
      <c r="I7719" s="12"/>
      <c r="J7719" s="12"/>
    </row>
    <row r="7720" spans="5:10" x14ac:dyDescent="0.25">
      <c r="E7720"/>
      <c r="F7720"/>
      <c r="G7720" s="12"/>
      <c r="H7720" s="12"/>
      <c r="I7720" s="12"/>
      <c r="J7720" s="12"/>
    </row>
    <row r="7721" spans="5:10" x14ac:dyDescent="0.25">
      <c r="E7721"/>
      <c r="F7721"/>
      <c r="G7721" s="12"/>
      <c r="H7721" s="12"/>
      <c r="I7721" s="12"/>
      <c r="J7721" s="12"/>
    </row>
    <row r="7722" spans="5:10" x14ac:dyDescent="0.25">
      <c r="E7722"/>
      <c r="F7722"/>
      <c r="G7722" s="12"/>
      <c r="H7722" s="12"/>
      <c r="I7722" s="12"/>
      <c r="J7722" s="12"/>
    </row>
    <row r="7723" spans="5:10" x14ac:dyDescent="0.25">
      <c r="E7723"/>
      <c r="F7723"/>
      <c r="G7723" s="12"/>
      <c r="H7723" s="12"/>
      <c r="I7723" s="12"/>
      <c r="J7723" s="12"/>
    </row>
    <row r="7724" spans="5:10" x14ac:dyDescent="0.25">
      <c r="E7724"/>
      <c r="F7724"/>
      <c r="G7724" s="12"/>
      <c r="H7724" s="12"/>
      <c r="I7724" s="12"/>
      <c r="J7724" s="12"/>
    </row>
    <row r="7725" spans="5:10" x14ac:dyDescent="0.25">
      <c r="E7725"/>
      <c r="F7725"/>
      <c r="G7725" s="12"/>
      <c r="H7725" s="12"/>
      <c r="I7725" s="12"/>
      <c r="J7725" s="12"/>
    </row>
    <row r="7726" spans="5:10" x14ac:dyDescent="0.25">
      <c r="E7726"/>
      <c r="F7726"/>
      <c r="G7726" s="12"/>
      <c r="H7726" s="12"/>
      <c r="I7726" s="12"/>
      <c r="J7726" s="12"/>
    </row>
    <row r="7727" spans="5:10" x14ac:dyDescent="0.25">
      <c r="E7727"/>
      <c r="F7727"/>
      <c r="G7727" s="12"/>
      <c r="H7727" s="12"/>
      <c r="I7727" s="12"/>
      <c r="J7727" s="12"/>
    </row>
    <row r="7728" spans="5:10" x14ac:dyDescent="0.25">
      <c r="E7728"/>
      <c r="F7728"/>
      <c r="G7728" s="12"/>
      <c r="H7728" s="12"/>
      <c r="I7728" s="12"/>
      <c r="J7728" s="12"/>
    </row>
    <row r="7729" spans="5:10" x14ac:dyDescent="0.25">
      <c r="E7729"/>
      <c r="F7729"/>
      <c r="G7729" s="12"/>
      <c r="H7729" s="12"/>
      <c r="I7729" s="12"/>
      <c r="J7729" s="12"/>
    </row>
    <row r="7730" spans="5:10" x14ac:dyDescent="0.25">
      <c r="E7730"/>
      <c r="F7730"/>
      <c r="G7730" s="12"/>
      <c r="H7730" s="12"/>
      <c r="I7730" s="12"/>
      <c r="J7730" s="12"/>
    </row>
    <row r="7731" spans="5:10" x14ac:dyDescent="0.25">
      <c r="E7731"/>
      <c r="F7731"/>
      <c r="G7731" s="12"/>
      <c r="H7731" s="12"/>
      <c r="I7731" s="12"/>
      <c r="J7731" s="12"/>
    </row>
    <row r="7732" spans="5:10" x14ac:dyDescent="0.25">
      <c r="E7732"/>
      <c r="F7732"/>
      <c r="G7732" s="12"/>
      <c r="H7732" s="12"/>
      <c r="I7732" s="12"/>
      <c r="J7732" s="12"/>
    </row>
    <row r="7733" spans="5:10" x14ac:dyDescent="0.25">
      <c r="E7733"/>
      <c r="F7733"/>
      <c r="G7733" s="12"/>
      <c r="H7733" s="12"/>
      <c r="I7733" s="12"/>
      <c r="J7733" s="12"/>
    </row>
    <row r="7734" spans="5:10" x14ac:dyDescent="0.25">
      <c r="E7734"/>
      <c r="F7734"/>
      <c r="G7734" s="12"/>
      <c r="H7734" s="12"/>
      <c r="I7734" s="12"/>
      <c r="J7734" s="12"/>
    </row>
    <row r="7735" spans="5:10" x14ac:dyDescent="0.25">
      <c r="E7735"/>
      <c r="F7735"/>
      <c r="G7735" s="12"/>
      <c r="H7735" s="12"/>
      <c r="I7735" s="12"/>
      <c r="J7735" s="12"/>
    </row>
    <row r="7736" spans="5:10" x14ac:dyDescent="0.25">
      <c r="E7736"/>
      <c r="F7736"/>
      <c r="G7736" s="12"/>
      <c r="H7736" s="12"/>
      <c r="I7736" s="12"/>
      <c r="J7736" s="12"/>
    </row>
    <row r="7737" spans="5:10" x14ac:dyDescent="0.25">
      <c r="E7737"/>
      <c r="F7737"/>
      <c r="G7737" s="12"/>
      <c r="H7737" s="12"/>
      <c r="I7737" s="12"/>
      <c r="J7737" s="12"/>
    </row>
    <row r="7738" spans="5:10" x14ac:dyDescent="0.25">
      <c r="E7738"/>
      <c r="F7738"/>
      <c r="G7738" s="12"/>
      <c r="H7738" s="12"/>
      <c r="I7738" s="12"/>
      <c r="J7738" s="12"/>
    </row>
    <row r="7739" spans="5:10" x14ac:dyDescent="0.25">
      <c r="E7739"/>
      <c r="F7739"/>
      <c r="G7739" s="12"/>
      <c r="H7739" s="12"/>
      <c r="I7739" s="12"/>
      <c r="J7739" s="12"/>
    </row>
    <row r="7740" spans="5:10" x14ac:dyDescent="0.25">
      <c r="E7740"/>
      <c r="F7740"/>
      <c r="G7740" s="12"/>
      <c r="H7740" s="12"/>
      <c r="I7740" s="12"/>
      <c r="J7740" s="12"/>
    </row>
    <row r="7741" spans="5:10" x14ac:dyDescent="0.25">
      <c r="E7741"/>
      <c r="F7741"/>
      <c r="G7741" s="12"/>
      <c r="H7741" s="12"/>
      <c r="I7741" s="12"/>
      <c r="J7741" s="12"/>
    </row>
    <row r="7742" spans="5:10" x14ac:dyDescent="0.25">
      <c r="E7742"/>
      <c r="F7742"/>
      <c r="G7742" s="12"/>
      <c r="H7742" s="12"/>
      <c r="I7742" s="12"/>
      <c r="J7742" s="12"/>
    </row>
    <row r="7743" spans="5:10" x14ac:dyDescent="0.25">
      <c r="E7743"/>
      <c r="F7743"/>
      <c r="G7743" s="12"/>
      <c r="H7743" s="12"/>
      <c r="I7743" s="12"/>
      <c r="J7743" s="12"/>
    </row>
    <row r="7744" spans="5:10" x14ac:dyDescent="0.25">
      <c r="E7744"/>
      <c r="F7744"/>
      <c r="G7744" s="12"/>
      <c r="H7744" s="12"/>
      <c r="I7744" s="12"/>
      <c r="J7744" s="12"/>
    </row>
    <row r="7745" spans="5:10" x14ac:dyDescent="0.25">
      <c r="E7745"/>
      <c r="F7745"/>
      <c r="G7745" s="12"/>
      <c r="H7745" s="12"/>
      <c r="I7745" s="12"/>
      <c r="J7745" s="12"/>
    </row>
    <row r="7746" spans="5:10" x14ac:dyDescent="0.25">
      <c r="E7746"/>
      <c r="F7746"/>
      <c r="G7746" s="12"/>
      <c r="H7746" s="12"/>
      <c r="I7746" s="12"/>
      <c r="J7746" s="12"/>
    </row>
    <row r="7747" spans="5:10" x14ac:dyDescent="0.25">
      <c r="E7747"/>
      <c r="F7747"/>
      <c r="G7747" s="12"/>
      <c r="H7747" s="12"/>
      <c r="I7747" s="12"/>
      <c r="J7747" s="12"/>
    </row>
    <row r="7748" spans="5:10" x14ac:dyDescent="0.25">
      <c r="E7748"/>
      <c r="F7748"/>
      <c r="G7748" s="12"/>
      <c r="H7748" s="12"/>
      <c r="I7748" s="12"/>
      <c r="J7748" s="12"/>
    </row>
    <row r="7749" spans="5:10" x14ac:dyDescent="0.25">
      <c r="E7749"/>
      <c r="F7749"/>
      <c r="G7749" s="12"/>
      <c r="H7749" s="12"/>
      <c r="I7749" s="12"/>
      <c r="J7749" s="12"/>
    </row>
    <row r="7750" spans="5:10" x14ac:dyDescent="0.25">
      <c r="E7750"/>
      <c r="F7750"/>
      <c r="G7750" s="12"/>
      <c r="H7750" s="12"/>
      <c r="I7750" s="12"/>
      <c r="J7750" s="12"/>
    </row>
    <row r="7751" spans="5:10" x14ac:dyDescent="0.25">
      <c r="E7751"/>
      <c r="F7751"/>
      <c r="G7751" s="12"/>
      <c r="H7751" s="12"/>
      <c r="I7751" s="12"/>
      <c r="J7751" s="12"/>
    </row>
    <row r="7752" spans="5:10" x14ac:dyDescent="0.25">
      <c r="E7752"/>
      <c r="F7752"/>
      <c r="G7752" s="12"/>
      <c r="H7752" s="12"/>
      <c r="I7752" s="12"/>
      <c r="J7752" s="12"/>
    </row>
    <row r="7753" spans="5:10" x14ac:dyDescent="0.25">
      <c r="E7753"/>
      <c r="F7753"/>
      <c r="G7753" s="12"/>
      <c r="H7753" s="12"/>
      <c r="I7753" s="12"/>
      <c r="J7753" s="12"/>
    </row>
    <row r="7754" spans="5:10" x14ac:dyDescent="0.25">
      <c r="E7754"/>
      <c r="F7754"/>
      <c r="G7754" s="12"/>
      <c r="H7754" s="12"/>
      <c r="I7754" s="12"/>
      <c r="J7754" s="12"/>
    </row>
    <row r="7755" spans="5:10" x14ac:dyDescent="0.25">
      <c r="E7755"/>
      <c r="F7755"/>
      <c r="G7755" s="12"/>
      <c r="H7755" s="12"/>
      <c r="I7755" s="12"/>
      <c r="J7755" s="12"/>
    </row>
    <row r="7756" spans="5:10" x14ac:dyDescent="0.25">
      <c r="E7756"/>
      <c r="F7756"/>
      <c r="G7756" s="12"/>
      <c r="H7756" s="12"/>
      <c r="I7756" s="12"/>
      <c r="J7756" s="12"/>
    </row>
    <row r="7757" spans="5:10" x14ac:dyDescent="0.25">
      <c r="E7757"/>
      <c r="F7757"/>
      <c r="G7757" s="12"/>
      <c r="H7757" s="12"/>
      <c r="I7757" s="12"/>
      <c r="J7757" s="12"/>
    </row>
    <row r="7758" spans="5:10" x14ac:dyDescent="0.25">
      <c r="E7758"/>
      <c r="F7758"/>
      <c r="G7758" s="12"/>
      <c r="H7758" s="12"/>
      <c r="I7758" s="12"/>
      <c r="J7758" s="12"/>
    </row>
    <row r="7759" spans="5:10" x14ac:dyDescent="0.25">
      <c r="E7759"/>
      <c r="F7759"/>
      <c r="G7759" s="12"/>
      <c r="H7759" s="12"/>
      <c r="I7759" s="12"/>
      <c r="J7759" s="12"/>
    </row>
    <row r="7760" spans="5:10" x14ac:dyDescent="0.25">
      <c r="E7760"/>
      <c r="F7760"/>
      <c r="G7760" s="12"/>
      <c r="H7760" s="12"/>
      <c r="I7760" s="12"/>
      <c r="J7760" s="12"/>
    </row>
    <row r="7761" spans="5:10" x14ac:dyDescent="0.25">
      <c r="E7761"/>
      <c r="F7761"/>
      <c r="G7761" s="12"/>
      <c r="H7761" s="12"/>
      <c r="I7761" s="12"/>
      <c r="J7761" s="12"/>
    </row>
    <row r="7762" spans="5:10" x14ac:dyDescent="0.25">
      <c r="E7762"/>
      <c r="F7762"/>
      <c r="G7762" s="12"/>
      <c r="H7762" s="12"/>
      <c r="I7762" s="12"/>
      <c r="J7762" s="12"/>
    </row>
    <row r="7763" spans="5:10" x14ac:dyDescent="0.25">
      <c r="E7763"/>
      <c r="F7763"/>
      <c r="G7763" s="12"/>
      <c r="H7763" s="12"/>
      <c r="I7763" s="12"/>
      <c r="J7763" s="12"/>
    </row>
    <row r="7764" spans="5:10" x14ac:dyDescent="0.25">
      <c r="E7764"/>
      <c r="F7764"/>
      <c r="G7764" s="12"/>
      <c r="H7764" s="12"/>
      <c r="I7764" s="12"/>
      <c r="J7764" s="12"/>
    </row>
    <row r="7765" spans="5:10" x14ac:dyDescent="0.25">
      <c r="E7765"/>
      <c r="F7765"/>
      <c r="G7765" s="12"/>
      <c r="H7765" s="12"/>
      <c r="I7765" s="12"/>
      <c r="J7765" s="12"/>
    </row>
    <row r="7766" spans="5:10" x14ac:dyDescent="0.25">
      <c r="E7766"/>
      <c r="F7766"/>
      <c r="G7766" s="12"/>
      <c r="H7766" s="12"/>
      <c r="I7766" s="12"/>
      <c r="J7766" s="12"/>
    </row>
    <row r="7767" spans="5:10" x14ac:dyDescent="0.25">
      <c r="E7767"/>
      <c r="F7767"/>
      <c r="G7767" s="12"/>
      <c r="H7767" s="12"/>
      <c r="I7767" s="12"/>
      <c r="J7767" s="12"/>
    </row>
    <row r="7768" spans="5:10" x14ac:dyDescent="0.25">
      <c r="E7768"/>
      <c r="F7768"/>
      <c r="G7768" s="12"/>
      <c r="H7768" s="12"/>
      <c r="I7768" s="12"/>
      <c r="J7768" s="12"/>
    </row>
    <row r="7769" spans="5:10" x14ac:dyDescent="0.25">
      <c r="E7769"/>
      <c r="F7769"/>
      <c r="G7769" s="12"/>
      <c r="H7769" s="12"/>
      <c r="I7769" s="12"/>
      <c r="J7769" s="12"/>
    </row>
    <row r="7770" spans="5:10" x14ac:dyDescent="0.25">
      <c r="E7770"/>
      <c r="F7770"/>
      <c r="G7770" s="12"/>
      <c r="H7770" s="12"/>
      <c r="I7770" s="12"/>
      <c r="J7770" s="12"/>
    </row>
    <row r="7771" spans="5:10" x14ac:dyDescent="0.25">
      <c r="E7771"/>
      <c r="F7771"/>
      <c r="G7771" s="12"/>
      <c r="H7771" s="12"/>
      <c r="I7771" s="12"/>
      <c r="J7771" s="12"/>
    </row>
    <row r="7772" spans="5:10" x14ac:dyDescent="0.25">
      <c r="E7772"/>
      <c r="F7772"/>
      <c r="G7772" s="12"/>
      <c r="H7772" s="12"/>
      <c r="I7772" s="12"/>
      <c r="J7772" s="12"/>
    </row>
    <row r="7773" spans="5:10" x14ac:dyDescent="0.25">
      <c r="E7773"/>
      <c r="F7773"/>
      <c r="G7773" s="12"/>
      <c r="H7773" s="12"/>
      <c r="I7773" s="12"/>
      <c r="J7773" s="12"/>
    </row>
    <row r="7774" spans="5:10" x14ac:dyDescent="0.25">
      <c r="E7774"/>
      <c r="F7774"/>
      <c r="G7774" s="12"/>
      <c r="H7774" s="12"/>
      <c r="I7774" s="12"/>
      <c r="J7774" s="12"/>
    </row>
    <row r="7775" spans="5:10" x14ac:dyDescent="0.25">
      <c r="E7775"/>
      <c r="F7775"/>
      <c r="G7775" s="12"/>
      <c r="H7775" s="12"/>
      <c r="I7775" s="12"/>
      <c r="J7775" s="12"/>
    </row>
    <row r="7776" spans="5:10" x14ac:dyDescent="0.25">
      <c r="E7776"/>
      <c r="F7776"/>
      <c r="G7776" s="12"/>
      <c r="H7776" s="12"/>
      <c r="I7776" s="12"/>
      <c r="J7776" s="12"/>
    </row>
    <row r="7777" spans="5:10" x14ac:dyDescent="0.25">
      <c r="E7777"/>
      <c r="F7777"/>
      <c r="G7777" s="12"/>
      <c r="H7777" s="12"/>
      <c r="I7777" s="12"/>
      <c r="J7777" s="12"/>
    </row>
    <row r="7778" spans="5:10" x14ac:dyDescent="0.25">
      <c r="E7778"/>
      <c r="F7778"/>
      <c r="G7778" s="12"/>
      <c r="H7778" s="12"/>
      <c r="I7778" s="12"/>
      <c r="J7778" s="12"/>
    </row>
    <row r="7779" spans="5:10" x14ac:dyDescent="0.25">
      <c r="E7779"/>
      <c r="F7779"/>
      <c r="G7779" s="12"/>
      <c r="H7779" s="12"/>
      <c r="I7779" s="12"/>
      <c r="J7779" s="12"/>
    </row>
    <row r="7780" spans="5:10" x14ac:dyDescent="0.25">
      <c r="E7780"/>
      <c r="F7780"/>
      <c r="G7780" s="12"/>
      <c r="H7780" s="12"/>
      <c r="I7780" s="12"/>
      <c r="J7780" s="12"/>
    </row>
    <row r="7781" spans="5:10" x14ac:dyDescent="0.25">
      <c r="E7781"/>
      <c r="F7781"/>
      <c r="G7781" s="12"/>
      <c r="H7781" s="12"/>
      <c r="I7781" s="12"/>
      <c r="J7781" s="12"/>
    </row>
    <row r="7782" spans="5:10" x14ac:dyDescent="0.25">
      <c r="E7782"/>
      <c r="F7782"/>
      <c r="G7782" s="12"/>
      <c r="H7782" s="12"/>
      <c r="I7782" s="12"/>
      <c r="J7782" s="12"/>
    </row>
    <row r="7783" spans="5:10" x14ac:dyDescent="0.25">
      <c r="E7783"/>
      <c r="F7783"/>
      <c r="G7783" s="12"/>
      <c r="H7783" s="12"/>
      <c r="I7783" s="12"/>
      <c r="J7783" s="12"/>
    </row>
    <row r="7784" spans="5:10" x14ac:dyDescent="0.25">
      <c r="E7784"/>
      <c r="F7784"/>
      <c r="G7784" s="12"/>
      <c r="H7784" s="12"/>
      <c r="I7784" s="12"/>
      <c r="J7784" s="12"/>
    </row>
    <row r="7785" spans="5:10" x14ac:dyDescent="0.25">
      <c r="E7785"/>
      <c r="F7785"/>
      <c r="G7785" s="12"/>
      <c r="H7785" s="12"/>
      <c r="I7785" s="12"/>
      <c r="J7785" s="12"/>
    </row>
    <row r="7786" spans="5:10" x14ac:dyDescent="0.25">
      <c r="E7786"/>
      <c r="F7786"/>
      <c r="G7786" s="12"/>
      <c r="H7786" s="12"/>
      <c r="I7786" s="12"/>
      <c r="J7786" s="12"/>
    </row>
    <row r="7787" spans="5:10" x14ac:dyDescent="0.25">
      <c r="E7787"/>
      <c r="F7787"/>
      <c r="G7787" s="12"/>
      <c r="H7787" s="12"/>
      <c r="I7787" s="12"/>
      <c r="J7787" s="12"/>
    </row>
    <row r="7788" spans="5:10" x14ac:dyDescent="0.25">
      <c r="E7788"/>
      <c r="F7788"/>
      <c r="G7788" s="12"/>
      <c r="H7788" s="12"/>
      <c r="I7788" s="12"/>
      <c r="J7788" s="12"/>
    </row>
    <row r="7789" spans="5:10" x14ac:dyDescent="0.25">
      <c r="E7789"/>
      <c r="F7789"/>
      <c r="G7789" s="12"/>
      <c r="H7789" s="12"/>
      <c r="I7789" s="12"/>
      <c r="J7789" s="12"/>
    </row>
    <row r="7790" spans="5:10" x14ac:dyDescent="0.25">
      <c r="E7790"/>
      <c r="F7790"/>
      <c r="G7790" s="12"/>
      <c r="H7790" s="12"/>
      <c r="I7790" s="12"/>
      <c r="J7790" s="12"/>
    </row>
    <row r="7791" spans="5:10" x14ac:dyDescent="0.25">
      <c r="E7791"/>
      <c r="F7791"/>
      <c r="G7791" s="12"/>
      <c r="H7791" s="12"/>
      <c r="I7791" s="12"/>
      <c r="J7791" s="12"/>
    </row>
    <row r="7792" spans="5:10" x14ac:dyDescent="0.25">
      <c r="E7792"/>
      <c r="F7792"/>
      <c r="G7792" s="12"/>
      <c r="H7792" s="12"/>
      <c r="I7792" s="12"/>
      <c r="J7792" s="12"/>
    </row>
    <row r="7793" spans="5:10" x14ac:dyDescent="0.25">
      <c r="E7793"/>
      <c r="F7793"/>
      <c r="G7793" s="12"/>
      <c r="H7793" s="12"/>
      <c r="I7793" s="12"/>
      <c r="J7793" s="12"/>
    </row>
    <row r="7794" spans="5:10" x14ac:dyDescent="0.25">
      <c r="E7794"/>
      <c r="F7794"/>
      <c r="G7794" s="12"/>
      <c r="H7794" s="12"/>
      <c r="I7794" s="12"/>
      <c r="J7794" s="12"/>
    </row>
    <row r="7795" spans="5:10" x14ac:dyDescent="0.25">
      <c r="E7795"/>
      <c r="F7795"/>
      <c r="G7795" s="12"/>
      <c r="H7795" s="12"/>
      <c r="I7795" s="12"/>
      <c r="J7795" s="12"/>
    </row>
    <row r="7796" spans="5:10" x14ac:dyDescent="0.25">
      <c r="E7796"/>
      <c r="F7796"/>
      <c r="G7796" s="12"/>
      <c r="H7796" s="12"/>
      <c r="I7796" s="12"/>
      <c r="J7796" s="12"/>
    </row>
    <row r="7797" spans="5:10" x14ac:dyDescent="0.25">
      <c r="E7797"/>
      <c r="F7797"/>
      <c r="G7797" s="12"/>
      <c r="H7797" s="12"/>
      <c r="I7797" s="12"/>
      <c r="J7797" s="12"/>
    </row>
    <row r="7798" spans="5:10" x14ac:dyDescent="0.25">
      <c r="E7798"/>
      <c r="F7798"/>
      <c r="G7798" s="12"/>
      <c r="H7798" s="12"/>
      <c r="I7798" s="12"/>
      <c r="J7798" s="12"/>
    </row>
    <row r="7799" spans="5:10" x14ac:dyDescent="0.25">
      <c r="E7799"/>
      <c r="F7799"/>
      <c r="G7799" s="12"/>
      <c r="H7799" s="12"/>
      <c r="I7799" s="12"/>
      <c r="J7799" s="12"/>
    </row>
    <row r="7800" spans="5:10" x14ac:dyDescent="0.25">
      <c r="E7800"/>
      <c r="F7800"/>
      <c r="G7800" s="12"/>
      <c r="H7800" s="12"/>
      <c r="I7800" s="12"/>
      <c r="J7800" s="12"/>
    </row>
    <row r="7801" spans="5:10" x14ac:dyDescent="0.25">
      <c r="E7801"/>
      <c r="F7801"/>
      <c r="G7801" s="12"/>
      <c r="H7801" s="12"/>
      <c r="I7801" s="12"/>
      <c r="J7801" s="12"/>
    </row>
    <row r="7802" spans="5:10" x14ac:dyDescent="0.25">
      <c r="E7802"/>
      <c r="F7802"/>
      <c r="G7802" s="12"/>
      <c r="H7802" s="12"/>
      <c r="I7802" s="12"/>
      <c r="J7802" s="12"/>
    </row>
    <row r="7803" spans="5:10" x14ac:dyDescent="0.25">
      <c r="E7803"/>
      <c r="F7803"/>
      <c r="G7803" s="12"/>
      <c r="H7803" s="12"/>
      <c r="I7803" s="12"/>
      <c r="J7803" s="12"/>
    </row>
    <row r="7804" spans="5:10" x14ac:dyDescent="0.25">
      <c r="E7804"/>
      <c r="F7804"/>
      <c r="G7804" s="12"/>
      <c r="H7804" s="12"/>
      <c r="I7804" s="12"/>
      <c r="J7804" s="12"/>
    </row>
    <row r="7805" spans="5:10" x14ac:dyDescent="0.25">
      <c r="E7805"/>
      <c r="F7805"/>
      <c r="G7805" s="12"/>
      <c r="H7805" s="12"/>
      <c r="I7805" s="12"/>
      <c r="J7805" s="12"/>
    </row>
    <row r="7806" spans="5:10" x14ac:dyDescent="0.25">
      <c r="E7806"/>
      <c r="F7806"/>
      <c r="G7806" s="12"/>
      <c r="H7806" s="12"/>
      <c r="I7806" s="12"/>
      <c r="J7806" s="12"/>
    </row>
    <row r="7807" spans="5:10" x14ac:dyDescent="0.25">
      <c r="E7807"/>
      <c r="F7807"/>
      <c r="G7807" s="12"/>
      <c r="H7807" s="12"/>
      <c r="I7807" s="12"/>
      <c r="J7807" s="12"/>
    </row>
    <row r="7808" spans="5:10" x14ac:dyDescent="0.25">
      <c r="E7808"/>
      <c r="F7808"/>
      <c r="G7808" s="12"/>
      <c r="H7808" s="12"/>
      <c r="I7808" s="12"/>
      <c r="J7808" s="12"/>
    </row>
    <row r="7809" spans="5:10" x14ac:dyDescent="0.25">
      <c r="E7809"/>
      <c r="F7809"/>
      <c r="G7809" s="12"/>
      <c r="H7809" s="12"/>
      <c r="I7809" s="12"/>
      <c r="J7809" s="12"/>
    </row>
    <row r="7810" spans="5:10" x14ac:dyDescent="0.25">
      <c r="E7810"/>
      <c r="F7810"/>
      <c r="G7810" s="12"/>
      <c r="H7810" s="12"/>
      <c r="I7810" s="12"/>
      <c r="J7810" s="12"/>
    </row>
    <row r="7811" spans="5:10" x14ac:dyDescent="0.25">
      <c r="E7811"/>
      <c r="F7811"/>
      <c r="G7811" s="12"/>
      <c r="H7811" s="12"/>
      <c r="I7811" s="12"/>
      <c r="J7811" s="12"/>
    </row>
    <row r="7812" spans="5:10" x14ac:dyDescent="0.25">
      <c r="E7812"/>
      <c r="F7812"/>
      <c r="G7812" s="12"/>
      <c r="H7812" s="12"/>
      <c r="I7812" s="12"/>
      <c r="J7812" s="12"/>
    </row>
    <row r="7813" spans="5:10" x14ac:dyDescent="0.25">
      <c r="E7813"/>
      <c r="F7813"/>
      <c r="G7813" s="12"/>
      <c r="H7813" s="12"/>
      <c r="I7813" s="12"/>
      <c r="J7813" s="12"/>
    </row>
    <row r="7814" spans="5:10" x14ac:dyDescent="0.25">
      <c r="E7814"/>
      <c r="F7814"/>
      <c r="G7814" s="12"/>
      <c r="H7814" s="12"/>
      <c r="I7814" s="12"/>
      <c r="J7814" s="12"/>
    </row>
    <row r="7815" spans="5:10" x14ac:dyDescent="0.25">
      <c r="E7815"/>
      <c r="F7815"/>
      <c r="G7815" s="12"/>
      <c r="H7815" s="12"/>
      <c r="I7815" s="12"/>
      <c r="J7815" s="12"/>
    </row>
    <row r="7816" spans="5:10" x14ac:dyDescent="0.25">
      <c r="E7816"/>
      <c r="F7816"/>
      <c r="G7816" s="12"/>
      <c r="H7816" s="12"/>
      <c r="I7816" s="12"/>
      <c r="J7816" s="12"/>
    </row>
    <row r="7817" spans="5:10" x14ac:dyDescent="0.25">
      <c r="E7817"/>
      <c r="F7817"/>
      <c r="G7817" s="12"/>
      <c r="H7817" s="12"/>
      <c r="I7817" s="12"/>
      <c r="J7817" s="12"/>
    </row>
    <row r="7818" spans="5:10" x14ac:dyDescent="0.25">
      <c r="E7818"/>
      <c r="F7818"/>
      <c r="G7818" s="12"/>
      <c r="H7818" s="12"/>
      <c r="I7818" s="12"/>
      <c r="J7818" s="12"/>
    </row>
    <row r="7819" spans="5:10" x14ac:dyDescent="0.25">
      <c r="E7819"/>
      <c r="F7819"/>
      <c r="G7819" s="12"/>
      <c r="H7819" s="12"/>
      <c r="I7819" s="12"/>
      <c r="J7819" s="12"/>
    </row>
    <row r="7820" spans="5:10" x14ac:dyDescent="0.25">
      <c r="E7820"/>
      <c r="F7820"/>
      <c r="G7820" s="12"/>
      <c r="H7820" s="12"/>
      <c r="I7820" s="12"/>
      <c r="J7820" s="12"/>
    </row>
    <row r="7821" spans="5:10" x14ac:dyDescent="0.25">
      <c r="E7821"/>
      <c r="F7821"/>
      <c r="G7821" s="12"/>
      <c r="H7821" s="12"/>
      <c r="I7821" s="12"/>
      <c r="J7821" s="12"/>
    </row>
    <row r="7822" spans="5:10" x14ac:dyDescent="0.25">
      <c r="E7822"/>
      <c r="F7822"/>
      <c r="G7822" s="12"/>
      <c r="H7822" s="12"/>
      <c r="I7822" s="12"/>
      <c r="J7822" s="12"/>
    </row>
    <row r="7823" spans="5:10" x14ac:dyDescent="0.25">
      <c r="E7823"/>
      <c r="F7823"/>
      <c r="G7823" s="12"/>
      <c r="H7823" s="12"/>
      <c r="I7823" s="12"/>
      <c r="J7823" s="12"/>
    </row>
    <row r="7824" spans="5:10" x14ac:dyDescent="0.25">
      <c r="E7824"/>
      <c r="F7824"/>
      <c r="G7824" s="12"/>
      <c r="H7824" s="12"/>
      <c r="I7824" s="12"/>
      <c r="J7824" s="12"/>
    </row>
    <row r="7825" spans="5:10" x14ac:dyDescent="0.25">
      <c r="E7825"/>
      <c r="F7825"/>
      <c r="G7825" s="12"/>
      <c r="H7825" s="12"/>
      <c r="I7825" s="12"/>
      <c r="J7825" s="12"/>
    </row>
    <row r="7826" spans="5:10" x14ac:dyDescent="0.25">
      <c r="E7826"/>
      <c r="F7826"/>
      <c r="G7826" s="12"/>
      <c r="H7826" s="12"/>
      <c r="I7826" s="12"/>
      <c r="J7826" s="12"/>
    </row>
    <row r="7827" spans="5:10" x14ac:dyDescent="0.25">
      <c r="E7827"/>
      <c r="F7827"/>
      <c r="G7827" s="12"/>
      <c r="H7827" s="12"/>
      <c r="I7827" s="12"/>
      <c r="J7827" s="12"/>
    </row>
    <row r="7828" spans="5:10" x14ac:dyDescent="0.25">
      <c r="E7828"/>
      <c r="F7828"/>
      <c r="G7828" s="12"/>
      <c r="H7828" s="12"/>
      <c r="I7828" s="12"/>
      <c r="J7828" s="12"/>
    </row>
    <row r="7829" spans="5:10" x14ac:dyDescent="0.25">
      <c r="E7829"/>
      <c r="F7829"/>
      <c r="G7829" s="12"/>
      <c r="H7829" s="12"/>
      <c r="I7829" s="12"/>
      <c r="J7829" s="12"/>
    </row>
    <row r="7830" spans="5:10" x14ac:dyDescent="0.25">
      <c r="E7830"/>
      <c r="F7830"/>
      <c r="G7830" s="12"/>
      <c r="H7830" s="12"/>
      <c r="I7830" s="12"/>
      <c r="J7830" s="12"/>
    </row>
    <row r="7831" spans="5:10" x14ac:dyDescent="0.25">
      <c r="E7831"/>
      <c r="F7831"/>
      <c r="G7831" s="12"/>
      <c r="H7831" s="12"/>
      <c r="I7831" s="12"/>
      <c r="J7831" s="12"/>
    </row>
    <row r="7832" spans="5:10" x14ac:dyDescent="0.25">
      <c r="E7832"/>
      <c r="F7832"/>
      <c r="G7832" s="12"/>
      <c r="H7832" s="12"/>
      <c r="I7832" s="12"/>
      <c r="J7832" s="12"/>
    </row>
    <row r="7833" spans="5:10" x14ac:dyDescent="0.25">
      <c r="E7833"/>
      <c r="F7833"/>
      <c r="G7833" s="12"/>
      <c r="H7833" s="12"/>
      <c r="I7833" s="12"/>
      <c r="J7833" s="12"/>
    </row>
    <row r="7834" spans="5:10" x14ac:dyDescent="0.25">
      <c r="E7834"/>
      <c r="F7834"/>
      <c r="G7834" s="12"/>
      <c r="H7834" s="12"/>
      <c r="I7834" s="12"/>
      <c r="J7834" s="12"/>
    </row>
    <row r="7835" spans="5:10" x14ac:dyDescent="0.25">
      <c r="E7835"/>
      <c r="F7835"/>
      <c r="G7835" s="12"/>
      <c r="H7835" s="12"/>
      <c r="I7835" s="12"/>
      <c r="J7835" s="12"/>
    </row>
    <row r="7836" spans="5:10" x14ac:dyDescent="0.25">
      <c r="E7836"/>
      <c r="F7836"/>
      <c r="G7836" s="12"/>
      <c r="H7836" s="12"/>
      <c r="I7836" s="12"/>
      <c r="J7836" s="12"/>
    </row>
    <row r="7837" spans="5:10" x14ac:dyDescent="0.25">
      <c r="E7837"/>
      <c r="F7837"/>
      <c r="G7837" s="12"/>
      <c r="H7837" s="12"/>
      <c r="I7837" s="12"/>
      <c r="J7837" s="12"/>
    </row>
    <row r="7838" spans="5:10" x14ac:dyDescent="0.25">
      <c r="E7838"/>
      <c r="F7838"/>
      <c r="G7838" s="12"/>
      <c r="H7838" s="12"/>
      <c r="I7838" s="12"/>
      <c r="J7838" s="12"/>
    </row>
    <row r="7839" spans="5:10" x14ac:dyDescent="0.25">
      <c r="E7839"/>
      <c r="F7839"/>
      <c r="G7839" s="12"/>
      <c r="H7839" s="12"/>
      <c r="I7839" s="12"/>
      <c r="J7839" s="12"/>
    </row>
    <row r="7840" spans="5:10" x14ac:dyDescent="0.25">
      <c r="E7840"/>
      <c r="F7840"/>
      <c r="G7840" s="12"/>
      <c r="H7840" s="12"/>
      <c r="I7840" s="12"/>
      <c r="J7840" s="12"/>
    </row>
    <row r="7841" spans="5:10" x14ac:dyDescent="0.25">
      <c r="E7841"/>
      <c r="F7841"/>
      <c r="G7841" s="12"/>
      <c r="H7841" s="12"/>
      <c r="I7841" s="12"/>
      <c r="J7841" s="12"/>
    </row>
    <row r="7842" spans="5:10" x14ac:dyDescent="0.25">
      <c r="E7842"/>
      <c r="F7842"/>
      <c r="G7842" s="12"/>
      <c r="H7842" s="12"/>
      <c r="I7842" s="12"/>
      <c r="J7842" s="12"/>
    </row>
    <row r="7843" spans="5:10" x14ac:dyDescent="0.25">
      <c r="E7843"/>
      <c r="F7843"/>
      <c r="G7843" s="12"/>
      <c r="H7843" s="12"/>
      <c r="I7843" s="12"/>
      <c r="J7843" s="12"/>
    </row>
    <row r="7844" spans="5:10" x14ac:dyDescent="0.25">
      <c r="E7844"/>
      <c r="F7844"/>
      <c r="G7844" s="12"/>
      <c r="H7844" s="12"/>
      <c r="I7844" s="12"/>
      <c r="J7844" s="12"/>
    </row>
    <row r="7845" spans="5:10" x14ac:dyDescent="0.25">
      <c r="E7845"/>
      <c r="F7845"/>
      <c r="G7845" s="12"/>
      <c r="H7845" s="12"/>
      <c r="I7845" s="12"/>
      <c r="J7845" s="12"/>
    </row>
    <row r="7846" spans="5:10" x14ac:dyDescent="0.25">
      <c r="E7846"/>
      <c r="F7846"/>
      <c r="G7846" s="12"/>
      <c r="H7846" s="12"/>
      <c r="I7846" s="12"/>
      <c r="J7846" s="12"/>
    </row>
    <row r="7847" spans="5:10" x14ac:dyDescent="0.25">
      <c r="E7847"/>
      <c r="F7847"/>
      <c r="G7847" s="12"/>
      <c r="H7847" s="12"/>
      <c r="I7847" s="12"/>
      <c r="J7847" s="12"/>
    </row>
    <row r="7848" spans="5:10" x14ac:dyDescent="0.25">
      <c r="E7848"/>
      <c r="F7848"/>
      <c r="G7848" s="12"/>
      <c r="H7848" s="12"/>
      <c r="I7848" s="12"/>
      <c r="J7848" s="12"/>
    </row>
    <row r="7849" spans="5:10" x14ac:dyDescent="0.25">
      <c r="E7849"/>
      <c r="F7849"/>
      <c r="G7849" s="12"/>
      <c r="H7849" s="12"/>
      <c r="I7849" s="12"/>
      <c r="J7849" s="12"/>
    </row>
    <row r="7850" spans="5:10" x14ac:dyDescent="0.25">
      <c r="E7850"/>
      <c r="F7850"/>
      <c r="G7850" s="12"/>
      <c r="H7850" s="12"/>
      <c r="I7850" s="12"/>
      <c r="J7850" s="12"/>
    </row>
    <row r="7851" spans="5:10" x14ac:dyDescent="0.25">
      <c r="E7851"/>
      <c r="F7851"/>
      <c r="G7851" s="12"/>
      <c r="H7851" s="12"/>
      <c r="I7851" s="12"/>
      <c r="J7851" s="12"/>
    </row>
    <row r="7852" spans="5:10" x14ac:dyDescent="0.25">
      <c r="E7852"/>
      <c r="F7852"/>
      <c r="G7852" s="12"/>
      <c r="H7852" s="12"/>
      <c r="I7852" s="12"/>
      <c r="J7852" s="12"/>
    </row>
    <row r="7853" spans="5:10" x14ac:dyDescent="0.25">
      <c r="E7853"/>
      <c r="F7853"/>
      <c r="G7853" s="12"/>
      <c r="H7853" s="12"/>
      <c r="I7853" s="12"/>
      <c r="J7853" s="12"/>
    </row>
    <row r="7854" spans="5:10" x14ac:dyDescent="0.25">
      <c r="E7854"/>
      <c r="F7854"/>
      <c r="G7854" s="12"/>
      <c r="H7854" s="12"/>
      <c r="I7854" s="12"/>
      <c r="J7854" s="12"/>
    </row>
    <row r="7855" spans="5:10" x14ac:dyDescent="0.25">
      <c r="E7855"/>
      <c r="F7855"/>
      <c r="G7855" s="12"/>
      <c r="H7855" s="12"/>
      <c r="I7855" s="12"/>
      <c r="J7855" s="12"/>
    </row>
    <row r="7856" spans="5:10" x14ac:dyDescent="0.25">
      <c r="E7856"/>
      <c r="F7856"/>
      <c r="G7856" s="12"/>
      <c r="H7856" s="12"/>
      <c r="I7856" s="12"/>
      <c r="J7856" s="12"/>
    </row>
    <row r="7857" spans="5:10" x14ac:dyDescent="0.25">
      <c r="E7857"/>
      <c r="F7857"/>
      <c r="G7857" s="12"/>
      <c r="H7857" s="12"/>
      <c r="I7857" s="12"/>
      <c r="J7857" s="12"/>
    </row>
    <row r="7858" spans="5:10" x14ac:dyDescent="0.25">
      <c r="E7858"/>
      <c r="F7858"/>
      <c r="G7858" s="12"/>
      <c r="H7858" s="12"/>
      <c r="I7858" s="12"/>
      <c r="J7858" s="12"/>
    </row>
    <row r="7859" spans="5:10" x14ac:dyDescent="0.25">
      <c r="E7859"/>
      <c r="F7859"/>
      <c r="G7859" s="12"/>
      <c r="H7859" s="12"/>
      <c r="I7859" s="12"/>
      <c r="J7859" s="12"/>
    </row>
    <row r="7860" spans="5:10" x14ac:dyDescent="0.25">
      <c r="E7860"/>
      <c r="F7860"/>
      <c r="G7860" s="12"/>
      <c r="H7860" s="12"/>
      <c r="I7860" s="12"/>
      <c r="J7860" s="12"/>
    </row>
    <row r="7861" spans="5:10" x14ac:dyDescent="0.25">
      <c r="E7861"/>
      <c r="F7861"/>
      <c r="G7861" s="12"/>
      <c r="H7861" s="12"/>
      <c r="I7861" s="12"/>
      <c r="J7861" s="12"/>
    </row>
    <row r="7862" spans="5:10" x14ac:dyDescent="0.25">
      <c r="E7862"/>
      <c r="F7862"/>
      <c r="G7862" s="12"/>
      <c r="H7862" s="12"/>
      <c r="I7862" s="12"/>
      <c r="J7862" s="12"/>
    </row>
    <row r="7863" spans="5:10" x14ac:dyDescent="0.25">
      <c r="E7863"/>
      <c r="F7863"/>
      <c r="G7863" s="12"/>
      <c r="H7863" s="12"/>
      <c r="I7863" s="12"/>
      <c r="J7863" s="12"/>
    </row>
    <row r="7864" spans="5:10" x14ac:dyDescent="0.25">
      <c r="E7864"/>
      <c r="F7864"/>
      <c r="G7864" s="12"/>
      <c r="H7864" s="12"/>
      <c r="I7864" s="12"/>
      <c r="J7864" s="12"/>
    </row>
    <row r="7865" spans="5:10" x14ac:dyDescent="0.25">
      <c r="E7865"/>
      <c r="F7865"/>
      <c r="G7865" s="12"/>
      <c r="H7865" s="12"/>
      <c r="I7865" s="12"/>
      <c r="J7865" s="12"/>
    </row>
    <row r="7866" spans="5:10" x14ac:dyDescent="0.25">
      <c r="E7866"/>
      <c r="F7866"/>
      <c r="G7866" s="12"/>
      <c r="H7866" s="12"/>
      <c r="I7866" s="12"/>
      <c r="J7866" s="12"/>
    </row>
    <row r="7867" spans="5:10" x14ac:dyDescent="0.25">
      <c r="E7867"/>
      <c r="F7867"/>
      <c r="G7867" s="12"/>
      <c r="H7867" s="12"/>
      <c r="I7867" s="12"/>
      <c r="J7867" s="12"/>
    </row>
    <row r="7868" spans="5:10" x14ac:dyDescent="0.25">
      <c r="E7868"/>
      <c r="F7868"/>
      <c r="G7868" s="12"/>
      <c r="H7868" s="12"/>
      <c r="I7868" s="12"/>
      <c r="J7868" s="12"/>
    </row>
    <row r="7869" spans="5:10" x14ac:dyDescent="0.25">
      <c r="E7869"/>
      <c r="F7869"/>
      <c r="G7869" s="12"/>
      <c r="H7869" s="12"/>
      <c r="I7869" s="12"/>
      <c r="J7869" s="12"/>
    </row>
    <row r="7870" spans="5:10" x14ac:dyDescent="0.25">
      <c r="E7870"/>
      <c r="F7870"/>
      <c r="G7870" s="12"/>
      <c r="H7870" s="12"/>
      <c r="I7870" s="12"/>
      <c r="J7870" s="12"/>
    </row>
    <row r="7871" spans="5:10" x14ac:dyDescent="0.25">
      <c r="E7871"/>
      <c r="F7871"/>
      <c r="G7871" s="12"/>
      <c r="H7871" s="12"/>
      <c r="I7871" s="12"/>
      <c r="J7871" s="12"/>
    </row>
    <row r="7872" spans="5:10" x14ac:dyDescent="0.25">
      <c r="E7872"/>
      <c r="F7872"/>
      <c r="G7872" s="12"/>
      <c r="H7872" s="12"/>
      <c r="I7872" s="12"/>
      <c r="J7872" s="12"/>
    </row>
    <row r="7873" spans="5:10" x14ac:dyDescent="0.25">
      <c r="E7873"/>
      <c r="F7873"/>
      <c r="G7873" s="12"/>
      <c r="H7873" s="12"/>
      <c r="I7873" s="12"/>
      <c r="J7873" s="12"/>
    </row>
    <row r="7874" spans="5:10" x14ac:dyDescent="0.25">
      <c r="E7874"/>
      <c r="F7874"/>
      <c r="G7874" s="12"/>
      <c r="H7874" s="12"/>
      <c r="I7874" s="12"/>
      <c r="J7874" s="12"/>
    </row>
    <row r="7875" spans="5:10" x14ac:dyDescent="0.25">
      <c r="E7875"/>
      <c r="F7875"/>
      <c r="G7875" s="12"/>
      <c r="H7875" s="12"/>
      <c r="I7875" s="12"/>
      <c r="J7875" s="12"/>
    </row>
    <row r="7876" spans="5:10" x14ac:dyDescent="0.25">
      <c r="E7876"/>
      <c r="F7876"/>
      <c r="G7876" s="12"/>
      <c r="H7876" s="12"/>
      <c r="I7876" s="12"/>
      <c r="J7876" s="12"/>
    </row>
    <row r="7877" spans="5:10" x14ac:dyDescent="0.25">
      <c r="E7877"/>
      <c r="F7877"/>
      <c r="G7877" s="12"/>
      <c r="H7877" s="12"/>
      <c r="I7877" s="12"/>
      <c r="J7877" s="12"/>
    </row>
    <row r="7878" spans="5:10" x14ac:dyDescent="0.25">
      <c r="E7878"/>
      <c r="F7878"/>
      <c r="G7878" s="12"/>
      <c r="H7878" s="12"/>
      <c r="I7878" s="12"/>
      <c r="J7878" s="12"/>
    </row>
    <row r="7879" spans="5:10" x14ac:dyDescent="0.25">
      <c r="E7879"/>
      <c r="F7879"/>
      <c r="G7879" s="12"/>
      <c r="H7879" s="12"/>
      <c r="I7879" s="12"/>
      <c r="J7879" s="12"/>
    </row>
    <row r="7880" spans="5:10" x14ac:dyDescent="0.25">
      <c r="E7880"/>
      <c r="F7880"/>
      <c r="G7880" s="12"/>
      <c r="H7880" s="12"/>
      <c r="I7880" s="12"/>
      <c r="J7880" s="12"/>
    </row>
    <row r="7881" spans="5:10" x14ac:dyDescent="0.25">
      <c r="E7881"/>
      <c r="F7881"/>
      <c r="G7881" s="12"/>
      <c r="H7881" s="12"/>
      <c r="I7881" s="12"/>
      <c r="J7881" s="12"/>
    </row>
    <row r="7882" spans="5:10" x14ac:dyDescent="0.25">
      <c r="E7882"/>
      <c r="F7882"/>
      <c r="G7882" s="12"/>
      <c r="H7882" s="12"/>
      <c r="I7882" s="12"/>
      <c r="J7882" s="12"/>
    </row>
    <row r="7883" spans="5:10" x14ac:dyDescent="0.25">
      <c r="E7883"/>
      <c r="F7883"/>
      <c r="G7883" s="12"/>
      <c r="H7883" s="12"/>
      <c r="I7883" s="12"/>
      <c r="J7883" s="12"/>
    </row>
    <row r="7884" spans="5:10" x14ac:dyDescent="0.25">
      <c r="E7884"/>
      <c r="F7884"/>
      <c r="G7884" s="12"/>
      <c r="H7884" s="12"/>
      <c r="I7884" s="12"/>
      <c r="J7884" s="12"/>
    </row>
    <row r="7885" spans="5:10" x14ac:dyDescent="0.25">
      <c r="E7885"/>
      <c r="F7885"/>
      <c r="G7885" s="12"/>
      <c r="H7885" s="12"/>
      <c r="I7885" s="12"/>
      <c r="J7885" s="12"/>
    </row>
    <row r="7886" spans="5:10" x14ac:dyDescent="0.25">
      <c r="E7886"/>
      <c r="F7886"/>
      <c r="G7886" s="12"/>
      <c r="H7886" s="12"/>
      <c r="I7886" s="12"/>
      <c r="J7886" s="12"/>
    </row>
    <row r="7887" spans="5:10" x14ac:dyDescent="0.25">
      <c r="E7887"/>
      <c r="F7887"/>
      <c r="G7887" s="12"/>
      <c r="H7887" s="12"/>
      <c r="I7887" s="12"/>
      <c r="J7887" s="12"/>
    </row>
    <row r="7888" spans="5:10" x14ac:dyDescent="0.25">
      <c r="E7888"/>
      <c r="F7888"/>
      <c r="G7888" s="12"/>
      <c r="H7888" s="12"/>
      <c r="I7888" s="12"/>
      <c r="J7888" s="12"/>
    </row>
    <row r="7889" spans="5:10" x14ac:dyDescent="0.25">
      <c r="E7889"/>
      <c r="F7889"/>
      <c r="G7889" s="12"/>
      <c r="H7889" s="12"/>
      <c r="I7889" s="12"/>
      <c r="J7889" s="12"/>
    </row>
    <row r="7890" spans="5:10" x14ac:dyDescent="0.25">
      <c r="E7890"/>
      <c r="F7890"/>
      <c r="G7890" s="12"/>
      <c r="H7890" s="12"/>
      <c r="I7890" s="12"/>
      <c r="J7890" s="12"/>
    </row>
    <row r="7891" spans="5:10" x14ac:dyDescent="0.25">
      <c r="E7891"/>
      <c r="F7891"/>
      <c r="G7891" s="12"/>
      <c r="H7891" s="12"/>
      <c r="I7891" s="12"/>
      <c r="J7891" s="12"/>
    </row>
    <row r="7892" spans="5:10" x14ac:dyDescent="0.25">
      <c r="E7892"/>
      <c r="F7892"/>
      <c r="G7892" s="12"/>
      <c r="H7892" s="12"/>
      <c r="I7892" s="12"/>
      <c r="J7892" s="12"/>
    </row>
    <row r="7893" spans="5:10" x14ac:dyDescent="0.25">
      <c r="E7893"/>
      <c r="F7893"/>
      <c r="G7893" s="12"/>
      <c r="H7893" s="12"/>
      <c r="I7893" s="12"/>
      <c r="J7893" s="12"/>
    </row>
    <row r="7894" spans="5:10" x14ac:dyDescent="0.25">
      <c r="E7894"/>
      <c r="F7894"/>
      <c r="G7894" s="12"/>
      <c r="H7894" s="12"/>
      <c r="I7894" s="12"/>
      <c r="J7894" s="12"/>
    </row>
    <row r="7895" spans="5:10" x14ac:dyDescent="0.25">
      <c r="E7895"/>
      <c r="F7895"/>
      <c r="G7895" s="12"/>
      <c r="H7895" s="12"/>
      <c r="I7895" s="12"/>
      <c r="J7895" s="12"/>
    </row>
    <row r="7896" spans="5:10" x14ac:dyDescent="0.25">
      <c r="E7896"/>
      <c r="F7896"/>
      <c r="G7896" s="12"/>
      <c r="H7896" s="12"/>
      <c r="I7896" s="12"/>
      <c r="J7896" s="12"/>
    </row>
    <row r="7897" spans="5:10" x14ac:dyDescent="0.25">
      <c r="E7897"/>
      <c r="F7897"/>
      <c r="G7897" s="12"/>
      <c r="H7897" s="12"/>
      <c r="I7897" s="12"/>
      <c r="J7897" s="12"/>
    </row>
    <row r="7898" spans="5:10" x14ac:dyDescent="0.25">
      <c r="E7898"/>
      <c r="F7898"/>
      <c r="G7898" s="12"/>
      <c r="H7898" s="12"/>
      <c r="I7898" s="12"/>
      <c r="J7898" s="12"/>
    </row>
    <row r="7899" spans="5:10" x14ac:dyDescent="0.25">
      <c r="E7899"/>
      <c r="F7899"/>
      <c r="G7899" s="12"/>
      <c r="H7899" s="12"/>
      <c r="I7899" s="12"/>
      <c r="J7899" s="12"/>
    </row>
    <row r="7900" spans="5:10" x14ac:dyDescent="0.25">
      <c r="E7900"/>
      <c r="F7900"/>
      <c r="G7900" s="12"/>
      <c r="H7900" s="12"/>
      <c r="I7900" s="12"/>
      <c r="J7900" s="12"/>
    </row>
    <row r="7901" spans="5:10" x14ac:dyDescent="0.25">
      <c r="E7901"/>
      <c r="F7901"/>
      <c r="G7901" s="12"/>
      <c r="H7901" s="12"/>
      <c r="I7901" s="12"/>
      <c r="J7901" s="12"/>
    </row>
    <row r="7902" spans="5:10" x14ac:dyDescent="0.25">
      <c r="E7902"/>
      <c r="F7902"/>
      <c r="G7902" s="12"/>
      <c r="H7902" s="12"/>
      <c r="I7902" s="12"/>
      <c r="J7902" s="12"/>
    </row>
    <row r="7903" spans="5:10" x14ac:dyDescent="0.25">
      <c r="E7903"/>
      <c r="F7903"/>
      <c r="G7903" s="12"/>
      <c r="H7903" s="12"/>
      <c r="I7903" s="12"/>
      <c r="J7903" s="12"/>
    </row>
    <row r="7904" spans="5:10" x14ac:dyDescent="0.25">
      <c r="E7904"/>
      <c r="F7904"/>
      <c r="G7904" s="12"/>
      <c r="H7904" s="12"/>
      <c r="I7904" s="12"/>
      <c r="J7904" s="12"/>
    </row>
    <row r="7905" spans="5:10" x14ac:dyDescent="0.25">
      <c r="E7905"/>
      <c r="F7905"/>
      <c r="G7905" s="12"/>
      <c r="H7905" s="12"/>
      <c r="I7905" s="12"/>
      <c r="J7905" s="12"/>
    </row>
    <row r="7906" spans="5:10" x14ac:dyDescent="0.25">
      <c r="E7906"/>
      <c r="F7906"/>
      <c r="G7906" s="12"/>
      <c r="H7906" s="12"/>
      <c r="I7906" s="12"/>
      <c r="J7906" s="12"/>
    </row>
    <row r="7907" spans="5:10" x14ac:dyDescent="0.25">
      <c r="E7907"/>
      <c r="F7907"/>
      <c r="G7907" s="12"/>
      <c r="H7907" s="12"/>
      <c r="I7907" s="12"/>
      <c r="J7907" s="12"/>
    </row>
    <row r="7908" spans="5:10" x14ac:dyDescent="0.25">
      <c r="E7908"/>
      <c r="F7908"/>
      <c r="G7908" s="12"/>
      <c r="H7908" s="12"/>
      <c r="I7908" s="12"/>
      <c r="J7908" s="12"/>
    </row>
    <row r="7909" spans="5:10" x14ac:dyDescent="0.25">
      <c r="E7909"/>
      <c r="F7909"/>
      <c r="G7909" s="12"/>
      <c r="H7909" s="12"/>
      <c r="I7909" s="12"/>
      <c r="J7909" s="12"/>
    </row>
    <row r="7910" spans="5:10" x14ac:dyDescent="0.25">
      <c r="E7910"/>
      <c r="F7910"/>
      <c r="G7910" s="12"/>
      <c r="H7910" s="12"/>
      <c r="I7910" s="12"/>
      <c r="J7910" s="12"/>
    </row>
    <row r="7911" spans="5:10" x14ac:dyDescent="0.25">
      <c r="E7911"/>
      <c r="F7911"/>
      <c r="G7911" s="12"/>
      <c r="H7911" s="12"/>
      <c r="I7911" s="12"/>
      <c r="J7911" s="12"/>
    </row>
    <row r="7912" spans="5:10" x14ac:dyDescent="0.25">
      <c r="E7912"/>
      <c r="F7912"/>
      <c r="G7912" s="12"/>
      <c r="H7912" s="12"/>
      <c r="I7912" s="12"/>
      <c r="J7912" s="12"/>
    </row>
    <row r="7913" spans="5:10" x14ac:dyDescent="0.25">
      <c r="E7913"/>
      <c r="F7913"/>
      <c r="G7913" s="12"/>
      <c r="H7913" s="12"/>
      <c r="I7913" s="12"/>
      <c r="J7913" s="12"/>
    </row>
    <row r="7914" spans="5:10" x14ac:dyDescent="0.25">
      <c r="E7914"/>
      <c r="F7914"/>
      <c r="G7914" s="12"/>
      <c r="H7914" s="12"/>
      <c r="I7914" s="12"/>
      <c r="J7914" s="12"/>
    </row>
    <row r="7915" spans="5:10" x14ac:dyDescent="0.25">
      <c r="E7915"/>
      <c r="F7915"/>
      <c r="G7915" s="12"/>
      <c r="H7915" s="12"/>
      <c r="I7915" s="12"/>
      <c r="J7915" s="12"/>
    </row>
    <row r="7916" spans="5:10" x14ac:dyDescent="0.25">
      <c r="E7916"/>
      <c r="F7916"/>
      <c r="G7916" s="12"/>
      <c r="H7916" s="12"/>
      <c r="I7916" s="12"/>
      <c r="J7916" s="12"/>
    </row>
    <row r="7917" spans="5:10" x14ac:dyDescent="0.25">
      <c r="E7917"/>
      <c r="F7917"/>
      <c r="G7917" s="12"/>
      <c r="H7917" s="12"/>
      <c r="I7917" s="12"/>
      <c r="J7917" s="12"/>
    </row>
    <row r="7918" spans="5:10" x14ac:dyDescent="0.25">
      <c r="E7918"/>
      <c r="F7918"/>
      <c r="G7918" s="12"/>
      <c r="H7918" s="12"/>
      <c r="I7918" s="12"/>
      <c r="J7918" s="12"/>
    </row>
    <row r="7919" spans="5:10" x14ac:dyDescent="0.25">
      <c r="E7919"/>
      <c r="F7919"/>
      <c r="G7919" s="12"/>
      <c r="H7919" s="12"/>
      <c r="I7919" s="12"/>
      <c r="J7919" s="12"/>
    </row>
    <row r="7920" spans="5:10" x14ac:dyDescent="0.25">
      <c r="E7920"/>
      <c r="F7920"/>
      <c r="G7920" s="12"/>
      <c r="H7920" s="12"/>
      <c r="I7920" s="12"/>
      <c r="J7920" s="12"/>
    </row>
    <row r="7921" spans="5:10" x14ac:dyDescent="0.25">
      <c r="E7921"/>
      <c r="F7921"/>
      <c r="G7921" s="12"/>
      <c r="H7921" s="12"/>
      <c r="I7921" s="12"/>
      <c r="J7921" s="12"/>
    </row>
    <row r="7922" spans="5:10" x14ac:dyDescent="0.25">
      <c r="E7922"/>
      <c r="F7922"/>
      <c r="G7922" s="12"/>
      <c r="H7922" s="12"/>
      <c r="I7922" s="12"/>
      <c r="J7922" s="12"/>
    </row>
    <row r="7923" spans="5:10" x14ac:dyDescent="0.25">
      <c r="E7923"/>
      <c r="F7923"/>
      <c r="G7923" s="12"/>
      <c r="H7923" s="12"/>
      <c r="I7923" s="12"/>
      <c r="J7923" s="12"/>
    </row>
    <row r="7924" spans="5:10" x14ac:dyDescent="0.25">
      <c r="E7924"/>
      <c r="F7924"/>
      <c r="G7924" s="12"/>
      <c r="H7924" s="12"/>
      <c r="I7924" s="12"/>
      <c r="J7924" s="12"/>
    </row>
    <row r="7925" spans="5:10" x14ac:dyDescent="0.25">
      <c r="E7925"/>
      <c r="F7925"/>
      <c r="G7925" s="12"/>
      <c r="H7925" s="12"/>
      <c r="I7925" s="12"/>
      <c r="J7925" s="12"/>
    </row>
    <row r="7926" spans="5:10" x14ac:dyDescent="0.25">
      <c r="E7926"/>
      <c r="F7926"/>
      <c r="G7926" s="12"/>
      <c r="H7926" s="12"/>
      <c r="I7926" s="12"/>
      <c r="J7926" s="12"/>
    </row>
    <row r="7927" spans="5:10" x14ac:dyDescent="0.25">
      <c r="E7927"/>
      <c r="F7927"/>
      <c r="G7927" s="12"/>
      <c r="H7927" s="12"/>
      <c r="I7927" s="12"/>
      <c r="J7927" s="12"/>
    </row>
    <row r="7928" spans="5:10" x14ac:dyDescent="0.25">
      <c r="E7928"/>
      <c r="F7928"/>
      <c r="G7928" s="12"/>
      <c r="H7928" s="12"/>
      <c r="I7928" s="12"/>
      <c r="J7928" s="12"/>
    </row>
    <row r="7929" spans="5:10" x14ac:dyDescent="0.25">
      <c r="E7929"/>
      <c r="F7929"/>
      <c r="G7929" s="12"/>
      <c r="H7929" s="12"/>
      <c r="I7929" s="12"/>
      <c r="J7929" s="12"/>
    </row>
    <row r="7930" spans="5:10" x14ac:dyDescent="0.25">
      <c r="E7930"/>
      <c r="F7930"/>
      <c r="G7930" s="12"/>
      <c r="H7930" s="12"/>
      <c r="I7930" s="12"/>
      <c r="J7930" s="12"/>
    </row>
    <row r="7931" spans="5:10" x14ac:dyDescent="0.25">
      <c r="E7931"/>
      <c r="F7931"/>
      <c r="G7931" s="12"/>
      <c r="H7931" s="12"/>
      <c r="I7931" s="12"/>
      <c r="J7931" s="12"/>
    </row>
    <row r="7932" spans="5:10" x14ac:dyDescent="0.25">
      <c r="E7932"/>
      <c r="F7932"/>
      <c r="G7932" s="12"/>
      <c r="H7932" s="12"/>
      <c r="I7932" s="12"/>
      <c r="J7932" s="12"/>
    </row>
    <row r="7933" spans="5:10" x14ac:dyDescent="0.25">
      <c r="E7933"/>
      <c r="F7933"/>
      <c r="G7933" s="12"/>
      <c r="H7933" s="12"/>
      <c r="I7933" s="12"/>
      <c r="J7933" s="12"/>
    </row>
    <row r="7934" spans="5:10" x14ac:dyDescent="0.25">
      <c r="E7934"/>
      <c r="F7934"/>
      <c r="G7934" s="12"/>
      <c r="H7934" s="12"/>
      <c r="I7934" s="12"/>
      <c r="J7934" s="12"/>
    </row>
    <row r="7935" spans="5:10" x14ac:dyDescent="0.25">
      <c r="E7935"/>
      <c r="F7935"/>
      <c r="G7935" s="12"/>
      <c r="H7935" s="12"/>
      <c r="I7935" s="12"/>
      <c r="J7935" s="12"/>
    </row>
    <row r="7936" spans="5:10" x14ac:dyDescent="0.25">
      <c r="E7936"/>
      <c r="F7936"/>
      <c r="G7936" s="12"/>
      <c r="H7936" s="12"/>
      <c r="I7936" s="12"/>
      <c r="J7936" s="12"/>
    </row>
    <row r="7937" spans="5:10" x14ac:dyDescent="0.25">
      <c r="E7937"/>
      <c r="F7937"/>
      <c r="G7937" s="12"/>
      <c r="H7937" s="12"/>
      <c r="I7937" s="12"/>
      <c r="J7937" s="12"/>
    </row>
    <row r="7938" spans="5:10" x14ac:dyDescent="0.25">
      <c r="E7938"/>
      <c r="F7938"/>
      <c r="G7938" s="12"/>
      <c r="H7938" s="12"/>
      <c r="I7938" s="12"/>
      <c r="J7938" s="12"/>
    </row>
    <row r="7939" spans="5:10" x14ac:dyDescent="0.25">
      <c r="E7939"/>
      <c r="F7939"/>
      <c r="G7939" s="12"/>
      <c r="H7939" s="12"/>
      <c r="I7939" s="12"/>
      <c r="J7939" s="12"/>
    </row>
    <row r="7940" spans="5:10" x14ac:dyDescent="0.25">
      <c r="E7940"/>
      <c r="F7940"/>
      <c r="G7940" s="12"/>
      <c r="H7940" s="12"/>
      <c r="I7940" s="12"/>
      <c r="J7940" s="12"/>
    </row>
    <row r="7941" spans="5:10" x14ac:dyDescent="0.25">
      <c r="E7941"/>
      <c r="F7941"/>
      <c r="G7941" s="12"/>
      <c r="H7941" s="12"/>
      <c r="I7941" s="12"/>
      <c r="J7941" s="12"/>
    </row>
    <row r="7942" spans="5:10" x14ac:dyDescent="0.25">
      <c r="E7942"/>
      <c r="F7942"/>
      <c r="G7942" s="12"/>
      <c r="H7942" s="12"/>
      <c r="I7942" s="12"/>
      <c r="J7942" s="12"/>
    </row>
    <row r="7943" spans="5:10" x14ac:dyDescent="0.25">
      <c r="E7943"/>
      <c r="F7943"/>
      <c r="G7943" s="12"/>
      <c r="H7943" s="12"/>
      <c r="I7943" s="12"/>
      <c r="J7943" s="12"/>
    </row>
    <row r="7944" spans="5:10" x14ac:dyDescent="0.25">
      <c r="E7944"/>
      <c r="F7944"/>
      <c r="G7944" s="12"/>
      <c r="H7944" s="12"/>
      <c r="I7944" s="12"/>
      <c r="J7944" s="12"/>
    </row>
    <row r="7945" spans="5:10" x14ac:dyDescent="0.25">
      <c r="E7945"/>
      <c r="F7945"/>
      <c r="G7945" s="12"/>
      <c r="H7945" s="12"/>
      <c r="I7945" s="12"/>
      <c r="J7945" s="12"/>
    </row>
    <row r="7946" spans="5:10" x14ac:dyDescent="0.25">
      <c r="E7946"/>
      <c r="F7946"/>
      <c r="G7946" s="12"/>
      <c r="H7946" s="12"/>
      <c r="I7946" s="12"/>
      <c r="J7946" s="12"/>
    </row>
    <row r="7947" spans="5:10" x14ac:dyDescent="0.25">
      <c r="E7947"/>
      <c r="F7947"/>
      <c r="G7947" s="12"/>
      <c r="H7947" s="12"/>
      <c r="I7947" s="12"/>
      <c r="J7947" s="12"/>
    </row>
    <row r="7948" spans="5:10" x14ac:dyDescent="0.25">
      <c r="E7948"/>
      <c r="F7948"/>
      <c r="G7948" s="12"/>
      <c r="H7948" s="12"/>
      <c r="I7948" s="12"/>
      <c r="J7948" s="12"/>
    </row>
    <row r="7949" spans="5:10" x14ac:dyDescent="0.25">
      <c r="E7949"/>
      <c r="F7949"/>
      <c r="G7949" s="12"/>
      <c r="H7949" s="12"/>
      <c r="I7949" s="12"/>
      <c r="J7949" s="12"/>
    </row>
    <row r="7950" spans="5:10" x14ac:dyDescent="0.25">
      <c r="E7950"/>
      <c r="F7950"/>
      <c r="G7950" s="12"/>
      <c r="H7950" s="12"/>
      <c r="I7950" s="12"/>
      <c r="J7950" s="12"/>
    </row>
    <row r="7951" spans="5:10" x14ac:dyDescent="0.25">
      <c r="E7951"/>
      <c r="F7951"/>
      <c r="G7951" s="12"/>
      <c r="H7951" s="12"/>
      <c r="I7951" s="12"/>
      <c r="J7951" s="12"/>
    </row>
    <row r="7952" spans="5:10" x14ac:dyDescent="0.25">
      <c r="E7952"/>
      <c r="F7952"/>
      <c r="G7952" s="12"/>
      <c r="H7952" s="12"/>
      <c r="I7952" s="12"/>
      <c r="J7952" s="12"/>
    </row>
    <row r="7953" spans="5:10" x14ac:dyDescent="0.25">
      <c r="E7953"/>
      <c r="F7953"/>
      <c r="G7953" s="12"/>
      <c r="H7953" s="12"/>
      <c r="I7953" s="12"/>
      <c r="J7953" s="12"/>
    </row>
    <row r="7954" spans="5:10" x14ac:dyDescent="0.25">
      <c r="E7954"/>
      <c r="F7954"/>
      <c r="G7954" s="12"/>
      <c r="H7954" s="12"/>
      <c r="I7954" s="12"/>
      <c r="J7954" s="12"/>
    </row>
    <row r="7955" spans="5:10" x14ac:dyDescent="0.25">
      <c r="E7955"/>
      <c r="F7955"/>
      <c r="G7955" s="12"/>
      <c r="H7955" s="12"/>
      <c r="I7955" s="12"/>
      <c r="J7955" s="12"/>
    </row>
    <row r="7956" spans="5:10" x14ac:dyDescent="0.25">
      <c r="E7956"/>
      <c r="F7956"/>
      <c r="G7956" s="12"/>
      <c r="H7956" s="12"/>
      <c r="I7956" s="12"/>
      <c r="J7956" s="12"/>
    </row>
    <row r="7957" spans="5:10" x14ac:dyDescent="0.25">
      <c r="E7957"/>
      <c r="F7957"/>
      <c r="G7957" s="12"/>
      <c r="H7957" s="12"/>
      <c r="I7957" s="12"/>
      <c r="J7957" s="12"/>
    </row>
    <row r="7958" spans="5:10" x14ac:dyDescent="0.25">
      <c r="E7958"/>
      <c r="F7958"/>
      <c r="G7958" s="12"/>
      <c r="H7958" s="12"/>
      <c r="I7958" s="12"/>
      <c r="J7958" s="12"/>
    </row>
    <row r="7959" spans="5:10" x14ac:dyDescent="0.25">
      <c r="E7959"/>
      <c r="F7959"/>
      <c r="G7959" s="12"/>
      <c r="H7959" s="12"/>
      <c r="I7959" s="12"/>
      <c r="J7959" s="12"/>
    </row>
    <row r="7960" spans="5:10" x14ac:dyDescent="0.25">
      <c r="E7960"/>
      <c r="F7960"/>
      <c r="G7960" s="12"/>
      <c r="H7960" s="12"/>
      <c r="I7960" s="12"/>
      <c r="J7960" s="12"/>
    </row>
    <row r="7961" spans="5:10" x14ac:dyDescent="0.25">
      <c r="E7961"/>
      <c r="F7961"/>
      <c r="G7961" s="12"/>
      <c r="H7961" s="12"/>
      <c r="I7961" s="12"/>
      <c r="J7961" s="12"/>
    </row>
    <row r="7962" spans="5:10" x14ac:dyDescent="0.25">
      <c r="E7962"/>
      <c r="F7962"/>
      <c r="G7962" s="12"/>
      <c r="H7962" s="12"/>
      <c r="I7962" s="12"/>
      <c r="J7962" s="12"/>
    </row>
    <row r="7963" spans="5:10" x14ac:dyDescent="0.25">
      <c r="E7963"/>
      <c r="F7963"/>
      <c r="G7963" s="12"/>
      <c r="H7963" s="12"/>
      <c r="I7963" s="12"/>
      <c r="J7963" s="12"/>
    </row>
    <row r="7964" spans="5:10" x14ac:dyDescent="0.25">
      <c r="E7964"/>
      <c r="F7964"/>
      <c r="G7964" s="12"/>
      <c r="H7964" s="12"/>
      <c r="I7964" s="12"/>
      <c r="J7964" s="12"/>
    </row>
    <row r="7965" spans="5:10" x14ac:dyDescent="0.25">
      <c r="E7965"/>
      <c r="F7965"/>
      <c r="G7965" s="12"/>
      <c r="H7965" s="12"/>
      <c r="I7965" s="12"/>
      <c r="J7965" s="12"/>
    </row>
    <row r="7966" spans="5:10" x14ac:dyDescent="0.25">
      <c r="E7966"/>
      <c r="F7966"/>
      <c r="G7966" s="12"/>
      <c r="H7966" s="12"/>
      <c r="I7966" s="12"/>
      <c r="J7966" s="12"/>
    </row>
    <row r="7967" spans="5:10" x14ac:dyDescent="0.25">
      <c r="E7967"/>
      <c r="F7967"/>
      <c r="G7967" s="12"/>
      <c r="H7967" s="12"/>
      <c r="I7967" s="12"/>
      <c r="J7967" s="12"/>
    </row>
    <row r="7968" spans="5:10" x14ac:dyDescent="0.25">
      <c r="E7968"/>
      <c r="F7968"/>
      <c r="G7968" s="12"/>
      <c r="H7968" s="12"/>
      <c r="I7968" s="12"/>
      <c r="J7968" s="12"/>
    </row>
    <row r="7969" spans="5:10" x14ac:dyDescent="0.25">
      <c r="E7969"/>
      <c r="F7969"/>
      <c r="G7969" s="12"/>
      <c r="H7969" s="12"/>
      <c r="I7969" s="12"/>
      <c r="J7969" s="12"/>
    </row>
    <row r="7970" spans="5:10" x14ac:dyDescent="0.25">
      <c r="E7970"/>
      <c r="F7970"/>
      <c r="G7970" s="12"/>
      <c r="H7970" s="12"/>
      <c r="I7970" s="12"/>
      <c r="J7970" s="12"/>
    </row>
    <row r="7971" spans="5:10" x14ac:dyDescent="0.25">
      <c r="E7971"/>
      <c r="F7971"/>
      <c r="G7971" s="12"/>
      <c r="H7971" s="12"/>
      <c r="I7971" s="12"/>
      <c r="J7971" s="12"/>
    </row>
    <row r="7972" spans="5:10" x14ac:dyDescent="0.25">
      <c r="E7972"/>
      <c r="F7972"/>
      <c r="G7972" s="12"/>
      <c r="H7972" s="12"/>
      <c r="I7972" s="12"/>
      <c r="J7972" s="12"/>
    </row>
    <row r="7973" spans="5:10" x14ac:dyDescent="0.25">
      <c r="E7973"/>
      <c r="F7973"/>
      <c r="G7973" s="12"/>
      <c r="H7973" s="12"/>
      <c r="I7973" s="12"/>
      <c r="J7973" s="12"/>
    </row>
    <row r="7974" spans="5:10" x14ac:dyDescent="0.25">
      <c r="E7974"/>
      <c r="F7974"/>
      <c r="G7974" s="12"/>
      <c r="H7974" s="12"/>
      <c r="I7974" s="12"/>
      <c r="J7974" s="12"/>
    </row>
    <row r="7975" spans="5:10" x14ac:dyDescent="0.25">
      <c r="E7975"/>
      <c r="F7975"/>
      <c r="G7975" s="12"/>
      <c r="H7975" s="12"/>
      <c r="I7975" s="12"/>
      <c r="J7975" s="12"/>
    </row>
    <row r="7976" spans="5:10" x14ac:dyDescent="0.25">
      <c r="E7976"/>
      <c r="F7976"/>
      <c r="G7976" s="12"/>
      <c r="H7976" s="12"/>
      <c r="I7976" s="12"/>
      <c r="J7976" s="12"/>
    </row>
    <row r="7977" spans="5:10" x14ac:dyDescent="0.25">
      <c r="E7977"/>
      <c r="F7977"/>
      <c r="G7977" s="12"/>
      <c r="H7977" s="12"/>
      <c r="I7977" s="12"/>
      <c r="J7977" s="12"/>
    </row>
    <row r="7978" spans="5:10" x14ac:dyDescent="0.25">
      <c r="E7978"/>
      <c r="F7978"/>
      <c r="G7978" s="12"/>
      <c r="H7978" s="12"/>
      <c r="I7978" s="12"/>
      <c r="J7978" s="12"/>
    </row>
    <row r="7979" spans="5:10" x14ac:dyDescent="0.25">
      <c r="E7979"/>
      <c r="F7979"/>
      <c r="G7979" s="12"/>
      <c r="H7979" s="12"/>
      <c r="I7979" s="12"/>
      <c r="J7979" s="12"/>
    </row>
    <row r="7980" spans="5:10" x14ac:dyDescent="0.25">
      <c r="E7980"/>
      <c r="F7980"/>
      <c r="G7980" s="12"/>
      <c r="H7980" s="12"/>
      <c r="I7980" s="12"/>
      <c r="J7980" s="12"/>
    </row>
    <row r="7981" spans="5:10" x14ac:dyDescent="0.25">
      <c r="E7981"/>
      <c r="F7981"/>
      <c r="G7981" s="12"/>
      <c r="H7981" s="12"/>
      <c r="I7981" s="12"/>
      <c r="J7981" s="12"/>
    </row>
    <row r="7982" spans="5:10" x14ac:dyDescent="0.25">
      <c r="E7982"/>
      <c r="F7982"/>
      <c r="G7982" s="12"/>
      <c r="H7982" s="12"/>
      <c r="I7982" s="12"/>
      <c r="J7982" s="12"/>
    </row>
    <row r="7983" spans="5:10" x14ac:dyDescent="0.25">
      <c r="E7983"/>
      <c r="F7983"/>
      <c r="G7983" s="12"/>
      <c r="H7983" s="12"/>
      <c r="I7983" s="12"/>
      <c r="J7983" s="12"/>
    </row>
    <row r="7984" spans="5:10" x14ac:dyDescent="0.25">
      <c r="E7984"/>
      <c r="F7984"/>
      <c r="G7984" s="12"/>
      <c r="H7984" s="12"/>
      <c r="I7984" s="12"/>
      <c r="J7984" s="12"/>
    </row>
    <row r="7985" spans="5:10" x14ac:dyDescent="0.25">
      <c r="E7985"/>
      <c r="F7985"/>
      <c r="G7985" s="12"/>
      <c r="H7985" s="12"/>
      <c r="I7985" s="12"/>
      <c r="J7985" s="12"/>
    </row>
    <row r="7986" spans="5:10" x14ac:dyDescent="0.25">
      <c r="E7986"/>
      <c r="F7986"/>
      <c r="G7986" s="12"/>
      <c r="H7986" s="12"/>
      <c r="I7986" s="12"/>
      <c r="J7986" s="12"/>
    </row>
    <row r="7987" spans="5:10" x14ac:dyDescent="0.25">
      <c r="E7987"/>
      <c r="F7987"/>
      <c r="G7987" s="12"/>
      <c r="H7987" s="12"/>
      <c r="I7987" s="12"/>
      <c r="J7987" s="12"/>
    </row>
    <row r="7988" spans="5:10" x14ac:dyDescent="0.25">
      <c r="E7988"/>
      <c r="F7988"/>
      <c r="G7988" s="12"/>
      <c r="H7988" s="12"/>
      <c r="I7988" s="12"/>
      <c r="J7988" s="12"/>
    </row>
    <row r="7989" spans="5:10" x14ac:dyDescent="0.25">
      <c r="E7989"/>
      <c r="F7989"/>
      <c r="G7989" s="12"/>
      <c r="H7989" s="12"/>
      <c r="I7989" s="12"/>
      <c r="J7989" s="12"/>
    </row>
    <row r="7990" spans="5:10" x14ac:dyDescent="0.25">
      <c r="E7990"/>
      <c r="F7990"/>
      <c r="G7990" s="12"/>
      <c r="H7990" s="12"/>
      <c r="I7990" s="12"/>
      <c r="J7990" s="12"/>
    </row>
    <row r="7991" spans="5:10" x14ac:dyDescent="0.25">
      <c r="E7991"/>
      <c r="F7991"/>
      <c r="G7991" s="12"/>
      <c r="H7991" s="12"/>
      <c r="I7991" s="12"/>
      <c r="J7991" s="12"/>
    </row>
    <row r="7992" spans="5:10" x14ac:dyDescent="0.25">
      <c r="E7992"/>
      <c r="F7992"/>
      <c r="G7992" s="12"/>
      <c r="H7992" s="12"/>
      <c r="I7992" s="12"/>
      <c r="J7992" s="12"/>
    </row>
    <row r="7993" spans="5:10" x14ac:dyDescent="0.25">
      <c r="E7993"/>
      <c r="F7993"/>
      <c r="G7993" s="12"/>
      <c r="H7993" s="12"/>
      <c r="I7993" s="12"/>
      <c r="J7993" s="12"/>
    </row>
    <row r="7994" spans="5:10" x14ac:dyDescent="0.25">
      <c r="E7994"/>
      <c r="F7994"/>
      <c r="G7994" s="12"/>
      <c r="H7994" s="12"/>
      <c r="I7994" s="12"/>
      <c r="J7994" s="12"/>
    </row>
    <row r="7995" spans="5:10" x14ac:dyDescent="0.25">
      <c r="E7995"/>
      <c r="F7995"/>
      <c r="G7995" s="12"/>
      <c r="H7995" s="12"/>
      <c r="I7995" s="12"/>
      <c r="J7995" s="12"/>
    </row>
    <row r="7996" spans="5:10" x14ac:dyDescent="0.25">
      <c r="E7996"/>
      <c r="F7996"/>
      <c r="G7996" s="12"/>
      <c r="H7996" s="12"/>
      <c r="I7996" s="12"/>
      <c r="J7996" s="12"/>
    </row>
    <row r="7997" spans="5:10" x14ac:dyDescent="0.25">
      <c r="E7997"/>
      <c r="F7997"/>
      <c r="G7997" s="12"/>
      <c r="H7997" s="12"/>
      <c r="I7997" s="12"/>
      <c r="J7997" s="12"/>
    </row>
    <row r="7998" spans="5:10" x14ac:dyDescent="0.25">
      <c r="E7998"/>
      <c r="F7998"/>
      <c r="G7998" s="12"/>
      <c r="H7998" s="12"/>
      <c r="I7998" s="12"/>
      <c r="J7998" s="12"/>
    </row>
    <row r="7999" spans="5:10" x14ac:dyDescent="0.25">
      <c r="E7999"/>
      <c r="F7999"/>
      <c r="G7999" s="12"/>
      <c r="H7999" s="12"/>
      <c r="I7999" s="12"/>
      <c r="J7999" s="12"/>
    </row>
    <row r="8000" spans="5:10" x14ac:dyDescent="0.25">
      <c r="E8000"/>
      <c r="F8000"/>
      <c r="G8000" s="12"/>
      <c r="H8000" s="12"/>
      <c r="I8000" s="12"/>
      <c r="J8000" s="12"/>
    </row>
    <row r="8001" spans="5:10" x14ac:dyDescent="0.25">
      <c r="E8001"/>
      <c r="F8001"/>
      <c r="G8001" s="12"/>
      <c r="H8001" s="12"/>
      <c r="I8001" s="12"/>
      <c r="J8001" s="12"/>
    </row>
    <row r="8002" spans="5:10" x14ac:dyDescent="0.25">
      <c r="E8002"/>
      <c r="F8002"/>
      <c r="G8002" s="12"/>
      <c r="H8002" s="12"/>
      <c r="I8002" s="12"/>
      <c r="J8002" s="12"/>
    </row>
    <row r="8003" spans="5:10" x14ac:dyDescent="0.25">
      <c r="E8003"/>
      <c r="F8003"/>
      <c r="G8003" s="12"/>
      <c r="H8003" s="12"/>
      <c r="I8003" s="12"/>
      <c r="J8003" s="12"/>
    </row>
    <row r="8004" spans="5:10" x14ac:dyDescent="0.25">
      <c r="E8004"/>
      <c r="F8004"/>
      <c r="G8004" s="12"/>
      <c r="H8004" s="12"/>
      <c r="I8004" s="12"/>
      <c r="J8004" s="12"/>
    </row>
    <row r="8005" spans="5:10" x14ac:dyDescent="0.25">
      <c r="E8005"/>
      <c r="F8005"/>
      <c r="G8005" s="12"/>
      <c r="H8005" s="12"/>
      <c r="I8005" s="12"/>
      <c r="J8005" s="12"/>
    </row>
    <row r="8006" spans="5:10" x14ac:dyDescent="0.25">
      <c r="E8006"/>
      <c r="F8006"/>
      <c r="G8006" s="12"/>
      <c r="H8006" s="12"/>
      <c r="I8006" s="12"/>
      <c r="J8006" s="12"/>
    </row>
    <row r="8007" spans="5:10" x14ac:dyDescent="0.25">
      <c r="E8007"/>
      <c r="F8007"/>
      <c r="G8007" s="12"/>
      <c r="H8007" s="12"/>
      <c r="I8007" s="12"/>
      <c r="J8007" s="12"/>
    </row>
    <row r="8008" spans="5:10" x14ac:dyDescent="0.25">
      <c r="E8008"/>
      <c r="F8008"/>
      <c r="G8008" s="12"/>
      <c r="H8008" s="12"/>
      <c r="I8008" s="12"/>
      <c r="J8008" s="12"/>
    </row>
    <row r="8009" spans="5:10" x14ac:dyDescent="0.25">
      <c r="E8009"/>
      <c r="F8009"/>
      <c r="G8009" s="12"/>
      <c r="H8009" s="12"/>
      <c r="I8009" s="12"/>
      <c r="J8009" s="12"/>
    </row>
    <row r="8010" spans="5:10" x14ac:dyDescent="0.25">
      <c r="E8010"/>
      <c r="F8010"/>
      <c r="G8010" s="12"/>
      <c r="H8010" s="12"/>
      <c r="I8010" s="12"/>
      <c r="J8010" s="12"/>
    </row>
    <row r="8011" spans="5:10" x14ac:dyDescent="0.25">
      <c r="E8011"/>
      <c r="F8011"/>
      <c r="G8011" s="12"/>
      <c r="H8011" s="12"/>
      <c r="I8011" s="12"/>
      <c r="J8011" s="12"/>
    </row>
    <row r="8012" spans="5:10" x14ac:dyDescent="0.25">
      <c r="E8012"/>
      <c r="F8012"/>
      <c r="G8012" s="12"/>
      <c r="H8012" s="12"/>
      <c r="I8012" s="12"/>
      <c r="J8012" s="12"/>
    </row>
    <row r="8013" spans="5:10" x14ac:dyDescent="0.25">
      <c r="E8013"/>
      <c r="F8013"/>
      <c r="G8013" s="12"/>
      <c r="H8013" s="12"/>
      <c r="I8013" s="12"/>
      <c r="J8013" s="12"/>
    </row>
    <row r="8014" spans="5:10" x14ac:dyDescent="0.25">
      <c r="E8014"/>
      <c r="F8014"/>
      <c r="G8014" s="12"/>
      <c r="H8014" s="12"/>
      <c r="I8014" s="12"/>
      <c r="J8014" s="12"/>
    </row>
    <row r="8015" spans="5:10" x14ac:dyDescent="0.25">
      <c r="E8015"/>
      <c r="F8015"/>
      <c r="G8015" s="12"/>
      <c r="H8015" s="12"/>
      <c r="I8015" s="12"/>
      <c r="J8015" s="12"/>
    </row>
    <row r="8016" spans="5:10" x14ac:dyDescent="0.25">
      <c r="E8016"/>
      <c r="F8016"/>
      <c r="G8016" s="12"/>
      <c r="H8016" s="12"/>
      <c r="I8016" s="12"/>
      <c r="J8016" s="12"/>
    </row>
    <row r="8017" spans="5:10" x14ac:dyDescent="0.25">
      <c r="E8017"/>
      <c r="F8017"/>
      <c r="G8017" s="12"/>
      <c r="H8017" s="12"/>
      <c r="I8017" s="12"/>
      <c r="J8017" s="12"/>
    </row>
    <row r="8018" spans="5:10" x14ac:dyDescent="0.25">
      <c r="E8018"/>
      <c r="F8018"/>
      <c r="G8018" s="12"/>
      <c r="H8018" s="12"/>
      <c r="I8018" s="12"/>
      <c r="J8018" s="12"/>
    </row>
    <row r="8019" spans="5:10" x14ac:dyDescent="0.25">
      <c r="E8019"/>
      <c r="F8019"/>
      <c r="G8019" s="12"/>
      <c r="H8019" s="12"/>
      <c r="I8019" s="12"/>
      <c r="J8019" s="12"/>
    </row>
    <row r="8020" spans="5:10" x14ac:dyDescent="0.25">
      <c r="E8020"/>
      <c r="F8020"/>
      <c r="G8020" s="12"/>
      <c r="H8020" s="12"/>
      <c r="I8020" s="12"/>
      <c r="J8020" s="12"/>
    </row>
    <row r="8021" spans="5:10" x14ac:dyDescent="0.25">
      <c r="E8021"/>
      <c r="F8021"/>
      <c r="G8021" s="12"/>
      <c r="H8021" s="12"/>
      <c r="I8021" s="12"/>
      <c r="J8021" s="12"/>
    </row>
    <row r="8022" spans="5:10" x14ac:dyDescent="0.25">
      <c r="E8022"/>
      <c r="F8022"/>
      <c r="G8022" s="12"/>
      <c r="H8022" s="12"/>
      <c r="I8022" s="12"/>
      <c r="J8022" s="12"/>
    </row>
    <row r="8023" spans="5:10" x14ac:dyDescent="0.25">
      <c r="E8023"/>
      <c r="F8023"/>
      <c r="G8023" s="12"/>
      <c r="H8023" s="12"/>
      <c r="I8023" s="12"/>
      <c r="J8023" s="12"/>
    </row>
    <row r="8024" spans="5:10" x14ac:dyDescent="0.25">
      <c r="E8024"/>
      <c r="F8024"/>
      <c r="G8024" s="12"/>
      <c r="H8024" s="12"/>
      <c r="I8024" s="12"/>
      <c r="J8024" s="12"/>
    </row>
    <row r="8025" spans="5:10" x14ac:dyDescent="0.25">
      <c r="E8025"/>
      <c r="F8025"/>
      <c r="G8025" s="12"/>
      <c r="H8025" s="12"/>
      <c r="I8025" s="12"/>
      <c r="J8025" s="12"/>
    </row>
    <row r="8026" spans="5:10" x14ac:dyDescent="0.25">
      <c r="E8026"/>
      <c r="F8026"/>
      <c r="G8026" s="12"/>
      <c r="H8026" s="12"/>
      <c r="I8026" s="12"/>
      <c r="J8026" s="12"/>
    </row>
    <row r="8027" spans="5:10" x14ac:dyDescent="0.25">
      <c r="E8027"/>
      <c r="F8027"/>
      <c r="G8027" s="12"/>
      <c r="H8027" s="12"/>
      <c r="I8027" s="12"/>
      <c r="J8027" s="12"/>
    </row>
    <row r="8028" spans="5:10" x14ac:dyDescent="0.25">
      <c r="E8028"/>
      <c r="F8028"/>
      <c r="G8028" s="12"/>
      <c r="H8028" s="12"/>
      <c r="I8028" s="12"/>
      <c r="J8028" s="12"/>
    </row>
    <row r="8029" spans="5:10" x14ac:dyDescent="0.25">
      <c r="E8029"/>
      <c r="F8029"/>
      <c r="G8029" s="12"/>
      <c r="H8029" s="12"/>
      <c r="I8029" s="12"/>
      <c r="J8029" s="12"/>
    </row>
    <row r="8030" spans="5:10" x14ac:dyDescent="0.25">
      <c r="E8030"/>
      <c r="F8030"/>
      <c r="G8030" s="12"/>
      <c r="H8030" s="12"/>
      <c r="I8030" s="12"/>
      <c r="J8030" s="12"/>
    </row>
    <row r="8031" spans="5:10" x14ac:dyDescent="0.25">
      <c r="E8031"/>
      <c r="F8031"/>
      <c r="G8031" s="12"/>
      <c r="H8031" s="12"/>
      <c r="I8031" s="12"/>
      <c r="J8031" s="12"/>
    </row>
    <row r="8032" spans="5:10" x14ac:dyDescent="0.25">
      <c r="E8032"/>
      <c r="F8032"/>
      <c r="G8032" s="12"/>
      <c r="H8032" s="12"/>
      <c r="I8032" s="12"/>
      <c r="J8032" s="12"/>
    </row>
    <row r="8033" spans="5:10" x14ac:dyDescent="0.25">
      <c r="E8033"/>
      <c r="F8033"/>
      <c r="G8033" s="12"/>
      <c r="H8033" s="12"/>
      <c r="I8033" s="12"/>
      <c r="J8033" s="12"/>
    </row>
    <row r="8034" spans="5:10" x14ac:dyDescent="0.25">
      <c r="E8034"/>
      <c r="F8034"/>
      <c r="G8034" s="12"/>
      <c r="H8034" s="12"/>
      <c r="I8034" s="12"/>
      <c r="J8034" s="12"/>
    </row>
    <row r="8035" spans="5:10" x14ac:dyDescent="0.25">
      <c r="E8035"/>
      <c r="F8035"/>
      <c r="G8035" s="12"/>
      <c r="H8035" s="12"/>
      <c r="I8035" s="12"/>
      <c r="J8035" s="12"/>
    </row>
    <row r="8036" spans="5:10" x14ac:dyDescent="0.25">
      <c r="E8036"/>
      <c r="F8036"/>
      <c r="G8036" s="12"/>
      <c r="H8036" s="12"/>
      <c r="I8036" s="12"/>
      <c r="J8036" s="12"/>
    </row>
    <row r="8037" spans="5:10" x14ac:dyDescent="0.25">
      <c r="E8037"/>
      <c r="F8037"/>
      <c r="G8037" s="12"/>
      <c r="H8037" s="12"/>
      <c r="I8037" s="12"/>
      <c r="J8037" s="12"/>
    </row>
    <row r="8038" spans="5:10" x14ac:dyDescent="0.25">
      <c r="E8038"/>
      <c r="F8038"/>
      <c r="G8038" s="12"/>
      <c r="H8038" s="12"/>
      <c r="I8038" s="12"/>
      <c r="J8038" s="12"/>
    </row>
    <row r="8039" spans="5:10" x14ac:dyDescent="0.25">
      <c r="E8039"/>
      <c r="F8039"/>
      <c r="G8039" s="12"/>
      <c r="H8039" s="12"/>
      <c r="I8039" s="12"/>
      <c r="J8039" s="12"/>
    </row>
    <row r="8040" spans="5:10" x14ac:dyDescent="0.25">
      <c r="E8040"/>
      <c r="F8040"/>
      <c r="G8040" s="12"/>
      <c r="H8040" s="12"/>
      <c r="I8040" s="12"/>
      <c r="J8040" s="12"/>
    </row>
    <row r="8041" spans="5:10" x14ac:dyDescent="0.25">
      <c r="E8041"/>
      <c r="F8041"/>
      <c r="G8041" s="12"/>
      <c r="H8041" s="12"/>
      <c r="I8041" s="12"/>
      <c r="J8041" s="12"/>
    </row>
    <row r="8042" spans="5:10" x14ac:dyDescent="0.25">
      <c r="E8042"/>
      <c r="F8042"/>
      <c r="G8042" s="12"/>
      <c r="H8042" s="12"/>
      <c r="I8042" s="12"/>
      <c r="J8042" s="12"/>
    </row>
    <row r="8043" spans="5:10" x14ac:dyDescent="0.25">
      <c r="E8043"/>
      <c r="F8043"/>
      <c r="G8043" s="12"/>
      <c r="H8043" s="12"/>
      <c r="I8043" s="12"/>
      <c r="J8043" s="12"/>
    </row>
    <row r="8044" spans="5:10" x14ac:dyDescent="0.25">
      <c r="E8044"/>
      <c r="F8044"/>
      <c r="G8044" s="12"/>
      <c r="H8044" s="12"/>
      <c r="I8044" s="12"/>
      <c r="J8044" s="12"/>
    </row>
    <row r="8045" spans="5:10" x14ac:dyDescent="0.25">
      <c r="E8045"/>
      <c r="F8045"/>
      <c r="G8045" s="12"/>
      <c r="H8045" s="12"/>
      <c r="I8045" s="12"/>
      <c r="J8045" s="12"/>
    </row>
    <row r="8046" spans="5:10" x14ac:dyDescent="0.25">
      <c r="E8046"/>
      <c r="F8046"/>
      <c r="G8046" s="12"/>
      <c r="H8046" s="12"/>
      <c r="I8046" s="12"/>
      <c r="J8046" s="12"/>
    </row>
    <row r="8047" spans="5:10" x14ac:dyDescent="0.25">
      <c r="E8047"/>
      <c r="F8047"/>
      <c r="G8047" s="12"/>
      <c r="H8047" s="12"/>
      <c r="I8047" s="12"/>
      <c r="J8047" s="12"/>
    </row>
    <row r="8048" spans="5:10" x14ac:dyDescent="0.25">
      <c r="E8048"/>
      <c r="F8048"/>
      <c r="G8048" s="12"/>
      <c r="H8048" s="12"/>
      <c r="I8048" s="12"/>
      <c r="J8048" s="12"/>
    </row>
    <row r="8049" spans="5:10" x14ac:dyDescent="0.25">
      <c r="E8049"/>
      <c r="F8049"/>
      <c r="G8049" s="12"/>
      <c r="H8049" s="12"/>
      <c r="I8049" s="12"/>
      <c r="J8049" s="12"/>
    </row>
    <row r="8050" spans="5:10" x14ac:dyDescent="0.25">
      <c r="E8050"/>
      <c r="F8050"/>
      <c r="G8050" s="12"/>
      <c r="H8050" s="12"/>
      <c r="I8050" s="12"/>
      <c r="J8050" s="12"/>
    </row>
    <row r="8051" spans="5:10" x14ac:dyDescent="0.25">
      <c r="E8051"/>
      <c r="F8051"/>
      <c r="G8051" s="12"/>
      <c r="H8051" s="12"/>
      <c r="I8051" s="12"/>
      <c r="J8051" s="12"/>
    </row>
    <row r="8052" spans="5:10" x14ac:dyDescent="0.25">
      <c r="E8052"/>
      <c r="F8052"/>
      <c r="G8052" s="12"/>
      <c r="H8052" s="12"/>
      <c r="I8052" s="12"/>
      <c r="J8052" s="12"/>
    </row>
    <row r="8053" spans="5:10" x14ac:dyDescent="0.25">
      <c r="E8053"/>
      <c r="F8053"/>
      <c r="G8053" s="12"/>
      <c r="H8053" s="12"/>
      <c r="I8053" s="12"/>
      <c r="J8053" s="12"/>
    </row>
    <row r="8054" spans="5:10" x14ac:dyDescent="0.25">
      <c r="E8054"/>
      <c r="F8054"/>
      <c r="G8054" s="12"/>
      <c r="H8054" s="12"/>
      <c r="I8054" s="12"/>
      <c r="J8054" s="12"/>
    </row>
    <row r="8055" spans="5:10" x14ac:dyDescent="0.25">
      <c r="E8055"/>
      <c r="F8055"/>
      <c r="G8055" s="12"/>
      <c r="H8055" s="12"/>
      <c r="I8055" s="12"/>
      <c r="J8055" s="12"/>
    </row>
    <row r="8056" spans="5:10" x14ac:dyDescent="0.25">
      <c r="E8056"/>
      <c r="F8056"/>
      <c r="G8056" s="12"/>
      <c r="H8056" s="12"/>
      <c r="I8056" s="12"/>
      <c r="J8056" s="12"/>
    </row>
    <row r="8057" spans="5:10" x14ac:dyDescent="0.25">
      <c r="E8057"/>
      <c r="F8057"/>
      <c r="G8057" s="12"/>
      <c r="H8057" s="12"/>
      <c r="I8057" s="12"/>
      <c r="J8057" s="12"/>
    </row>
    <row r="8058" spans="5:10" x14ac:dyDescent="0.25">
      <c r="E8058"/>
      <c r="F8058"/>
      <c r="G8058" s="12"/>
      <c r="H8058" s="12"/>
      <c r="I8058" s="12"/>
      <c r="J8058" s="12"/>
    </row>
    <row r="8059" spans="5:10" x14ac:dyDescent="0.25">
      <c r="E8059"/>
      <c r="F8059"/>
      <c r="G8059" s="12"/>
      <c r="H8059" s="12"/>
      <c r="I8059" s="12"/>
      <c r="J8059" s="12"/>
    </row>
    <row r="8060" spans="5:10" x14ac:dyDescent="0.25">
      <c r="E8060"/>
      <c r="F8060"/>
      <c r="G8060" s="12"/>
      <c r="H8060" s="12"/>
      <c r="I8060" s="12"/>
      <c r="J8060" s="12"/>
    </row>
    <row r="8061" spans="5:10" x14ac:dyDescent="0.25">
      <c r="E8061"/>
      <c r="F8061"/>
      <c r="G8061" s="12"/>
      <c r="H8061" s="12"/>
      <c r="I8061" s="12"/>
      <c r="J8061" s="12"/>
    </row>
    <row r="8062" spans="5:10" x14ac:dyDescent="0.25">
      <c r="E8062"/>
      <c r="F8062"/>
      <c r="G8062" s="12"/>
      <c r="H8062" s="12"/>
      <c r="I8062" s="12"/>
      <c r="J8062" s="12"/>
    </row>
    <row r="8063" spans="5:10" x14ac:dyDescent="0.25">
      <c r="E8063"/>
      <c r="F8063"/>
      <c r="G8063" s="12"/>
      <c r="H8063" s="12"/>
      <c r="I8063" s="12"/>
      <c r="J8063" s="12"/>
    </row>
    <row r="8064" spans="5:10" x14ac:dyDescent="0.25">
      <c r="E8064"/>
      <c r="F8064"/>
      <c r="G8064" s="12"/>
      <c r="H8064" s="12"/>
      <c r="I8064" s="12"/>
      <c r="J8064" s="12"/>
    </row>
    <row r="8065" spans="5:10" x14ac:dyDescent="0.25">
      <c r="E8065"/>
      <c r="F8065"/>
      <c r="G8065" s="12"/>
      <c r="H8065" s="12"/>
      <c r="I8065" s="12"/>
      <c r="J8065" s="12"/>
    </row>
    <row r="8066" spans="5:10" x14ac:dyDescent="0.25">
      <c r="E8066"/>
      <c r="F8066"/>
      <c r="G8066" s="12"/>
      <c r="H8066" s="12"/>
      <c r="I8066" s="12"/>
      <c r="J8066" s="12"/>
    </row>
    <row r="8067" spans="5:10" x14ac:dyDescent="0.25">
      <c r="E8067"/>
      <c r="F8067"/>
      <c r="G8067" s="12"/>
      <c r="H8067" s="12"/>
      <c r="I8067" s="12"/>
      <c r="J8067" s="12"/>
    </row>
    <row r="8068" spans="5:10" x14ac:dyDescent="0.25">
      <c r="E8068"/>
      <c r="F8068"/>
      <c r="G8068" s="12"/>
      <c r="H8068" s="12"/>
      <c r="I8068" s="12"/>
      <c r="J8068" s="12"/>
    </row>
    <row r="8069" spans="5:10" x14ac:dyDescent="0.25">
      <c r="E8069"/>
      <c r="F8069"/>
      <c r="G8069" s="12"/>
      <c r="H8069" s="12"/>
      <c r="I8069" s="12"/>
      <c r="J8069" s="12"/>
    </row>
    <row r="8070" spans="5:10" x14ac:dyDescent="0.25">
      <c r="E8070"/>
      <c r="F8070"/>
      <c r="G8070" s="12"/>
      <c r="H8070" s="12"/>
      <c r="I8070" s="12"/>
      <c r="J8070" s="12"/>
    </row>
    <row r="8071" spans="5:10" x14ac:dyDescent="0.25">
      <c r="E8071"/>
      <c r="F8071"/>
      <c r="G8071" s="12"/>
      <c r="H8071" s="12"/>
      <c r="I8071" s="12"/>
      <c r="J8071" s="12"/>
    </row>
    <row r="8072" spans="5:10" x14ac:dyDescent="0.25">
      <c r="E8072"/>
      <c r="F8072"/>
      <c r="G8072" s="12"/>
      <c r="H8072" s="12"/>
      <c r="I8072" s="12"/>
      <c r="J8072" s="12"/>
    </row>
    <row r="8073" spans="5:10" x14ac:dyDescent="0.25">
      <c r="E8073"/>
      <c r="F8073"/>
      <c r="G8073" s="12"/>
      <c r="H8073" s="12"/>
      <c r="I8073" s="12"/>
      <c r="J8073" s="12"/>
    </row>
    <row r="8074" spans="5:10" x14ac:dyDescent="0.25">
      <c r="E8074"/>
      <c r="F8074"/>
      <c r="G8074" s="12"/>
      <c r="H8074" s="12"/>
      <c r="I8074" s="12"/>
      <c r="J8074" s="12"/>
    </row>
    <row r="8075" spans="5:10" x14ac:dyDescent="0.25">
      <c r="E8075"/>
      <c r="F8075"/>
      <c r="G8075" s="12"/>
      <c r="H8075" s="12"/>
      <c r="I8075" s="12"/>
      <c r="J8075" s="12"/>
    </row>
    <row r="8076" spans="5:10" x14ac:dyDescent="0.25">
      <c r="E8076"/>
      <c r="F8076"/>
      <c r="G8076" s="12"/>
      <c r="H8076" s="12"/>
      <c r="I8076" s="12"/>
      <c r="J8076" s="12"/>
    </row>
    <row r="8077" spans="5:10" x14ac:dyDescent="0.25">
      <c r="E8077"/>
      <c r="F8077"/>
      <c r="G8077" s="12"/>
      <c r="H8077" s="12"/>
      <c r="I8077" s="12"/>
      <c r="J8077" s="12"/>
    </row>
    <row r="8078" spans="5:10" x14ac:dyDescent="0.25">
      <c r="E8078"/>
      <c r="F8078"/>
      <c r="G8078" s="12"/>
      <c r="H8078" s="12"/>
      <c r="I8078" s="12"/>
      <c r="J8078" s="12"/>
    </row>
    <row r="8079" spans="5:10" x14ac:dyDescent="0.25">
      <c r="E8079"/>
      <c r="F8079"/>
      <c r="G8079" s="12"/>
      <c r="H8079" s="12"/>
      <c r="I8079" s="12"/>
      <c r="J8079" s="12"/>
    </row>
    <row r="8080" spans="5:10" x14ac:dyDescent="0.25">
      <c r="E8080"/>
      <c r="F8080"/>
      <c r="G8080" s="12"/>
      <c r="H8080" s="12"/>
      <c r="I8080" s="12"/>
      <c r="J8080" s="12"/>
    </row>
    <row r="8081" spans="5:10" x14ac:dyDescent="0.25">
      <c r="E8081"/>
      <c r="F8081"/>
      <c r="G8081" s="12"/>
      <c r="H8081" s="12"/>
      <c r="I8081" s="12"/>
      <c r="J8081" s="12"/>
    </row>
    <row r="8082" spans="5:10" x14ac:dyDescent="0.25">
      <c r="E8082"/>
      <c r="F8082"/>
      <c r="G8082" s="12"/>
      <c r="H8082" s="12"/>
      <c r="I8082" s="12"/>
      <c r="J8082" s="12"/>
    </row>
    <row r="8083" spans="5:10" x14ac:dyDescent="0.25">
      <c r="E8083"/>
      <c r="F8083"/>
      <c r="G8083" s="12"/>
      <c r="H8083" s="12"/>
      <c r="I8083" s="12"/>
      <c r="J8083" s="12"/>
    </row>
    <row r="8084" spans="5:10" x14ac:dyDescent="0.25">
      <c r="E8084"/>
      <c r="F8084"/>
      <c r="G8084" s="12"/>
      <c r="H8084" s="12"/>
      <c r="I8084" s="12"/>
      <c r="J8084" s="12"/>
    </row>
    <row r="8085" spans="5:10" x14ac:dyDescent="0.25">
      <c r="E8085"/>
      <c r="F8085"/>
      <c r="G8085" s="12"/>
      <c r="H8085" s="12"/>
      <c r="I8085" s="12"/>
      <c r="J8085" s="12"/>
    </row>
    <row r="8086" spans="5:10" x14ac:dyDescent="0.25">
      <c r="E8086"/>
      <c r="F8086"/>
      <c r="G8086" s="12"/>
      <c r="H8086" s="12"/>
      <c r="I8086" s="12"/>
      <c r="J8086" s="12"/>
    </row>
    <row r="8087" spans="5:10" x14ac:dyDescent="0.25">
      <c r="E8087"/>
      <c r="F8087"/>
      <c r="G8087" s="12"/>
      <c r="H8087" s="12"/>
      <c r="I8087" s="12"/>
      <c r="J8087" s="12"/>
    </row>
    <row r="8088" spans="5:10" x14ac:dyDescent="0.25">
      <c r="E8088"/>
      <c r="F8088"/>
      <c r="G8088" s="12"/>
      <c r="H8088" s="12"/>
      <c r="I8088" s="12"/>
      <c r="J8088" s="12"/>
    </row>
    <row r="8089" spans="5:10" x14ac:dyDescent="0.25">
      <c r="E8089"/>
      <c r="F8089"/>
      <c r="G8089" s="12"/>
      <c r="H8089" s="12"/>
      <c r="I8089" s="12"/>
      <c r="J8089" s="12"/>
    </row>
    <row r="8090" spans="5:10" x14ac:dyDescent="0.25">
      <c r="E8090"/>
      <c r="F8090"/>
      <c r="G8090" s="12"/>
      <c r="H8090" s="12"/>
      <c r="I8090" s="12"/>
      <c r="J8090" s="12"/>
    </row>
    <row r="8091" spans="5:10" x14ac:dyDescent="0.25">
      <c r="E8091"/>
      <c r="F8091"/>
      <c r="G8091" s="12"/>
      <c r="H8091" s="12"/>
      <c r="I8091" s="12"/>
      <c r="J8091" s="12"/>
    </row>
    <row r="8092" spans="5:10" x14ac:dyDescent="0.25">
      <c r="E8092"/>
      <c r="F8092"/>
      <c r="G8092" s="12"/>
      <c r="H8092" s="12"/>
      <c r="I8092" s="12"/>
      <c r="J8092" s="12"/>
    </row>
    <row r="8093" spans="5:10" x14ac:dyDescent="0.25">
      <c r="E8093"/>
      <c r="F8093"/>
      <c r="G8093" s="12"/>
      <c r="H8093" s="12"/>
      <c r="I8093" s="12"/>
      <c r="J8093" s="12"/>
    </row>
    <row r="8094" spans="5:10" x14ac:dyDescent="0.25">
      <c r="E8094"/>
      <c r="F8094"/>
      <c r="G8094" s="12"/>
      <c r="H8094" s="12"/>
      <c r="I8094" s="12"/>
      <c r="J8094" s="12"/>
    </row>
    <row r="8095" spans="5:10" x14ac:dyDescent="0.25">
      <c r="E8095"/>
      <c r="F8095"/>
      <c r="G8095" s="12"/>
      <c r="H8095" s="12"/>
      <c r="I8095" s="12"/>
      <c r="J8095" s="12"/>
    </row>
    <row r="8096" spans="5:10" x14ac:dyDescent="0.25">
      <c r="E8096"/>
      <c r="F8096"/>
      <c r="G8096" s="12"/>
      <c r="H8096" s="12"/>
      <c r="I8096" s="12"/>
      <c r="J8096" s="12"/>
    </row>
    <row r="8097" spans="5:10" x14ac:dyDescent="0.25">
      <c r="E8097"/>
      <c r="F8097"/>
      <c r="G8097" s="12"/>
      <c r="H8097" s="12"/>
      <c r="I8097" s="12"/>
      <c r="J8097" s="12"/>
    </row>
    <row r="8098" spans="5:10" x14ac:dyDescent="0.25">
      <c r="E8098"/>
      <c r="F8098"/>
      <c r="G8098" s="12"/>
      <c r="H8098" s="12"/>
      <c r="I8098" s="12"/>
      <c r="J8098" s="12"/>
    </row>
    <row r="8099" spans="5:10" x14ac:dyDescent="0.25">
      <c r="E8099"/>
      <c r="F8099"/>
      <c r="G8099" s="12"/>
      <c r="H8099" s="12"/>
      <c r="I8099" s="12"/>
      <c r="J8099" s="12"/>
    </row>
    <row r="8100" spans="5:10" x14ac:dyDescent="0.25">
      <c r="E8100"/>
      <c r="F8100"/>
      <c r="G8100" s="12"/>
      <c r="H8100" s="12"/>
      <c r="I8100" s="12"/>
      <c r="J8100" s="12"/>
    </row>
    <row r="8101" spans="5:10" x14ac:dyDescent="0.25">
      <c r="E8101"/>
      <c r="F8101"/>
      <c r="G8101" s="12"/>
      <c r="H8101" s="12"/>
      <c r="I8101" s="12"/>
      <c r="J8101" s="12"/>
    </row>
    <row r="8102" spans="5:10" x14ac:dyDescent="0.25">
      <c r="E8102"/>
      <c r="F8102"/>
      <c r="G8102" s="12"/>
      <c r="H8102" s="12"/>
      <c r="I8102" s="12"/>
      <c r="J8102" s="12"/>
    </row>
    <row r="8103" spans="5:10" x14ac:dyDescent="0.25">
      <c r="E8103"/>
      <c r="F8103"/>
      <c r="G8103" s="12"/>
      <c r="H8103" s="12"/>
      <c r="I8103" s="12"/>
      <c r="J8103" s="12"/>
    </row>
    <row r="8104" spans="5:10" x14ac:dyDescent="0.25">
      <c r="E8104"/>
      <c r="F8104"/>
      <c r="G8104" s="12"/>
      <c r="H8104" s="12"/>
      <c r="I8104" s="12"/>
      <c r="J8104" s="12"/>
    </row>
    <row r="8105" spans="5:10" x14ac:dyDescent="0.25">
      <c r="E8105"/>
      <c r="F8105"/>
      <c r="G8105" s="12"/>
      <c r="H8105" s="12"/>
      <c r="I8105" s="12"/>
      <c r="J8105" s="12"/>
    </row>
    <row r="8106" spans="5:10" x14ac:dyDescent="0.25">
      <c r="E8106"/>
      <c r="F8106"/>
      <c r="G8106" s="12"/>
      <c r="H8106" s="12"/>
      <c r="I8106" s="12"/>
      <c r="J8106" s="12"/>
    </row>
    <row r="8107" spans="5:10" x14ac:dyDescent="0.25">
      <c r="E8107"/>
      <c r="F8107"/>
      <c r="G8107" s="12"/>
      <c r="H8107" s="12"/>
      <c r="I8107" s="12"/>
      <c r="J8107" s="12"/>
    </row>
    <row r="8108" spans="5:10" x14ac:dyDescent="0.25">
      <c r="E8108"/>
      <c r="F8108"/>
      <c r="G8108" s="12"/>
      <c r="H8108" s="12"/>
      <c r="I8108" s="12"/>
      <c r="J8108" s="12"/>
    </row>
    <row r="8109" spans="5:10" x14ac:dyDescent="0.25">
      <c r="E8109"/>
      <c r="F8109"/>
      <c r="G8109" s="12"/>
      <c r="H8109" s="12"/>
      <c r="I8109" s="12"/>
      <c r="J8109" s="12"/>
    </row>
    <row r="8110" spans="5:10" x14ac:dyDescent="0.25">
      <c r="E8110"/>
      <c r="F8110"/>
      <c r="G8110" s="12"/>
      <c r="H8110" s="12"/>
      <c r="I8110" s="12"/>
      <c r="J8110" s="12"/>
    </row>
    <row r="8111" spans="5:10" x14ac:dyDescent="0.25">
      <c r="E8111"/>
      <c r="F8111"/>
      <c r="G8111" s="12"/>
      <c r="H8111" s="12"/>
      <c r="I8111" s="12"/>
      <c r="J8111" s="12"/>
    </row>
    <row r="8112" spans="5:10" x14ac:dyDescent="0.25">
      <c r="E8112"/>
      <c r="F8112"/>
      <c r="G8112" s="12"/>
      <c r="H8112" s="12"/>
      <c r="I8112" s="12"/>
      <c r="J8112" s="12"/>
    </row>
    <row r="8113" spans="5:10" x14ac:dyDescent="0.25">
      <c r="E8113"/>
      <c r="F8113"/>
      <c r="G8113" s="12"/>
      <c r="H8113" s="12"/>
      <c r="I8113" s="12"/>
      <c r="J8113" s="12"/>
    </row>
    <row r="8114" spans="5:10" x14ac:dyDescent="0.25">
      <c r="E8114"/>
      <c r="F8114"/>
      <c r="G8114" s="12"/>
      <c r="H8114" s="12"/>
      <c r="I8114" s="12"/>
      <c r="J8114" s="12"/>
    </row>
    <row r="8115" spans="5:10" x14ac:dyDescent="0.25">
      <c r="E8115"/>
      <c r="F8115"/>
      <c r="G8115" s="12"/>
      <c r="H8115" s="12"/>
      <c r="I8115" s="12"/>
      <c r="J8115" s="12"/>
    </row>
    <row r="8116" spans="5:10" x14ac:dyDescent="0.25">
      <c r="E8116"/>
      <c r="F8116"/>
      <c r="G8116" s="12"/>
      <c r="H8116" s="12"/>
      <c r="I8116" s="12"/>
      <c r="J8116" s="12"/>
    </row>
    <row r="8117" spans="5:10" x14ac:dyDescent="0.25">
      <c r="E8117"/>
      <c r="F8117"/>
      <c r="G8117" s="12"/>
      <c r="H8117" s="12"/>
      <c r="I8117" s="12"/>
      <c r="J8117" s="12"/>
    </row>
    <row r="8118" spans="5:10" x14ac:dyDescent="0.25">
      <c r="E8118"/>
      <c r="F8118"/>
      <c r="G8118" s="12"/>
      <c r="H8118" s="12"/>
      <c r="I8118" s="12"/>
      <c r="J8118" s="12"/>
    </row>
    <row r="8119" spans="5:10" x14ac:dyDescent="0.25">
      <c r="E8119"/>
      <c r="F8119"/>
      <c r="G8119" s="12"/>
      <c r="H8119" s="12"/>
      <c r="I8119" s="12"/>
      <c r="J8119" s="12"/>
    </row>
    <row r="8120" spans="5:10" x14ac:dyDescent="0.25">
      <c r="E8120"/>
      <c r="F8120"/>
      <c r="G8120" s="12"/>
      <c r="H8120" s="12"/>
      <c r="I8120" s="12"/>
      <c r="J8120" s="12"/>
    </row>
    <row r="8121" spans="5:10" x14ac:dyDescent="0.25">
      <c r="E8121"/>
      <c r="F8121"/>
      <c r="G8121" s="12"/>
      <c r="H8121" s="12"/>
      <c r="I8121" s="12"/>
      <c r="J8121" s="12"/>
    </row>
    <row r="8122" spans="5:10" x14ac:dyDescent="0.25">
      <c r="E8122"/>
      <c r="F8122"/>
      <c r="G8122" s="12"/>
      <c r="H8122" s="12"/>
      <c r="I8122" s="12"/>
      <c r="J8122" s="12"/>
    </row>
    <row r="8123" spans="5:10" x14ac:dyDescent="0.25">
      <c r="E8123"/>
      <c r="F8123"/>
      <c r="G8123" s="12"/>
      <c r="H8123" s="12"/>
      <c r="I8123" s="12"/>
      <c r="J8123" s="12"/>
    </row>
    <row r="8124" spans="5:10" x14ac:dyDescent="0.25">
      <c r="E8124"/>
      <c r="F8124"/>
      <c r="G8124" s="12"/>
      <c r="H8124" s="12"/>
      <c r="I8124" s="12"/>
      <c r="J8124" s="12"/>
    </row>
    <row r="8125" spans="5:10" x14ac:dyDescent="0.25">
      <c r="E8125"/>
      <c r="F8125"/>
      <c r="G8125" s="12"/>
      <c r="H8125" s="12"/>
      <c r="I8125" s="12"/>
      <c r="J8125" s="12"/>
    </row>
    <row r="8126" spans="5:10" x14ac:dyDescent="0.25">
      <c r="E8126"/>
      <c r="F8126"/>
      <c r="G8126" s="12"/>
      <c r="H8126" s="12"/>
      <c r="I8126" s="12"/>
      <c r="J8126" s="12"/>
    </row>
    <row r="8127" spans="5:10" x14ac:dyDescent="0.25">
      <c r="E8127"/>
      <c r="F8127"/>
      <c r="G8127" s="12"/>
      <c r="H8127" s="12"/>
      <c r="I8127" s="12"/>
      <c r="J8127" s="12"/>
    </row>
    <row r="8128" spans="5:10" x14ac:dyDescent="0.25">
      <c r="E8128"/>
      <c r="F8128"/>
      <c r="G8128" s="12"/>
      <c r="H8128" s="12"/>
      <c r="I8128" s="12"/>
      <c r="J8128" s="12"/>
    </row>
    <row r="8129" spans="5:10" x14ac:dyDescent="0.25">
      <c r="E8129"/>
      <c r="F8129"/>
      <c r="G8129" s="12"/>
      <c r="H8129" s="12"/>
      <c r="I8129" s="12"/>
      <c r="J8129" s="12"/>
    </row>
    <row r="8130" spans="5:10" x14ac:dyDescent="0.25">
      <c r="E8130"/>
      <c r="F8130"/>
      <c r="G8130" s="12"/>
      <c r="H8130" s="12"/>
      <c r="I8130" s="12"/>
      <c r="J8130" s="12"/>
    </row>
    <row r="8131" spans="5:10" x14ac:dyDescent="0.25">
      <c r="E8131"/>
      <c r="F8131"/>
      <c r="G8131" s="12"/>
      <c r="H8131" s="12"/>
      <c r="I8131" s="12"/>
      <c r="J8131" s="12"/>
    </row>
    <row r="8132" spans="5:10" x14ac:dyDescent="0.25">
      <c r="E8132"/>
      <c r="F8132"/>
      <c r="G8132" s="12"/>
      <c r="H8132" s="12"/>
      <c r="I8132" s="12"/>
      <c r="J8132" s="12"/>
    </row>
    <row r="8133" spans="5:10" x14ac:dyDescent="0.25">
      <c r="E8133"/>
      <c r="F8133"/>
      <c r="G8133" s="12"/>
      <c r="H8133" s="12"/>
      <c r="I8133" s="12"/>
      <c r="J8133" s="12"/>
    </row>
    <row r="8134" spans="5:10" x14ac:dyDescent="0.25">
      <c r="E8134"/>
      <c r="F8134"/>
      <c r="G8134" s="12"/>
      <c r="H8134" s="12"/>
      <c r="I8134" s="12"/>
      <c r="J8134" s="12"/>
    </row>
    <row r="8135" spans="5:10" x14ac:dyDescent="0.25">
      <c r="E8135"/>
      <c r="F8135"/>
      <c r="G8135" s="12"/>
      <c r="H8135" s="12"/>
      <c r="I8135" s="12"/>
      <c r="J8135" s="12"/>
    </row>
    <row r="8136" spans="5:10" x14ac:dyDescent="0.25">
      <c r="E8136"/>
      <c r="F8136"/>
      <c r="G8136" s="12"/>
      <c r="H8136" s="12"/>
      <c r="I8136" s="12"/>
      <c r="J8136" s="12"/>
    </row>
    <row r="8137" spans="5:10" x14ac:dyDescent="0.25">
      <c r="E8137"/>
      <c r="F8137"/>
      <c r="G8137" s="12"/>
      <c r="H8137" s="12"/>
      <c r="I8137" s="12"/>
      <c r="J8137" s="12"/>
    </row>
    <row r="8138" spans="5:10" x14ac:dyDescent="0.25">
      <c r="E8138"/>
      <c r="F8138"/>
      <c r="G8138" s="12"/>
      <c r="H8138" s="12"/>
      <c r="I8138" s="12"/>
      <c r="J8138" s="12"/>
    </row>
    <row r="8139" spans="5:10" x14ac:dyDescent="0.25">
      <c r="E8139"/>
      <c r="F8139"/>
      <c r="G8139" s="12"/>
      <c r="H8139" s="12"/>
      <c r="I8139" s="12"/>
      <c r="J8139" s="12"/>
    </row>
    <row r="8140" spans="5:10" x14ac:dyDescent="0.25">
      <c r="E8140"/>
      <c r="F8140"/>
      <c r="G8140" s="12"/>
      <c r="H8140" s="12"/>
      <c r="I8140" s="12"/>
      <c r="J8140" s="12"/>
    </row>
    <row r="8141" spans="5:10" x14ac:dyDescent="0.25">
      <c r="E8141"/>
      <c r="F8141"/>
      <c r="G8141" s="12"/>
      <c r="H8141" s="12"/>
      <c r="I8141" s="12"/>
      <c r="J8141" s="12"/>
    </row>
    <row r="8142" spans="5:10" x14ac:dyDescent="0.25">
      <c r="E8142"/>
      <c r="F8142"/>
      <c r="G8142" s="12"/>
      <c r="H8142" s="12"/>
      <c r="I8142" s="12"/>
      <c r="J8142" s="12"/>
    </row>
    <row r="8143" spans="5:10" x14ac:dyDescent="0.25">
      <c r="E8143"/>
      <c r="F8143"/>
      <c r="G8143" s="12"/>
      <c r="H8143" s="12"/>
      <c r="I8143" s="12"/>
      <c r="J8143" s="12"/>
    </row>
    <row r="8144" spans="5:10" x14ac:dyDescent="0.25">
      <c r="E8144"/>
      <c r="F8144"/>
      <c r="G8144" s="12"/>
      <c r="H8144" s="12"/>
      <c r="I8144" s="12"/>
      <c r="J8144" s="12"/>
    </row>
    <row r="8145" spans="5:10" x14ac:dyDescent="0.25">
      <c r="E8145"/>
      <c r="F8145"/>
      <c r="G8145" s="12"/>
      <c r="H8145" s="12"/>
      <c r="I8145" s="12"/>
      <c r="J8145" s="12"/>
    </row>
    <row r="8146" spans="5:10" x14ac:dyDescent="0.25">
      <c r="E8146"/>
      <c r="F8146"/>
      <c r="G8146" s="12"/>
      <c r="H8146" s="12"/>
      <c r="I8146" s="12"/>
      <c r="J8146" s="12"/>
    </row>
    <row r="8147" spans="5:10" x14ac:dyDescent="0.25">
      <c r="E8147"/>
      <c r="F8147"/>
      <c r="G8147" s="12"/>
      <c r="H8147" s="12"/>
      <c r="I8147" s="12"/>
      <c r="J8147" s="12"/>
    </row>
    <row r="8148" spans="5:10" x14ac:dyDescent="0.25">
      <c r="E8148"/>
      <c r="F8148"/>
      <c r="G8148" s="12"/>
      <c r="H8148" s="12"/>
      <c r="I8148" s="12"/>
      <c r="J8148" s="12"/>
    </row>
    <row r="8149" spans="5:10" x14ac:dyDescent="0.25">
      <c r="E8149"/>
      <c r="F8149"/>
      <c r="G8149" s="12"/>
      <c r="H8149" s="12"/>
      <c r="I8149" s="12"/>
      <c r="J8149" s="12"/>
    </row>
    <row r="8150" spans="5:10" x14ac:dyDescent="0.25">
      <c r="E8150"/>
      <c r="F8150"/>
      <c r="G8150" s="12"/>
      <c r="H8150" s="12"/>
      <c r="I8150" s="12"/>
      <c r="J8150" s="12"/>
    </row>
    <row r="8151" spans="5:10" x14ac:dyDescent="0.25">
      <c r="E8151"/>
      <c r="F8151"/>
      <c r="G8151" s="12"/>
      <c r="H8151" s="12"/>
      <c r="I8151" s="12"/>
      <c r="J8151" s="12"/>
    </row>
    <row r="8152" spans="5:10" x14ac:dyDescent="0.25">
      <c r="E8152"/>
      <c r="F8152"/>
      <c r="G8152" s="12"/>
      <c r="H8152" s="12"/>
      <c r="I8152" s="12"/>
      <c r="J8152" s="12"/>
    </row>
    <row r="8153" spans="5:10" x14ac:dyDescent="0.25">
      <c r="E8153"/>
      <c r="F8153"/>
      <c r="G8153" s="12"/>
      <c r="H8153" s="12"/>
      <c r="I8153" s="12"/>
      <c r="J8153" s="12"/>
    </row>
    <row r="8154" spans="5:10" x14ac:dyDescent="0.25">
      <c r="E8154"/>
      <c r="F8154"/>
      <c r="G8154" s="12"/>
      <c r="H8154" s="12"/>
      <c r="I8154" s="12"/>
      <c r="J8154" s="12"/>
    </row>
    <row r="8155" spans="5:10" x14ac:dyDescent="0.25">
      <c r="E8155"/>
      <c r="F8155"/>
      <c r="G8155" s="12"/>
      <c r="H8155" s="12"/>
      <c r="I8155" s="12"/>
      <c r="J8155" s="12"/>
    </row>
    <row r="8156" spans="5:10" x14ac:dyDescent="0.25">
      <c r="E8156"/>
      <c r="F8156"/>
      <c r="G8156" s="12"/>
      <c r="H8156" s="12"/>
      <c r="I8156" s="12"/>
      <c r="J8156" s="12"/>
    </row>
    <row r="8157" spans="5:10" x14ac:dyDescent="0.25">
      <c r="E8157"/>
      <c r="F8157"/>
      <c r="G8157" s="12"/>
      <c r="H8157" s="12"/>
      <c r="I8157" s="12"/>
      <c r="J8157" s="12"/>
    </row>
    <row r="8158" spans="5:10" x14ac:dyDescent="0.25">
      <c r="E8158"/>
      <c r="F8158"/>
      <c r="G8158" s="12"/>
      <c r="H8158" s="12"/>
      <c r="I8158" s="12"/>
      <c r="J8158" s="12"/>
    </row>
    <row r="8159" spans="5:10" x14ac:dyDescent="0.25">
      <c r="E8159"/>
      <c r="F8159"/>
      <c r="G8159" s="12"/>
      <c r="H8159" s="12"/>
      <c r="I8159" s="12"/>
      <c r="J8159" s="12"/>
    </row>
    <row r="8160" spans="5:10" x14ac:dyDescent="0.25">
      <c r="E8160"/>
      <c r="F8160"/>
      <c r="G8160" s="12"/>
      <c r="H8160" s="12"/>
      <c r="I8160" s="12"/>
      <c r="J8160" s="12"/>
    </row>
    <row r="8161" spans="5:10" x14ac:dyDescent="0.25">
      <c r="E8161"/>
      <c r="F8161"/>
      <c r="G8161" s="12"/>
      <c r="H8161" s="12"/>
      <c r="I8161" s="12"/>
      <c r="J8161" s="12"/>
    </row>
    <row r="8162" spans="5:10" x14ac:dyDescent="0.25">
      <c r="E8162"/>
      <c r="F8162"/>
      <c r="G8162" s="12"/>
      <c r="H8162" s="12"/>
      <c r="I8162" s="12"/>
      <c r="J8162" s="12"/>
    </row>
    <row r="8163" spans="5:10" x14ac:dyDescent="0.25">
      <c r="E8163"/>
      <c r="F8163"/>
      <c r="G8163" s="12"/>
      <c r="H8163" s="12"/>
      <c r="I8163" s="12"/>
      <c r="J8163" s="12"/>
    </row>
    <row r="8164" spans="5:10" x14ac:dyDescent="0.25">
      <c r="E8164"/>
      <c r="F8164"/>
      <c r="G8164" s="12"/>
      <c r="H8164" s="12"/>
      <c r="I8164" s="12"/>
      <c r="J8164" s="12"/>
    </row>
    <row r="8165" spans="5:10" x14ac:dyDescent="0.25">
      <c r="E8165"/>
      <c r="F8165"/>
      <c r="G8165" s="12"/>
      <c r="H8165" s="12"/>
      <c r="I8165" s="12"/>
      <c r="J8165" s="12"/>
    </row>
    <row r="8166" spans="5:10" x14ac:dyDescent="0.25">
      <c r="E8166"/>
      <c r="F8166"/>
      <c r="G8166" s="12"/>
      <c r="H8166" s="12"/>
      <c r="I8166" s="12"/>
      <c r="J8166" s="12"/>
    </row>
    <row r="8167" spans="5:10" x14ac:dyDescent="0.25">
      <c r="E8167"/>
      <c r="F8167"/>
      <c r="G8167" s="12"/>
      <c r="H8167" s="12"/>
      <c r="I8167" s="12"/>
      <c r="J8167" s="12"/>
    </row>
    <row r="8168" spans="5:10" x14ac:dyDescent="0.25">
      <c r="E8168"/>
      <c r="F8168"/>
      <c r="G8168" s="12"/>
      <c r="H8168" s="12"/>
      <c r="I8168" s="12"/>
      <c r="J8168" s="12"/>
    </row>
    <row r="8169" spans="5:10" x14ac:dyDescent="0.25">
      <c r="E8169"/>
      <c r="F8169"/>
      <c r="G8169" s="12"/>
      <c r="H8169" s="12"/>
      <c r="I8169" s="12"/>
      <c r="J8169" s="12"/>
    </row>
    <row r="8170" spans="5:10" x14ac:dyDescent="0.25">
      <c r="E8170"/>
      <c r="F8170"/>
      <c r="G8170" s="12"/>
      <c r="H8170" s="12"/>
      <c r="I8170" s="12"/>
      <c r="J8170" s="12"/>
    </row>
    <row r="8171" spans="5:10" x14ac:dyDescent="0.25">
      <c r="E8171"/>
      <c r="F8171"/>
      <c r="G8171" s="12"/>
      <c r="H8171" s="12"/>
      <c r="I8171" s="12"/>
      <c r="J8171" s="12"/>
    </row>
    <row r="8172" spans="5:10" x14ac:dyDescent="0.25">
      <c r="E8172"/>
      <c r="F8172"/>
      <c r="G8172" s="12"/>
      <c r="H8172" s="12"/>
      <c r="I8172" s="12"/>
      <c r="J8172" s="12"/>
    </row>
    <row r="8173" spans="5:10" x14ac:dyDescent="0.25">
      <c r="E8173"/>
      <c r="F8173"/>
      <c r="G8173" s="12"/>
      <c r="H8173" s="12"/>
      <c r="I8173" s="12"/>
      <c r="J8173" s="12"/>
    </row>
    <row r="8174" spans="5:10" x14ac:dyDescent="0.25">
      <c r="E8174"/>
      <c r="F8174"/>
      <c r="G8174" s="12"/>
      <c r="H8174" s="12"/>
      <c r="I8174" s="12"/>
      <c r="J8174" s="12"/>
    </row>
    <row r="8175" spans="5:10" x14ac:dyDescent="0.25">
      <c r="E8175"/>
      <c r="F8175"/>
      <c r="G8175" s="12"/>
      <c r="H8175" s="12"/>
      <c r="I8175" s="12"/>
      <c r="J8175" s="12"/>
    </row>
    <row r="8176" spans="5:10" x14ac:dyDescent="0.25">
      <c r="E8176"/>
      <c r="F8176"/>
      <c r="G8176" s="12"/>
      <c r="H8176" s="12"/>
      <c r="I8176" s="12"/>
      <c r="J8176" s="12"/>
    </row>
    <row r="8177" spans="5:10" x14ac:dyDescent="0.25">
      <c r="E8177"/>
      <c r="F8177"/>
      <c r="G8177" s="12"/>
      <c r="H8177" s="12"/>
      <c r="I8177" s="12"/>
      <c r="J8177" s="12"/>
    </row>
    <row r="8178" spans="5:10" x14ac:dyDescent="0.25">
      <c r="E8178"/>
      <c r="F8178"/>
      <c r="G8178" s="12"/>
      <c r="H8178" s="12"/>
      <c r="I8178" s="12"/>
      <c r="J8178" s="12"/>
    </row>
    <row r="8179" spans="5:10" x14ac:dyDescent="0.25">
      <c r="E8179"/>
      <c r="F8179"/>
      <c r="G8179" s="12"/>
      <c r="H8179" s="12"/>
      <c r="I8179" s="12"/>
      <c r="J8179" s="12"/>
    </row>
    <row r="8180" spans="5:10" x14ac:dyDescent="0.25">
      <c r="E8180"/>
      <c r="F8180"/>
      <c r="G8180" s="12"/>
      <c r="H8180" s="12"/>
      <c r="I8180" s="12"/>
      <c r="J8180" s="12"/>
    </row>
    <row r="8181" spans="5:10" x14ac:dyDescent="0.25">
      <c r="E8181"/>
      <c r="F8181"/>
      <c r="G8181" s="12"/>
      <c r="H8181" s="12"/>
      <c r="I8181" s="12"/>
      <c r="J8181" s="12"/>
    </row>
    <row r="8182" spans="5:10" x14ac:dyDescent="0.25">
      <c r="E8182"/>
      <c r="F8182"/>
      <c r="G8182" s="12"/>
      <c r="H8182" s="12"/>
      <c r="I8182" s="12"/>
      <c r="J8182" s="12"/>
    </row>
    <row r="8183" spans="5:10" x14ac:dyDescent="0.25">
      <c r="E8183"/>
      <c r="F8183"/>
      <c r="G8183" s="12"/>
      <c r="H8183" s="12"/>
      <c r="I8183" s="12"/>
      <c r="J8183" s="12"/>
    </row>
    <row r="8184" spans="5:10" x14ac:dyDescent="0.25">
      <c r="E8184"/>
      <c r="F8184"/>
      <c r="G8184" s="12"/>
      <c r="H8184" s="12"/>
      <c r="I8184" s="12"/>
      <c r="J8184" s="12"/>
    </row>
    <row r="8185" spans="5:10" x14ac:dyDescent="0.25">
      <c r="E8185"/>
      <c r="F8185"/>
      <c r="G8185" s="12"/>
      <c r="H8185" s="12"/>
      <c r="I8185" s="12"/>
      <c r="J8185" s="12"/>
    </row>
    <row r="8186" spans="5:10" x14ac:dyDescent="0.25">
      <c r="E8186"/>
      <c r="F8186"/>
      <c r="G8186" s="12"/>
      <c r="H8186" s="12"/>
      <c r="I8186" s="12"/>
      <c r="J8186" s="12"/>
    </row>
    <row r="8187" spans="5:10" x14ac:dyDescent="0.25">
      <c r="E8187"/>
      <c r="F8187"/>
      <c r="G8187" s="12"/>
      <c r="H8187" s="12"/>
      <c r="I8187" s="12"/>
      <c r="J8187" s="12"/>
    </row>
    <row r="8188" spans="5:10" x14ac:dyDescent="0.25">
      <c r="E8188"/>
      <c r="F8188"/>
      <c r="G8188" s="12"/>
      <c r="H8188" s="12"/>
      <c r="I8188" s="12"/>
      <c r="J8188" s="12"/>
    </row>
    <row r="8189" spans="5:10" x14ac:dyDescent="0.25">
      <c r="E8189"/>
      <c r="F8189"/>
      <c r="G8189" s="12"/>
      <c r="H8189" s="12"/>
      <c r="I8189" s="12"/>
      <c r="J8189" s="12"/>
    </row>
    <row r="8190" spans="5:10" x14ac:dyDescent="0.25">
      <c r="E8190"/>
      <c r="F8190"/>
      <c r="G8190" s="12"/>
      <c r="H8190" s="12"/>
      <c r="I8190" s="12"/>
      <c r="J8190" s="12"/>
    </row>
    <row r="8191" spans="5:10" x14ac:dyDescent="0.25">
      <c r="E8191"/>
      <c r="F8191"/>
      <c r="G8191" s="12"/>
      <c r="H8191" s="12"/>
      <c r="I8191" s="12"/>
      <c r="J8191" s="12"/>
    </row>
    <row r="8192" spans="5:10" x14ac:dyDescent="0.25">
      <c r="E8192"/>
      <c r="F8192"/>
      <c r="G8192" s="12"/>
      <c r="H8192" s="12"/>
      <c r="I8192" s="12"/>
      <c r="J8192" s="12"/>
    </row>
    <row r="8193" spans="5:10" x14ac:dyDescent="0.25">
      <c r="E8193"/>
      <c r="F8193"/>
      <c r="G8193" s="12"/>
      <c r="H8193" s="12"/>
      <c r="I8193" s="12"/>
      <c r="J8193" s="12"/>
    </row>
    <row r="8194" spans="5:10" x14ac:dyDescent="0.25">
      <c r="E8194"/>
      <c r="F8194"/>
      <c r="G8194" s="12"/>
      <c r="H8194" s="12"/>
      <c r="I8194" s="12"/>
      <c r="J8194" s="12"/>
    </row>
    <row r="8195" spans="5:10" x14ac:dyDescent="0.25">
      <c r="E8195"/>
      <c r="F8195"/>
      <c r="G8195" s="12"/>
      <c r="H8195" s="12"/>
      <c r="I8195" s="12"/>
      <c r="J8195" s="12"/>
    </row>
    <row r="8196" spans="5:10" x14ac:dyDescent="0.25">
      <c r="E8196"/>
      <c r="F8196"/>
      <c r="G8196" s="12"/>
      <c r="H8196" s="12"/>
      <c r="I8196" s="12"/>
      <c r="J8196" s="12"/>
    </row>
    <row r="8197" spans="5:10" x14ac:dyDescent="0.25">
      <c r="E8197"/>
      <c r="F8197"/>
      <c r="G8197" s="12"/>
      <c r="H8197" s="12"/>
      <c r="I8197" s="12"/>
      <c r="J8197" s="12"/>
    </row>
    <row r="8198" spans="5:10" x14ac:dyDescent="0.25">
      <c r="E8198"/>
      <c r="F8198"/>
      <c r="G8198" s="12"/>
      <c r="H8198" s="12"/>
      <c r="I8198" s="12"/>
      <c r="J8198" s="12"/>
    </row>
    <row r="8199" spans="5:10" x14ac:dyDescent="0.25">
      <c r="E8199"/>
      <c r="F8199"/>
      <c r="G8199" s="12"/>
      <c r="H8199" s="12"/>
      <c r="I8199" s="12"/>
      <c r="J8199" s="12"/>
    </row>
    <row r="8200" spans="5:10" x14ac:dyDescent="0.25">
      <c r="E8200"/>
      <c r="F8200"/>
      <c r="G8200" s="12"/>
      <c r="H8200" s="12"/>
      <c r="I8200" s="12"/>
      <c r="J8200" s="12"/>
    </row>
    <row r="8201" spans="5:10" x14ac:dyDescent="0.25">
      <c r="E8201"/>
      <c r="F8201"/>
      <c r="G8201" s="12"/>
      <c r="H8201" s="12"/>
      <c r="I8201" s="12"/>
      <c r="J8201" s="12"/>
    </row>
    <row r="8202" spans="5:10" x14ac:dyDescent="0.25">
      <c r="E8202"/>
      <c r="F8202"/>
      <c r="G8202" s="12"/>
      <c r="H8202" s="12"/>
      <c r="I8202" s="12"/>
      <c r="J8202" s="12"/>
    </row>
    <row r="8203" spans="5:10" x14ac:dyDescent="0.25">
      <c r="E8203"/>
      <c r="F8203"/>
      <c r="G8203" s="12"/>
      <c r="H8203" s="12"/>
      <c r="I8203" s="12"/>
      <c r="J8203" s="12"/>
    </row>
    <row r="8204" spans="5:10" x14ac:dyDescent="0.25">
      <c r="E8204"/>
      <c r="F8204"/>
      <c r="G8204" s="12"/>
      <c r="H8204" s="12"/>
      <c r="I8204" s="12"/>
      <c r="J8204" s="12"/>
    </row>
    <row r="8205" spans="5:10" x14ac:dyDescent="0.25">
      <c r="E8205"/>
      <c r="F8205"/>
      <c r="G8205" s="12"/>
      <c r="H8205" s="12"/>
      <c r="I8205" s="12"/>
      <c r="J8205" s="12"/>
    </row>
    <row r="8206" spans="5:10" x14ac:dyDescent="0.25">
      <c r="E8206"/>
      <c r="F8206"/>
      <c r="G8206" s="12"/>
      <c r="H8206" s="12"/>
      <c r="I8206" s="12"/>
      <c r="J8206" s="12"/>
    </row>
    <row r="8207" spans="5:10" x14ac:dyDescent="0.25">
      <c r="E8207"/>
      <c r="F8207"/>
      <c r="G8207" s="12"/>
      <c r="H8207" s="12"/>
      <c r="I8207" s="12"/>
      <c r="J8207" s="12"/>
    </row>
    <row r="8208" spans="5:10" x14ac:dyDescent="0.25">
      <c r="E8208"/>
      <c r="F8208"/>
      <c r="G8208" s="12"/>
      <c r="H8208" s="12"/>
      <c r="I8208" s="12"/>
      <c r="J8208" s="12"/>
    </row>
    <row r="8209" spans="5:10" x14ac:dyDescent="0.25">
      <c r="E8209"/>
      <c r="F8209"/>
      <c r="G8209" s="12"/>
      <c r="H8209" s="12"/>
      <c r="I8209" s="12"/>
      <c r="J8209" s="12"/>
    </row>
    <row r="8210" spans="5:10" x14ac:dyDescent="0.25">
      <c r="E8210"/>
      <c r="F8210"/>
      <c r="G8210" s="12"/>
      <c r="H8210" s="12"/>
      <c r="I8210" s="12"/>
      <c r="J8210" s="12"/>
    </row>
    <row r="8211" spans="5:10" x14ac:dyDescent="0.25">
      <c r="E8211"/>
      <c r="F8211"/>
      <c r="G8211" s="12"/>
      <c r="H8211" s="12"/>
      <c r="I8211" s="12"/>
      <c r="J8211" s="12"/>
    </row>
    <row r="8212" spans="5:10" x14ac:dyDescent="0.25">
      <c r="E8212"/>
      <c r="F8212"/>
      <c r="G8212" s="12"/>
      <c r="H8212" s="12"/>
      <c r="I8212" s="12"/>
      <c r="J8212" s="12"/>
    </row>
    <row r="8213" spans="5:10" x14ac:dyDescent="0.25">
      <c r="E8213"/>
      <c r="F8213"/>
      <c r="G8213" s="12"/>
      <c r="H8213" s="12"/>
      <c r="I8213" s="12"/>
      <c r="J8213" s="12"/>
    </row>
    <row r="8214" spans="5:10" x14ac:dyDescent="0.25">
      <c r="E8214"/>
      <c r="F8214"/>
      <c r="G8214" s="12"/>
      <c r="H8214" s="12"/>
      <c r="I8214" s="12"/>
      <c r="J8214" s="12"/>
    </row>
    <row r="8215" spans="5:10" x14ac:dyDescent="0.25">
      <c r="E8215"/>
      <c r="F8215"/>
      <c r="G8215" s="12"/>
      <c r="H8215" s="12"/>
      <c r="I8215" s="12"/>
      <c r="J8215" s="12"/>
    </row>
    <row r="8216" spans="5:10" x14ac:dyDescent="0.25">
      <c r="E8216"/>
      <c r="F8216"/>
      <c r="G8216" s="12"/>
      <c r="H8216" s="12"/>
      <c r="I8216" s="12"/>
      <c r="J8216" s="12"/>
    </row>
    <row r="8217" spans="5:10" x14ac:dyDescent="0.25">
      <c r="E8217"/>
      <c r="F8217"/>
      <c r="G8217" s="12"/>
      <c r="H8217" s="12"/>
      <c r="I8217" s="12"/>
      <c r="J8217" s="12"/>
    </row>
    <row r="8218" spans="5:10" x14ac:dyDescent="0.25">
      <c r="E8218"/>
      <c r="F8218"/>
      <c r="G8218" s="12"/>
      <c r="H8218" s="12"/>
      <c r="I8218" s="12"/>
      <c r="J8218" s="12"/>
    </row>
    <row r="8219" spans="5:10" x14ac:dyDescent="0.25">
      <c r="E8219"/>
      <c r="F8219"/>
      <c r="G8219" s="12"/>
      <c r="H8219" s="12"/>
      <c r="I8219" s="12"/>
      <c r="J8219" s="12"/>
    </row>
    <row r="8220" spans="5:10" x14ac:dyDescent="0.25">
      <c r="E8220"/>
      <c r="F8220"/>
      <c r="G8220" s="12"/>
      <c r="H8220" s="12"/>
      <c r="I8220" s="12"/>
      <c r="J8220" s="12"/>
    </row>
    <row r="8221" spans="5:10" x14ac:dyDescent="0.25">
      <c r="E8221"/>
      <c r="F8221"/>
      <c r="G8221" s="12"/>
      <c r="H8221" s="12"/>
      <c r="I8221" s="12"/>
      <c r="J8221" s="12"/>
    </row>
    <row r="8222" spans="5:10" x14ac:dyDescent="0.25">
      <c r="E8222"/>
      <c r="F8222"/>
      <c r="G8222" s="12"/>
      <c r="H8222" s="12"/>
      <c r="I8222" s="12"/>
      <c r="J8222" s="12"/>
    </row>
    <row r="8223" spans="5:10" x14ac:dyDescent="0.25">
      <c r="E8223"/>
      <c r="F8223"/>
      <c r="G8223" s="12"/>
      <c r="H8223" s="12"/>
      <c r="I8223" s="12"/>
      <c r="J8223" s="12"/>
    </row>
    <row r="8224" spans="5:10" x14ac:dyDescent="0.25">
      <c r="E8224"/>
      <c r="F8224"/>
      <c r="G8224" s="12"/>
      <c r="H8224" s="12"/>
      <c r="I8224" s="12"/>
      <c r="J8224" s="12"/>
    </row>
    <row r="8225" spans="5:10" x14ac:dyDescent="0.25">
      <c r="E8225"/>
      <c r="F8225"/>
      <c r="G8225" s="12"/>
      <c r="H8225" s="12"/>
      <c r="I8225" s="12"/>
      <c r="J8225" s="12"/>
    </row>
    <row r="8226" spans="5:10" x14ac:dyDescent="0.25">
      <c r="E8226"/>
      <c r="F8226"/>
      <c r="G8226" s="12"/>
      <c r="H8226" s="12"/>
      <c r="I8226" s="12"/>
      <c r="J8226" s="12"/>
    </row>
    <row r="8227" spans="5:10" x14ac:dyDescent="0.25">
      <c r="E8227"/>
      <c r="F8227"/>
      <c r="G8227" s="12"/>
      <c r="H8227" s="12"/>
      <c r="I8227" s="12"/>
      <c r="J8227" s="12"/>
    </row>
    <row r="8228" spans="5:10" x14ac:dyDescent="0.25">
      <c r="E8228"/>
      <c r="F8228"/>
      <c r="G8228" s="12"/>
      <c r="H8228" s="12"/>
      <c r="I8228" s="12"/>
      <c r="J8228" s="12"/>
    </row>
    <row r="8229" spans="5:10" x14ac:dyDescent="0.25">
      <c r="E8229"/>
      <c r="F8229"/>
      <c r="G8229" s="12"/>
      <c r="H8229" s="12"/>
      <c r="I8229" s="12"/>
      <c r="J8229" s="12"/>
    </row>
    <row r="8230" spans="5:10" x14ac:dyDescent="0.25">
      <c r="E8230"/>
      <c r="F8230"/>
      <c r="G8230" s="12"/>
      <c r="H8230" s="12"/>
      <c r="I8230" s="12"/>
      <c r="J8230" s="12"/>
    </row>
    <row r="8231" spans="5:10" x14ac:dyDescent="0.25">
      <c r="E8231"/>
      <c r="F8231"/>
      <c r="G8231" s="12"/>
      <c r="H8231" s="12"/>
      <c r="I8231" s="12"/>
      <c r="J8231" s="12"/>
    </row>
    <row r="8232" spans="5:10" x14ac:dyDescent="0.25">
      <c r="E8232"/>
      <c r="F8232"/>
      <c r="G8232" s="12"/>
      <c r="H8232" s="12"/>
      <c r="I8232" s="12"/>
      <c r="J8232" s="12"/>
    </row>
    <row r="8233" spans="5:10" x14ac:dyDescent="0.25">
      <c r="E8233"/>
      <c r="F8233"/>
      <c r="G8233" s="12"/>
      <c r="H8233" s="12"/>
      <c r="I8233" s="12"/>
      <c r="J8233" s="12"/>
    </row>
    <row r="8234" spans="5:10" x14ac:dyDescent="0.25">
      <c r="E8234"/>
      <c r="F8234"/>
      <c r="G8234" s="12"/>
      <c r="H8234" s="12"/>
      <c r="I8234" s="12"/>
      <c r="J8234" s="12"/>
    </row>
    <row r="8235" spans="5:10" x14ac:dyDescent="0.25">
      <c r="E8235"/>
      <c r="F8235"/>
      <c r="G8235" s="12"/>
      <c r="H8235" s="12"/>
      <c r="I8235" s="12"/>
      <c r="J8235" s="12"/>
    </row>
    <row r="8236" spans="5:10" x14ac:dyDescent="0.25">
      <c r="E8236"/>
      <c r="F8236"/>
      <c r="G8236" s="12"/>
      <c r="H8236" s="12"/>
      <c r="I8236" s="12"/>
      <c r="J8236" s="12"/>
    </row>
    <row r="8237" spans="5:10" x14ac:dyDescent="0.25">
      <c r="E8237"/>
      <c r="F8237"/>
      <c r="G8237" s="12"/>
      <c r="H8237" s="12"/>
      <c r="I8237" s="12"/>
      <c r="J8237" s="12"/>
    </row>
    <row r="8238" spans="5:10" x14ac:dyDescent="0.25">
      <c r="E8238"/>
      <c r="F8238"/>
      <c r="G8238" s="12"/>
      <c r="H8238" s="12"/>
      <c r="I8238" s="12"/>
      <c r="J8238" s="12"/>
    </row>
    <row r="8239" spans="5:10" x14ac:dyDescent="0.25">
      <c r="E8239"/>
      <c r="F8239"/>
      <c r="G8239" s="12"/>
      <c r="H8239" s="12"/>
      <c r="I8239" s="12"/>
      <c r="J8239" s="12"/>
    </row>
    <row r="8240" spans="5:10" x14ac:dyDescent="0.25">
      <c r="E8240"/>
      <c r="F8240"/>
      <c r="G8240" s="12"/>
      <c r="H8240" s="12"/>
      <c r="I8240" s="12"/>
      <c r="J8240" s="12"/>
    </row>
    <row r="8241" spans="5:10" x14ac:dyDescent="0.25">
      <c r="E8241"/>
      <c r="F8241"/>
      <c r="G8241" s="12"/>
      <c r="H8241" s="12"/>
      <c r="I8241" s="12"/>
      <c r="J8241" s="12"/>
    </row>
    <row r="8242" spans="5:10" x14ac:dyDescent="0.25">
      <c r="E8242"/>
      <c r="F8242"/>
      <c r="G8242" s="12"/>
      <c r="H8242" s="12"/>
      <c r="I8242" s="12"/>
      <c r="J8242" s="12"/>
    </row>
    <row r="8243" spans="5:10" x14ac:dyDescent="0.25">
      <c r="E8243"/>
      <c r="F8243"/>
      <c r="G8243" s="12"/>
      <c r="H8243" s="12"/>
      <c r="I8243" s="12"/>
      <c r="J8243" s="12"/>
    </row>
    <row r="8244" spans="5:10" x14ac:dyDescent="0.25">
      <c r="E8244"/>
      <c r="F8244"/>
      <c r="G8244" s="12"/>
      <c r="H8244" s="12"/>
      <c r="I8244" s="12"/>
      <c r="J8244" s="12"/>
    </row>
    <row r="8245" spans="5:10" x14ac:dyDescent="0.25">
      <c r="E8245"/>
      <c r="F8245"/>
      <c r="G8245" s="12"/>
      <c r="H8245" s="12"/>
      <c r="I8245" s="12"/>
      <c r="J8245" s="12"/>
    </row>
    <row r="8246" spans="5:10" x14ac:dyDescent="0.25">
      <c r="E8246"/>
      <c r="F8246"/>
      <c r="G8246" s="12"/>
      <c r="H8246" s="12"/>
      <c r="I8246" s="12"/>
      <c r="J8246" s="12"/>
    </row>
    <row r="8247" spans="5:10" x14ac:dyDescent="0.25">
      <c r="E8247"/>
      <c r="F8247"/>
      <c r="G8247" s="12"/>
      <c r="H8247" s="12"/>
      <c r="I8247" s="12"/>
      <c r="J8247" s="12"/>
    </row>
    <row r="8248" spans="5:10" x14ac:dyDescent="0.25">
      <c r="E8248"/>
      <c r="F8248"/>
      <c r="G8248" s="12"/>
      <c r="H8248" s="12"/>
      <c r="I8248" s="12"/>
      <c r="J8248" s="12"/>
    </row>
    <row r="8249" spans="5:10" x14ac:dyDescent="0.25">
      <c r="E8249"/>
      <c r="F8249"/>
      <c r="G8249" s="12"/>
      <c r="H8249" s="12"/>
      <c r="I8249" s="12"/>
      <c r="J8249" s="12"/>
    </row>
    <row r="8250" spans="5:10" x14ac:dyDescent="0.25">
      <c r="E8250"/>
      <c r="F8250"/>
      <c r="G8250" s="12"/>
      <c r="H8250" s="12"/>
      <c r="I8250" s="12"/>
      <c r="J8250" s="12"/>
    </row>
    <row r="8251" spans="5:10" x14ac:dyDescent="0.25">
      <c r="E8251"/>
      <c r="F8251"/>
      <c r="G8251" s="12"/>
      <c r="H8251" s="12"/>
      <c r="I8251" s="12"/>
      <c r="J8251" s="12"/>
    </row>
    <row r="8252" spans="5:10" x14ac:dyDescent="0.25">
      <c r="E8252"/>
      <c r="F8252"/>
      <c r="G8252" s="12"/>
      <c r="H8252" s="12"/>
      <c r="I8252" s="12"/>
      <c r="J8252" s="12"/>
    </row>
    <row r="8253" spans="5:10" x14ac:dyDescent="0.25">
      <c r="E8253"/>
      <c r="F8253"/>
      <c r="G8253" s="12"/>
      <c r="H8253" s="12"/>
      <c r="I8253" s="12"/>
      <c r="J8253" s="12"/>
    </row>
    <row r="8254" spans="5:10" x14ac:dyDescent="0.25">
      <c r="E8254"/>
      <c r="F8254"/>
      <c r="G8254" s="12"/>
      <c r="H8254" s="12"/>
      <c r="I8254" s="12"/>
      <c r="J8254" s="12"/>
    </row>
    <row r="8255" spans="5:10" x14ac:dyDescent="0.25">
      <c r="E8255"/>
      <c r="F8255"/>
      <c r="G8255" s="12"/>
      <c r="H8255" s="12"/>
      <c r="I8255" s="12"/>
      <c r="J8255" s="12"/>
    </row>
    <row r="8256" spans="5:10" x14ac:dyDescent="0.25">
      <c r="E8256"/>
      <c r="F8256"/>
      <c r="G8256" s="12"/>
      <c r="H8256" s="12"/>
      <c r="I8256" s="12"/>
      <c r="J8256" s="12"/>
    </row>
    <row r="8257" spans="5:10" x14ac:dyDescent="0.25">
      <c r="E8257"/>
      <c r="F8257"/>
      <c r="G8257" s="12"/>
      <c r="H8257" s="12"/>
      <c r="I8257" s="12"/>
      <c r="J8257" s="12"/>
    </row>
    <row r="8258" spans="5:10" x14ac:dyDescent="0.25">
      <c r="E8258"/>
      <c r="F8258"/>
      <c r="G8258" s="12"/>
      <c r="H8258" s="12"/>
      <c r="I8258" s="12"/>
      <c r="J8258" s="12"/>
    </row>
    <row r="8259" spans="5:10" x14ac:dyDescent="0.25">
      <c r="E8259"/>
      <c r="F8259"/>
      <c r="G8259" s="12"/>
      <c r="H8259" s="12"/>
      <c r="I8259" s="12"/>
      <c r="J8259" s="12"/>
    </row>
    <row r="8260" spans="5:10" x14ac:dyDescent="0.25">
      <c r="E8260"/>
      <c r="F8260"/>
      <c r="G8260" s="12"/>
      <c r="H8260" s="12"/>
      <c r="I8260" s="12"/>
      <c r="J8260" s="12"/>
    </row>
    <row r="8261" spans="5:10" x14ac:dyDescent="0.25">
      <c r="E8261"/>
      <c r="F8261"/>
      <c r="G8261" s="12"/>
      <c r="H8261" s="12"/>
      <c r="I8261" s="12"/>
      <c r="J8261" s="12"/>
    </row>
    <row r="8262" spans="5:10" x14ac:dyDescent="0.25">
      <c r="E8262"/>
      <c r="F8262"/>
      <c r="G8262" s="12"/>
      <c r="H8262" s="12"/>
      <c r="I8262" s="12"/>
      <c r="J8262" s="12"/>
    </row>
    <row r="8263" spans="5:10" x14ac:dyDescent="0.25">
      <c r="E8263"/>
      <c r="F8263"/>
      <c r="G8263" s="12"/>
      <c r="H8263" s="12"/>
      <c r="I8263" s="12"/>
      <c r="J8263" s="12"/>
    </row>
    <row r="8264" spans="5:10" x14ac:dyDescent="0.25">
      <c r="E8264"/>
      <c r="F8264"/>
      <c r="G8264" s="12"/>
      <c r="H8264" s="12"/>
      <c r="I8264" s="12"/>
      <c r="J8264" s="12"/>
    </row>
    <row r="8265" spans="5:10" x14ac:dyDescent="0.25">
      <c r="E8265"/>
      <c r="F8265"/>
      <c r="G8265" s="12"/>
      <c r="H8265" s="12"/>
      <c r="I8265" s="12"/>
      <c r="J8265" s="12"/>
    </row>
    <row r="8266" spans="5:10" x14ac:dyDescent="0.25">
      <c r="E8266"/>
      <c r="F8266"/>
      <c r="G8266" s="12"/>
      <c r="H8266" s="12"/>
      <c r="I8266" s="12"/>
      <c r="J8266" s="12"/>
    </row>
    <row r="8267" spans="5:10" x14ac:dyDescent="0.25">
      <c r="E8267"/>
      <c r="F8267"/>
      <c r="G8267" s="12"/>
      <c r="H8267" s="12"/>
      <c r="I8267" s="12"/>
      <c r="J8267" s="12"/>
    </row>
    <row r="8268" spans="5:10" x14ac:dyDescent="0.25">
      <c r="E8268"/>
      <c r="F8268"/>
      <c r="G8268" s="12"/>
      <c r="H8268" s="12"/>
      <c r="I8268" s="12"/>
      <c r="J8268" s="12"/>
    </row>
    <row r="8269" spans="5:10" x14ac:dyDescent="0.25">
      <c r="E8269"/>
      <c r="F8269"/>
      <c r="G8269" s="12"/>
      <c r="H8269" s="12"/>
      <c r="I8269" s="12"/>
      <c r="J8269" s="12"/>
    </row>
    <row r="8270" spans="5:10" x14ac:dyDescent="0.25">
      <c r="E8270"/>
      <c r="F8270"/>
      <c r="G8270" s="12"/>
      <c r="H8270" s="12"/>
      <c r="I8270" s="12"/>
      <c r="J8270" s="12"/>
    </row>
    <row r="8271" spans="5:10" x14ac:dyDescent="0.25">
      <c r="E8271"/>
      <c r="F8271"/>
      <c r="G8271" s="12"/>
      <c r="H8271" s="12"/>
      <c r="I8271" s="12"/>
      <c r="J8271" s="12"/>
    </row>
    <row r="8272" spans="5:10" x14ac:dyDescent="0.25">
      <c r="E8272"/>
      <c r="F8272"/>
      <c r="G8272" s="12"/>
      <c r="H8272" s="12"/>
      <c r="I8272" s="12"/>
      <c r="J8272" s="12"/>
    </row>
    <row r="8273" spans="5:10" x14ac:dyDescent="0.25">
      <c r="E8273"/>
      <c r="F8273"/>
      <c r="G8273" s="12"/>
      <c r="H8273" s="12"/>
      <c r="I8273" s="12"/>
      <c r="J8273" s="12"/>
    </row>
    <row r="8274" spans="5:10" x14ac:dyDescent="0.25">
      <c r="E8274"/>
      <c r="F8274"/>
      <c r="G8274" s="12"/>
      <c r="H8274" s="12"/>
      <c r="I8274" s="12"/>
      <c r="J8274" s="12"/>
    </row>
    <row r="8275" spans="5:10" x14ac:dyDescent="0.25">
      <c r="E8275"/>
      <c r="F8275"/>
      <c r="G8275" s="12"/>
      <c r="H8275" s="12"/>
      <c r="I8275" s="12"/>
      <c r="J8275" s="12"/>
    </row>
    <row r="8276" spans="5:10" x14ac:dyDescent="0.25">
      <c r="E8276"/>
      <c r="F8276"/>
      <c r="G8276" s="12"/>
      <c r="H8276" s="12"/>
      <c r="I8276" s="12"/>
      <c r="J8276" s="12"/>
    </row>
    <row r="8277" spans="5:10" x14ac:dyDescent="0.25">
      <c r="E8277"/>
      <c r="F8277"/>
      <c r="G8277" s="12"/>
      <c r="H8277" s="12"/>
      <c r="I8277" s="12"/>
      <c r="J8277" s="12"/>
    </row>
    <row r="8278" spans="5:10" x14ac:dyDescent="0.25">
      <c r="E8278"/>
      <c r="F8278"/>
      <c r="G8278" s="12"/>
      <c r="H8278" s="12"/>
      <c r="I8278" s="12"/>
      <c r="J8278" s="12"/>
    </row>
    <row r="8279" spans="5:10" x14ac:dyDescent="0.25">
      <c r="E8279"/>
      <c r="F8279"/>
      <c r="G8279" s="12"/>
      <c r="H8279" s="12"/>
      <c r="I8279" s="12"/>
      <c r="J8279" s="12"/>
    </row>
    <row r="8280" spans="5:10" x14ac:dyDescent="0.25">
      <c r="E8280"/>
      <c r="F8280"/>
      <c r="G8280" s="12"/>
      <c r="H8280" s="12"/>
      <c r="I8280" s="12"/>
      <c r="J8280" s="12"/>
    </row>
    <row r="8281" spans="5:10" x14ac:dyDescent="0.25">
      <c r="E8281"/>
      <c r="F8281"/>
      <c r="G8281" s="12"/>
      <c r="H8281" s="12"/>
      <c r="I8281" s="12"/>
      <c r="J8281" s="12"/>
    </row>
    <row r="8282" spans="5:10" x14ac:dyDescent="0.25">
      <c r="E8282"/>
      <c r="F8282"/>
      <c r="G8282" s="12"/>
      <c r="H8282" s="12"/>
      <c r="I8282" s="12"/>
      <c r="J8282" s="12"/>
    </row>
    <row r="8283" spans="5:10" x14ac:dyDescent="0.25">
      <c r="E8283"/>
      <c r="F8283"/>
      <c r="G8283" s="12"/>
      <c r="H8283" s="12"/>
      <c r="I8283" s="12"/>
      <c r="J8283" s="12"/>
    </row>
    <row r="8284" spans="5:10" x14ac:dyDescent="0.25">
      <c r="E8284"/>
      <c r="F8284"/>
      <c r="G8284" s="12"/>
      <c r="H8284" s="12"/>
      <c r="I8284" s="12"/>
      <c r="J8284" s="12"/>
    </row>
    <row r="8285" spans="5:10" x14ac:dyDescent="0.25">
      <c r="E8285"/>
      <c r="F8285"/>
      <c r="G8285" s="12"/>
      <c r="H8285" s="12"/>
      <c r="I8285" s="12"/>
      <c r="J8285" s="12"/>
    </row>
    <row r="8286" spans="5:10" x14ac:dyDescent="0.25">
      <c r="E8286"/>
      <c r="F8286"/>
      <c r="G8286" s="12"/>
      <c r="H8286" s="12"/>
      <c r="I8286" s="12"/>
      <c r="J8286" s="12"/>
    </row>
    <row r="8287" spans="5:10" x14ac:dyDescent="0.25">
      <c r="E8287"/>
      <c r="F8287"/>
      <c r="G8287" s="12"/>
      <c r="H8287" s="12"/>
      <c r="I8287" s="12"/>
      <c r="J8287" s="12"/>
    </row>
    <row r="8288" spans="5:10" x14ac:dyDescent="0.25">
      <c r="E8288"/>
      <c r="F8288"/>
      <c r="G8288" s="12"/>
      <c r="H8288" s="12"/>
      <c r="I8288" s="12"/>
      <c r="J8288" s="12"/>
    </row>
    <row r="8289" spans="5:10" x14ac:dyDescent="0.25">
      <c r="E8289"/>
      <c r="F8289"/>
      <c r="G8289" s="12"/>
      <c r="H8289" s="12"/>
      <c r="I8289" s="12"/>
      <c r="J8289" s="12"/>
    </row>
    <row r="8290" spans="5:10" x14ac:dyDescent="0.25">
      <c r="E8290"/>
      <c r="F8290"/>
      <c r="G8290" s="12"/>
      <c r="H8290" s="12"/>
      <c r="I8290" s="12"/>
      <c r="J8290" s="12"/>
    </row>
    <row r="8291" spans="5:10" x14ac:dyDescent="0.25">
      <c r="E8291"/>
      <c r="F8291"/>
      <c r="G8291" s="12"/>
      <c r="H8291" s="12"/>
      <c r="I8291" s="12"/>
      <c r="J8291" s="12"/>
    </row>
    <row r="8292" spans="5:10" x14ac:dyDescent="0.25">
      <c r="E8292"/>
      <c r="F8292"/>
      <c r="G8292" s="12"/>
      <c r="H8292" s="12"/>
      <c r="I8292" s="12"/>
      <c r="J8292" s="12"/>
    </row>
    <row r="8293" spans="5:10" x14ac:dyDescent="0.25">
      <c r="E8293"/>
      <c r="F8293"/>
      <c r="G8293" s="12"/>
      <c r="H8293" s="12"/>
      <c r="I8293" s="12"/>
      <c r="J8293" s="12"/>
    </row>
    <row r="8294" spans="5:10" x14ac:dyDescent="0.25">
      <c r="E8294"/>
      <c r="F8294"/>
      <c r="G8294" s="12"/>
      <c r="H8294" s="12"/>
      <c r="I8294" s="12"/>
      <c r="J8294" s="12"/>
    </row>
    <row r="8295" spans="5:10" x14ac:dyDescent="0.25">
      <c r="E8295"/>
      <c r="F8295"/>
      <c r="G8295" s="12"/>
      <c r="H8295" s="12"/>
      <c r="I8295" s="12"/>
      <c r="J8295" s="12"/>
    </row>
    <row r="8296" spans="5:10" x14ac:dyDescent="0.25">
      <c r="E8296"/>
      <c r="F8296"/>
      <c r="G8296" s="12"/>
      <c r="H8296" s="12"/>
      <c r="I8296" s="12"/>
      <c r="J8296" s="12"/>
    </row>
    <row r="8297" spans="5:10" x14ac:dyDescent="0.25">
      <c r="E8297"/>
      <c r="F8297"/>
      <c r="G8297" s="12"/>
      <c r="H8297" s="12"/>
      <c r="I8297" s="12"/>
      <c r="J8297" s="12"/>
    </row>
    <row r="8298" spans="5:10" x14ac:dyDescent="0.25">
      <c r="E8298"/>
      <c r="F8298"/>
      <c r="G8298" s="12"/>
      <c r="H8298" s="12"/>
      <c r="I8298" s="12"/>
      <c r="J8298" s="12"/>
    </row>
    <row r="8299" spans="5:10" x14ac:dyDescent="0.25">
      <c r="E8299"/>
      <c r="F8299"/>
      <c r="G8299" s="12"/>
      <c r="H8299" s="12"/>
      <c r="I8299" s="12"/>
      <c r="J8299" s="12"/>
    </row>
    <row r="8300" spans="5:10" x14ac:dyDescent="0.25">
      <c r="E8300"/>
      <c r="F8300"/>
      <c r="G8300" s="12"/>
      <c r="H8300" s="12"/>
      <c r="I8300" s="12"/>
      <c r="J8300" s="12"/>
    </row>
    <row r="8301" spans="5:10" x14ac:dyDescent="0.25">
      <c r="E8301"/>
      <c r="F8301"/>
      <c r="G8301" s="12"/>
      <c r="H8301" s="12"/>
      <c r="I8301" s="12"/>
      <c r="J8301" s="12"/>
    </row>
    <row r="8302" spans="5:10" x14ac:dyDescent="0.25">
      <c r="E8302"/>
      <c r="F8302"/>
      <c r="G8302" s="12"/>
      <c r="H8302" s="12"/>
      <c r="I8302" s="12"/>
      <c r="J8302" s="12"/>
    </row>
    <row r="8303" spans="5:10" x14ac:dyDescent="0.25">
      <c r="E8303"/>
      <c r="F8303"/>
      <c r="G8303" s="12"/>
      <c r="H8303" s="12"/>
      <c r="I8303" s="12"/>
      <c r="J8303" s="12"/>
    </row>
    <row r="8304" spans="5:10" x14ac:dyDescent="0.25">
      <c r="E8304"/>
      <c r="F8304"/>
      <c r="G8304" s="12"/>
      <c r="H8304" s="12"/>
      <c r="I8304" s="12"/>
      <c r="J8304" s="12"/>
    </row>
    <row r="8305" spans="5:10" x14ac:dyDescent="0.25">
      <c r="E8305"/>
      <c r="F8305"/>
      <c r="G8305" s="12"/>
      <c r="H8305" s="12"/>
      <c r="I8305" s="12"/>
      <c r="J8305" s="12"/>
    </row>
    <row r="8306" spans="5:10" x14ac:dyDescent="0.25">
      <c r="E8306"/>
      <c r="F8306"/>
      <c r="G8306" s="12"/>
      <c r="H8306" s="12"/>
      <c r="I8306" s="12"/>
      <c r="J8306" s="12"/>
    </row>
    <row r="8307" spans="5:10" x14ac:dyDescent="0.25">
      <c r="E8307"/>
      <c r="F8307"/>
      <c r="G8307" s="12"/>
      <c r="H8307" s="12"/>
      <c r="I8307" s="12"/>
      <c r="J8307" s="12"/>
    </row>
    <row r="8308" spans="5:10" x14ac:dyDescent="0.25">
      <c r="E8308"/>
      <c r="F8308"/>
      <c r="G8308" s="12"/>
      <c r="H8308" s="12"/>
      <c r="I8308" s="12"/>
      <c r="J8308" s="12"/>
    </row>
    <row r="8309" spans="5:10" x14ac:dyDescent="0.25">
      <c r="E8309"/>
      <c r="F8309"/>
      <c r="G8309" s="12"/>
      <c r="H8309" s="12"/>
      <c r="I8309" s="12"/>
      <c r="J8309" s="12"/>
    </row>
    <row r="8310" spans="5:10" x14ac:dyDescent="0.25">
      <c r="E8310"/>
      <c r="F8310"/>
      <c r="G8310" s="12"/>
      <c r="H8310" s="12"/>
      <c r="I8310" s="12"/>
      <c r="J8310" s="12"/>
    </row>
    <row r="8311" spans="5:10" x14ac:dyDescent="0.25">
      <c r="E8311"/>
      <c r="F8311"/>
      <c r="G8311" s="12"/>
      <c r="H8311" s="12"/>
      <c r="I8311" s="12"/>
      <c r="J8311" s="12"/>
    </row>
    <row r="8312" spans="5:10" x14ac:dyDescent="0.25">
      <c r="E8312"/>
      <c r="F8312"/>
      <c r="G8312" s="12"/>
      <c r="H8312" s="12"/>
      <c r="I8312" s="12"/>
      <c r="J8312" s="12"/>
    </row>
    <row r="8313" spans="5:10" x14ac:dyDescent="0.25">
      <c r="E8313"/>
      <c r="F8313"/>
      <c r="G8313" s="12"/>
      <c r="H8313" s="12"/>
      <c r="I8313" s="12"/>
      <c r="J8313" s="12"/>
    </row>
    <row r="8314" spans="5:10" x14ac:dyDescent="0.25">
      <c r="E8314"/>
      <c r="F8314"/>
      <c r="G8314" s="12"/>
      <c r="H8314" s="12"/>
      <c r="I8314" s="12"/>
      <c r="J8314" s="12"/>
    </row>
    <row r="8315" spans="5:10" x14ac:dyDescent="0.25">
      <c r="E8315"/>
      <c r="F8315"/>
      <c r="G8315" s="12"/>
      <c r="H8315" s="12"/>
      <c r="I8315" s="12"/>
      <c r="J8315" s="12"/>
    </row>
    <row r="8316" spans="5:10" x14ac:dyDescent="0.25">
      <c r="E8316"/>
      <c r="F8316"/>
      <c r="G8316" s="12"/>
      <c r="H8316" s="12"/>
      <c r="I8316" s="12"/>
      <c r="J8316" s="12"/>
    </row>
    <row r="8317" spans="5:10" x14ac:dyDescent="0.25">
      <c r="E8317"/>
      <c r="F8317"/>
      <c r="G8317" s="12"/>
      <c r="H8317" s="12"/>
      <c r="I8317" s="12"/>
      <c r="J8317" s="12"/>
    </row>
    <row r="8318" spans="5:10" x14ac:dyDescent="0.25">
      <c r="E8318"/>
      <c r="F8318"/>
      <c r="G8318" s="12"/>
      <c r="H8318" s="12"/>
      <c r="I8318" s="12"/>
      <c r="J8318" s="12"/>
    </row>
    <row r="8319" spans="5:10" x14ac:dyDescent="0.25">
      <c r="E8319"/>
      <c r="F8319"/>
      <c r="G8319" s="12"/>
      <c r="H8319" s="12"/>
      <c r="I8319" s="12"/>
      <c r="J8319" s="12"/>
    </row>
    <row r="8320" spans="5:10" x14ac:dyDescent="0.25">
      <c r="E8320"/>
      <c r="F8320"/>
      <c r="G8320" s="12"/>
      <c r="H8320" s="12"/>
      <c r="I8320" s="12"/>
      <c r="J8320" s="12"/>
    </row>
    <row r="8321" spans="5:10" x14ac:dyDescent="0.25">
      <c r="E8321"/>
      <c r="F8321"/>
      <c r="G8321" s="12"/>
      <c r="H8321" s="12"/>
      <c r="I8321" s="12"/>
      <c r="J8321" s="12"/>
    </row>
    <row r="8322" spans="5:10" x14ac:dyDescent="0.25">
      <c r="E8322"/>
      <c r="F8322"/>
      <c r="G8322" s="12"/>
      <c r="H8322" s="12"/>
      <c r="I8322" s="12"/>
      <c r="J8322" s="12"/>
    </row>
    <row r="8323" spans="5:10" x14ac:dyDescent="0.25">
      <c r="E8323"/>
      <c r="F8323"/>
      <c r="G8323" s="12"/>
      <c r="H8323" s="12"/>
      <c r="I8323" s="12"/>
      <c r="J8323" s="12"/>
    </row>
    <row r="8324" spans="5:10" x14ac:dyDescent="0.25">
      <c r="E8324"/>
      <c r="F8324"/>
      <c r="G8324" s="12"/>
      <c r="H8324" s="12"/>
      <c r="I8324" s="12"/>
      <c r="J8324" s="12"/>
    </row>
    <row r="8325" spans="5:10" x14ac:dyDescent="0.25">
      <c r="E8325"/>
      <c r="F8325"/>
      <c r="G8325" s="12"/>
      <c r="H8325" s="12"/>
      <c r="I8325" s="12"/>
      <c r="J8325" s="12"/>
    </row>
    <row r="8326" spans="5:10" x14ac:dyDescent="0.25">
      <c r="E8326"/>
      <c r="F8326"/>
      <c r="G8326" s="12"/>
      <c r="H8326" s="12"/>
      <c r="I8326" s="12"/>
      <c r="J8326" s="12"/>
    </row>
    <row r="8327" spans="5:10" x14ac:dyDescent="0.25">
      <c r="E8327"/>
      <c r="F8327"/>
      <c r="G8327" s="12"/>
      <c r="H8327" s="12"/>
      <c r="I8327" s="12"/>
      <c r="J8327" s="12"/>
    </row>
    <row r="8328" spans="5:10" x14ac:dyDescent="0.25">
      <c r="E8328"/>
      <c r="F8328"/>
      <c r="G8328" s="12"/>
      <c r="H8328" s="12"/>
      <c r="I8328" s="12"/>
      <c r="J8328" s="12"/>
    </row>
    <row r="8329" spans="5:10" x14ac:dyDescent="0.25">
      <c r="E8329"/>
      <c r="F8329"/>
      <c r="G8329" s="12"/>
      <c r="H8329" s="12"/>
      <c r="I8329" s="12"/>
      <c r="J8329" s="12"/>
    </row>
    <row r="8330" spans="5:10" x14ac:dyDescent="0.25">
      <c r="E8330"/>
      <c r="F8330"/>
      <c r="G8330" s="12"/>
      <c r="H8330" s="12"/>
      <c r="I8330" s="12"/>
      <c r="J8330" s="12"/>
    </row>
    <row r="8331" spans="5:10" x14ac:dyDescent="0.25">
      <c r="E8331"/>
      <c r="F8331"/>
      <c r="G8331" s="12"/>
      <c r="H8331" s="12"/>
      <c r="I8331" s="12"/>
      <c r="J8331" s="12"/>
    </row>
    <row r="8332" spans="5:10" x14ac:dyDescent="0.25">
      <c r="E8332"/>
      <c r="F8332"/>
      <c r="G8332" s="12"/>
      <c r="H8332" s="12"/>
      <c r="I8332" s="12"/>
      <c r="J8332" s="12"/>
    </row>
    <row r="8333" spans="5:10" x14ac:dyDescent="0.25">
      <c r="E8333"/>
      <c r="F8333"/>
      <c r="G8333" s="12"/>
      <c r="H8333" s="12"/>
      <c r="I8333" s="12"/>
      <c r="J8333" s="12"/>
    </row>
    <row r="8334" spans="5:10" x14ac:dyDescent="0.25">
      <c r="E8334"/>
      <c r="F8334"/>
      <c r="G8334" s="12"/>
      <c r="H8334" s="12"/>
      <c r="I8334" s="12"/>
      <c r="J8334" s="12"/>
    </row>
    <row r="8335" spans="5:10" x14ac:dyDescent="0.25">
      <c r="E8335"/>
      <c r="F8335"/>
      <c r="G8335" s="12"/>
      <c r="H8335" s="12"/>
      <c r="I8335" s="12"/>
      <c r="J8335" s="12"/>
    </row>
    <row r="8336" spans="5:10" x14ac:dyDescent="0.25">
      <c r="E8336"/>
      <c r="F8336"/>
      <c r="G8336" s="12"/>
      <c r="H8336" s="12"/>
      <c r="I8336" s="12"/>
      <c r="J8336" s="12"/>
    </row>
    <row r="8337" spans="5:10" x14ac:dyDescent="0.25">
      <c r="E8337"/>
      <c r="F8337"/>
      <c r="G8337" s="12"/>
      <c r="H8337" s="12"/>
      <c r="I8337" s="12"/>
      <c r="J8337" s="12"/>
    </row>
    <row r="8338" spans="5:10" x14ac:dyDescent="0.25">
      <c r="E8338"/>
      <c r="F8338"/>
      <c r="G8338" s="12"/>
      <c r="H8338" s="12"/>
      <c r="I8338" s="12"/>
      <c r="J8338" s="12"/>
    </row>
    <row r="8339" spans="5:10" x14ac:dyDescent="0.25">
      <c r="E8339"/>
      <c r="F8339"/>
      <c r="G8339" s="12"/>
      <c r="H8339" s="12"/>
      <c r="I8339" s="12"/>
      <c r="J8339" s="12"/>
    </row>
    <row r="8340" spans="5:10" x14ac:dyDescent="0.25">
      <c r="E8340"/>
      <c r="F8340"/>
      <c r="G8340" s="12"/>
      <c r="H8340" s="12"/>
      <c r="I8340" s="12"/>
      <c r="J8340" s="12"/>
    </row>
    <row r="8341" spans="5:10" x14ac:dyDescent="0.25">
      <c r="E8341"/>
      <c r="F8341"/>
      <c r="G8341" s="12"/>
      <c r="H8341" s="12"/>
      <c r="I8341" s="12"/>
      <c r="J8341" s="12"/>
    </row>
    <row r="8342" spans="5:10" x14ac:dyDescent="0.25">
      <c r="E8342"/>
      <c r="F8342"/>
      <c r="G8342" s="12"/>
      <c r="H8342" s="12"/>
      <c r="I8342" s="12"/>
      <c r="J8342" s="12"/>
    </row>
    <row r="8343" spans="5:10" x14ac:dyDescent="0.25">
      <c r="E8343"/>
      <c r="F8343"/>
      <c r="G8343" s="12"/>
      <c r="H8343" s="12"/>
      <c r="I8343" s="12"/>
      <c r="J8343" s="12"/>
    </row>
    <row r="8344" spans="5:10" x14ac:dyDescent="0.25">
      <c r="E8344"/>
      <c r="F8344"/>
      <c r="G8344" s="12"/>
      <c r="H8344" s="12"/>
      <c r="I8344" s="12"/>
      <c r="J8344" s="12"/>
    </row>
    <row r="8345" spans="5:10" x14ac:dyDescent="0.25">
      <c r="E8345"/>
      <c r="F8345"/>
      <c r="G8345" s="12"/>
      <c r="H8345" s="12"/>
      <c r="I8345" s="12"/>
      <c r="J8345" s="12"/>
    </row>
    <row r="8346" spans="5:10" x14ac:dyDescent="0.25">
      <c r="E8346"/>
      <c r="F8346"/>
      <c r="G8346" s="12"/>
      <c r="H8346" s="12"/>
      <c r="I8346" s="12"/>
      <c r="J8346" s="12"/>
    </row>
    <row r="8347" spans="5:10" x14ac:dyDescent="0.25">
      <c r="E8347"/>
      <c r="F8347"/>
      <c r="G8347" s="12"/>
      <c r="H8347" s="12"/>
      <c r="I8347" s="12"/>
      <c r="J8347" s="12"/>
    </row>
    <row r="8348" spans="5:10" x14ac:dyDescent="0.25">
      <c r="E8348"/>
      <c r="F8348"/>
      <c r="G8348" s="12"/>
      <c r="H8348" s="12"/>
      <c r="I8348" s="12"/>
      <c r="J8348" s="12"/>
    </row>
    <row r="8349" spans="5:10" x14ac:dyDescent="0.25">
      <c r="E8349"/>
      <c r="F8349"/>
      <c r="G8349" s="12"/>
      <c r="H8349" s="12"/>
      <c r="I8349" s="12"/>
      <c r="J8349" s="12"/>
    </row>
    <row r="8350" spans="5:10" x14ac:dyDescent="0.25">
      <c r="E8350"/>
      <c r="F8350"/>
      <c r="G8350" s="12"/>
      <c r="H8350" s="12"/>
      <c r="I8350" s="12"/>
      <c r="J8350" s="12"/>
    </row>
    <row r="8351" spans="5:10" x14ac:dyDescent="0.25">
      <c r="E8351"/>
      <c r="F8351"/>
      <c r="G8351" s="12"/>
      <c r="H8351" s="12"/>
      <c r="I8351" s="12"/>
      <c r="J8351" s="12"/>
    </row>
    <row r="8352" spans="5:10" x14ac:dyDescent="0.25">
      <c r="E8352"/>
      <c r="F8352"/>
      <c r="G8352" s="12"/>
      <c r="H8352" s="12"/>
      <c r="I8352" s="12"/>
      <c r="J8352" s="12"/>
    </row>
    <row r="8353" spans="5:10" x14ac:dyDescent="0.25">
      <c r="E8353"/>
      <c r="F8353"/>
      <c r="G8353" s="12"/>
      <c r="H8353" s="12"/>
      <c r="I8353" s="12"/>
      <c r="J8353" s="12"/>
    </row>
    <row r="8354" spans="5:10" x14ac:dyDescent="0.25">
      <c r="E8354"/>
      <c r="F8354"/>
      <c r="G8354" s="12"/>
      <c r="H8354" s="12"/>
      <c r="I8354" s="12"/>
      <c r="J8354" s="12"/>
    </row>
    <row r="8355" spans="5:10" x14ac:dyDescent="0.25">
      <c r="E8355"/>
      <c r="F8355"/>
      <c r="G8355" s="12"/>
      <c r="H8355" s="12"/>
      <c r="I8355" s="12"/>
      <c r="J8355" s="12"/>
    </row>
    <row r="8356" spans="5:10" x14ac:dyDescent="0.25">
      <c r="E8356"/>
      <c r="F8356"/>
      <c r="G8356" s="12"/>
      <c r="H8356" s="12"/>
      <c r="I8356" s="12"/>
      <c r="J8356" s="12"/>
    </row>
    <row r="8357" spans="5:10" x14ac:dyDescent="0.25">
      <c r="E8357"/>
      <c r="F8357"/>
      <c r="G8357" s="12"/>
      <c r="H8357" s="12"/>
      <c r="I8357" s="12"/>
      <c r="J8357" s="12"/>
    </row>
    <row r="8358" spans="5:10" x14ac:dyDescent="0.25">
      <c r="E8358"/>
      <c r="F8358"/>
      <c r="G8358" s="12"/>
      <c r="H8358" s="12"/>
      <c r="I8358" s="12"/>
      <c r="J8358" s="12"/>
    </row>
    <row r="8359" spans="5:10" x14ac:dyDescent="0.25">
      <c r="E8359"/>
      <c r="F8359"/>
      <c r="G8359" s="12"/>
      <c r="H8359" s="12"/>
      <c r="I8359" s="12"/>
      <c r="J8359" s="12"/>
    </row>
    <row r="8360" spans="5:10" x14ac:dyDescent="0.25">
      <c r="E8360"/>
      <c r="F8360"/>
      <c r="G8360" s="12"/>
      <c r="H8360" s="12"/>
      <c r="I8360" s="12"/>
      <c r="J8360" s="12"/>
    </row>
    <row r="8361" spans="5:10" x14ac:dyDescent="0.25">
      <c r="E8361"/>
      <c r="F8361"/>
      <c r="G8361" s="12"/>
      <c r="H8361" s="12"/>
      <c r="I8361" s="12"/>
      <c r="J8361" s="12"/>
    </row>
    <row r="8362" spans="5:10" x14ac:dyDescent="0.25">
      <c r="E8362"/>
      <c r="F8362"/>
      <c r="G8362" s="12"/>
      <c r="H8362" s="12"/>
      <c r="I8362" s="12"/>
      <c r="J8362" s="12"/>
    </row>
    <row r="8363" spans="5:10" x14ac:dyDescent="0.25">
      <c r="E8363"/>
      <c r="F8363"/>
      <c r="G8363" s="12"/>
      <c r="H8363" s="12"/>
      <c r="I8363" s="12"/>
      <c r="J8363" s="12"/>
    </row>
    <row r="8364" spans="5:10" x14ac:dyDescent="0.25">
      <c r="E8364"/>
      <c r="F8364"/>
      <c r="G8364" s="12"/>
      <c r="H8364" s="12"/>
      <c r="I8364" s="12"/>
      <c r="J8364" s="12"/>
    </row>
    <row r="8365" spans="5:10" x14ac:dyDescent="0.25">
      <c r="E8365"/>
      <c r="F8365"/>
      <c r="G8365" s="12"/>
      <c r="H8365" s="12"/>
      <c r="I8365" s="12"/>
      <c r="J8365" s="12"/>
    </row>
    <row r="8366" spans="5:10" x14ac:dyDescent="0.25">
      <c r="E8366"/>
      <c r="F8366"/>
      <c r="G8366" s="12"/>
      <c r="H8366" s="12"/>
      <c r="I8366" s="12"/>
      <c r="J8366" s="12"/>
    </row>
    <row r="8367" spans="5:10" x14ac:dyDescent="0.25">
      <c r="E8367"/>
      <c r="F8367"/>
      <c r="G8367" s="12"/>
      <c r="H8367" s="12"/>
      <c r="I8367" s="12"/>
      <c r="J8367" s="12"/>
    </row>
    <row r="8368" spans="5:10" x14ac:dyDescent="0.25">
      <c r="E8368"/>
      <c r="F8368"/>
      <c r="G8368" s="12"/>
      <c r="H8368" s="12"/>
      <c r="I8368" s="12"/>
      <c r="J8368" s="12"/>
    </row>
    <row r="8369" spans="5:10" x14ac:dyDescent="0.25">
      <c r="E8369"/>
      <c r="F8369"/>
      <c r="G8369" s="12"/>
      <c r="H8369" s="12"/>
      <c r="I8369" s="12"/>
      <c r="J8369" s="12"/>
    </row>
    <row r="8370" spans="5:10" x14ac:dyDescent="0.25">
      <c r="E8370"/>
      <c r="F8370"/>
      <c r="G8370" s="12"/>
      <c r="H8370" s="12"/>
      <c r="I8370" s="12"/>
      <c r="J8370" s="12"/>
    </row>
    <row r="8371" spans="5:10" x14ac:dyDescent="0.25">
      <c r="E8371"/>
      <c r="F8371"/>
      <c r="G8371" s="12"/>
      <c r="H8371" s="12"/>
      <c r="I8371" s="12"/>
      <c r="J8371" s="12"/>
    </row>
    <row r="8372" spans="5:10" x14ac:dyDescent="0.25">
      <c r="E8372"/>
      <c r="F8372"/>
      <c r="G8372" s="12"/>
      <c r="H8372" s="12"/>
      <c r="I8372" s="12"/>
      <c r="J8372" s="12"/>
    </row>
    <row r="8373" spans="5:10" x14ac:dyDescent="0.25">
      <c r="E8373"/>
      <c r="F8373"/>
      <c r="G8373" s="12"/>
      <c r="H8373" s="12"/>
      <c r="I8373" s="12"/>
      <c r="J8373" s="12"/>
    </row>
    <row r="8374" spans="5:10" x14ac:dyDescent="0.25">
      <c r="E8374"/>
      <c r="F8374"/>
      <c r="G8374" s="12"/>
      <c r="H8374" s="12"/>
      <c r="I8374" s="12"/>
      <c r="J8374" s="12"/>
    </row>
    <row r="8375" spans="5:10" x14ac:dyDescent="0.25">
      <c r="E8375"/>
      <c r="F8375"/>
      <c r="G8375" s="12"/>
      <c r="H8375" s="12"/>
      <c r="I8375" s="12"/>
      <c r="J8375" s="12"/>
    </row>
    <row r="8376" spans="5:10" x14ac:dyDescent="0.25">
      <c r="E8376"/>
      <c r="F8376"/>
      <c r="G8376" s="12"/>
      <c r="H8376" s="12"/>
      <c r="I8376" s="12"/>
      <c r="J8376" s="12"/>
    </row>
    <row r="8377" spans="5:10" x14ac:dyDescent="0.25">
      <c r="E8377"/>
      <c r="F8377"/>
      <c r="G8377" s="12"/>
      <c r="H8377" s="12"/>
      <c r="I8377" s="12"/>
      <c r="J8377" s="12"/>
    </row>
    <row r="8378" spans="5:10" x14ac:dyDescent="0.25">
      <c r="E8378"/>
      <c r="F8378"/>
      <c r="G8378" s="12"/>
      <c r="H8378" s="12"/>
      <c r="I8378" s="12"/>
      <c r="J8378" s="12"/>
    </row>
    <row r="8379" spans="5:10" x14ac:dyDescent="0.25">
      <c r="E8379"/>
      <c r="F8379"/>
      <c r="G8379" s="12"/>
      <c r="H8379" s="12"/>
      <c r="I8379" s="12"/>
      <c r="J8379" s="12"/>
    </row>
    <row r="8380" spans="5:10" x14ac:dyDescent="0.25">
      <c r="E8380"/>
      <c r="F8380"/>
      <c r="G8380" s="12"/>
      <c r="H8380" s="12"/>
      <c r="I8380" s="12"/>
      <c r="J8380" s="12"/>
    </row>
    <row r="8381" spans="5:10" x14ac:dyDescent="0.25">
      <c r="E8381"/>
      <c r="F8381"/>
      <c r="G8381" s="12"/>
      <c r="H8381" s="12"/>
      <c r="I8381" s="12"/>
      <c r="J8381" s="12"/>
    </row>
    <row r="8382" spans="5:10" x14ac:dyDescent="0.25">
      <c r="E8382"/>
      <c r="F8382"/>
      <c r="G8382" s="12"/>
      <c r="H8382" s="12"/>
      <c r="I8382" s="12"/>
      <c r="J8382" s="12"/>
    </row>
    <row r="8383" spans="5:10" x14ac:dyDescent="0.25">
      <c r="E8383"/>
      <c r="F8383"/>
      <c r="G8383" s="12"/>
      <c r="H8383" s="12"/>
      <c r="I8383" s="12"/>
      <c r="J8383" s="12"/>
    </row>
    <row r="8384" spans="5:10" x14ac:dyDescent="0.25">
      <c r="E8384"/>
      <c r="F8384"/>
      <c r="G8384" s="12"/>
      <c r="H8384" s="12"/>
      <c r="I8384" s="12"/>
      <c r="J8384" s="12"/>
    </row>
    <row r="8385" spans="5:10" x14ac:dyDescent="0.25">
      <c r="E8385"/>
      <c r="F8385"/>
      <c r="G8385" s="12"/>
      <c r="H8385" s="12"/>
      <c r="I8385" s="12"/>
      <c r="J8385" s="12"/>
    </row>
    <row r="8386" spans="5:10" x14ac:dyDescent="0.25">
      <c r="E8386"/>
      <c r="F8386"/>
      <c r="G8386" s="12"/>
      <c r="H8386" s="12"/>
      <c r="I8386" s="12"/>
      <c r="J8386" s="12"/>
    </row>
    <row r="8387" spans="5:10" x14ac:dyDescent="0.25">
      <c r="E8387"/>
      <c r="F8387"/>
      <c r="G8387" s="12"/>
      <c r="H8387" s="12"/>
      <c r="I8387" s="12"/>
      <c r="J8387" s="12"/>
    </row>
    <row r="8388" spans="5:10" x14ac:dyDescent="0.25">
      <c r="E8388"/>
      <c r="F8388"/>
      <c r="G8388" s="12"/>
      <c r="H8388" s="12"/>
      <c r="I8388" s="12"/>
      <c r="J8388" s="12"/>
    </row>
    <row r="8389" spans="5:10" x14ac:dyDescent="0.25">
      <c r="E8389"/>
      <c r="F8389"/>
      <c r="G8389" s="12"/>
      <c r="H8389" s="12"/>
      <c r="I8389" s="12"/>
      <c r="J8389" s="12"/>
    </row>
    <row r="8390" spans="5:10" x14ac:dyDescent="0.25">
      <c r="E8390"/>
      <c r="F8390"/>
      <c r="G8390" s="12"/>
      <c r="H8390" s="12"/>
      <c r="I8390" s="12"/>
      <c r="J8390" s="12"/>
    </row>
    <row r="8391" spans="5:10" x14ac:dyDescent="0.25">
      <c r="E8391"/>
      <c r="F8391"/>
      <c r="G8391" s="12"/>
      <c r="H8391" s="12"/>
      <c r="I8391" s="12"/>
      <c r="J8391" s="12"/>
    </row>
    <row r="8392" spans="5:10" x14ac:dyDescent="0.25">
      <c r="E8392"/>
      <c r="F8392"/>
      <c r="G8392" s="12"/>
      <c r="H8392" s="12"/>
      <c r="I8392" s="12"/>
      <c r="J8392" s="12"/>
    </row>
    <row r="8393" spans="5:10" x14ac:dyDescent="0.25">
      <c r="E8393"/>
      <c r="F8393"/>
      <c r="G8393" s="12"/>
      <c r="H8393" s="12"/>
      <c r="I8393" s="12"/>
      <c r="J8393" s="12"/>
    </row>
    <row r="8394" spans="5:10" x14ac:dyDescent="0.25">
      <c r="E8394"/>
      <c r="F8394"/>
      <c r="G8394" s="12"/>
      <c r="H8394" s="12"/>
      <c r="I8394" s="12"/>
      <c r="J8394" s="12"/>
    </row>
    <row r="8395" spans="5:10" x14ac:dyDescent="0.25">
      <c r="E8395"/>
      <c r="F8395"/>
      <c r="G8395" s="12"/>
      <c r="H8395" s="12"/>
      <c r="I8395" s="12"/>
      <c r="J8395" s="12"/>
    </row>
    <row r="8396" spans="5:10" x14ac:dyDescent="0.25">
      <c r="E8396"/>
      <c r="F8396"/>
      <c r="G8396" s="12"/>
      <c r="H8396" s="12"/>
      <c r="I8396" s="12"/>
      <c r="J8396" s="12"/>
    </row>
    <row r="8397" spans="5:10" x14ac:dyDescent="0.25">
      <c r="E8397"/>
      <c r="F8397"/>
      <c r="G8397" s="12"/>
      <c r="H8397" s="12"/>
      <c r="I8397" s="12"/>
      <c r="J8397" s="12"/>
    </row>
    <row r="8398" spans="5:10" x14ac:dyDescent="0.25">
      <c r="E8398"/>
      <c r="F8398"/>
      <c r="G8398" s="12"/>
      <c r="H8398" s="12"/>
      <c r="I8398" s="12"/>
      <c r="J8398" s="12"/>
    </row>
    <row r="8399" spans="5:10" x14ac:dyDescent="0.25">
      <c r="E8399"/>
      <c r="F8399"/>
      <c r="G8399" s="12"/>
      <c r="H8399" s="12"/>
      <c r="I8399" s="12"/>
      <c r="J8399" s="12"/>
    </row>
    <row r="8400" spans="5:10" x14ac:dyDescent="0.25">
      <c r="E8400"/>
      <c r="F8400"/>
      <c r="G8400" s="12"/>
      <c r="H8400" s="12"/>
      <c r="I8400" s="12"/>
      <c r="J8400" s="12"/>
    </row>
    <row r="8401" spans="5:10" x14ac:dyDescent="0.25">
      <c r="E8401"/>
      <c r="F8401"/>
      <c r="G8401" s="12"/>
      <c r="H8401" s="12"/>
      <c r="I8401" s="12"/>
      <c r="J8401" s="12"/>
    </row>
    <row r="8402" spans="5:10" x14ac:dyDescent="0.25">
      <c r="E8402"/>
      <c r="F8402"/>
      <c r="G8402" s="12"/>
      <c r="H8402" s="12"/>
      <c r="I8402" s="12"/>
      <c r="J8402" s="12"/>
    </row>
    <row r="8403" spans="5:10" x14ac:dyDescent="0.25">
      <c r="E8403"/>
      <c r="F8403"/>
      <c r="G8403" s="12"/>
      <c r="H8403" s="12"/>
      <c r="I8403" s="12"/>
      <c r="J8403" s="12"/>
    </row>
    <row r="8404" spans="5:10" x14ac:dyDescent="0.25">
      <c r="E8404"/>
      <c r="F8404"/>
      <c r="G8404" s="12"/>
      <c r="H8404" s="12"/>
      <c r="I8404" s="12"/>
      <c r="J8404" s="12"/>
    </row>
    <row r="8405" spans="5:10" x14ac:dyDescent="0.25">
      <c r="E8405"/>
      <c r="F8405"/>
      <c r="G8405" s="12"/>
      <c r="H8405" s="12"/>
      <c r="I8405" s="12"/>
      <c r="J8405" s="12"/>
    </row>
    <row r="8406" spans="5:10" x14ac:dyDescent="0.25">
      <c r="E8406"/>
      <c r="F8406"/>
      <c r="G8406" s="12"/>
      <c r="H8406" s="12"/>
      <c r="I8406" s="12"/>
      <c r="J8406" s="12"/>
    </row>
    <row r="8407" spans="5:10" x14ac:dyDescent="0.25">
      <c r="E8407"/>
      <c r="F8407"/>
      <c r="G8407" s="12"/>
      <c r="H8407" s="12"/>
      <c r="I8407" s="12"/>
      <c r="J8407" s="12"/>
    </row>
    <row r="8408" spans="5:10" x14ac:dyDescent="0.25">
      <c r="E8408"/>
      <c r="F8408"/>
      <c r="G8408" s="12"/>
      <c r="H8408" s="12"/>
      <c r="I8408" s="12"/>
      <c r="J8408" s="12"/>
    </row>
    <row r="8409" spans="5:10" x14ac:dyDescent="0.25">
      <c r="E8409"/>
      <c r="F8409"/>
      <c r="G8409" s="12"/>
      <c r="H8409" s="12"/>
      <c r="I8409" s="12"/>
      <c r="J8409" s="12"/>
    </row>
    <row r="8410" spans="5:10" x14ac:dyDescent="0.25">
      <c r="E8410"/>
      <c r="F8410"/>
      <c r="G8410" s="12"/>
      <c r="H8410" s="12"/>
      <c r="I8410" s="12"/>
      <c r="J8410" s="12"/>
    </row>
    <row r="8411" spans="5:10" x14ac:dyDescent="0.25">
      <c r="E8411"/>
      <c r="F8411"/>
      <c r="G8411" s="12"/>
      <c r="H8411" s="12"/>
      <c r="I8411" s="12"/>
      <c r="J8411" s="12"/>
    </row>
    <row r="8412" spans="5:10" x14ac:dyDescent="0.25">
      <c r="E8412"/>
      <c r="F8412"/>
      <c r="G8412" s="12"/>
      <c r="H8412" s="12"/>
      <c r="I8412" s="12"/>
      <c r="J8412" s="12"/>
    </row>
    <row r="8413" spans="5:10" x14ac:dyDescent="0.25">
      <c r="E8413"/>
      <c r="F8413"/>
      <c r="G8413" s="12"/>
      <c r="H8413" s="12"/>
      <c r="I8413" s="12"/>
      <c r="J8413" s="12"/>
    </row>
    <row r="8414" spans="5:10" x14ac:dyDescent="0.25">
      <c r="E8414"/>
      <c r="F8414"/>
      <c r="G8414" s="12"/>
      <c r="H8414" s="12"/>
      <c r="I8414" s="12"/>
      <c r="J8414" s="12"/>
    </row>
    <row r="8415" spans="5:10" x14ac:dyDescent="0.25">
      <c r="E8415"/>
      <c r="F8415"/>
      <c r="G8415" s="12"/>
      <c r="H8415" s="12"/>
      <c r="I8415" s="12"/>
      <c r="J8415" s="12"/>
    </row>
    <row r="8416" spans="5:10" x14ac:dyDescent="0.25">
      <c r="E8416"/>
      <c r="F8416"/>
      <c r="G8416" s="12"/>
      <c r="H8416" s="12"/>
      <c r="I8416" s="12"/>
      <c r="J8416" s="12"/>
    </row>
    <row r="8417" spans="5:10" x14ac:dyDescent="0.25">
      <c r="E8417"/>
      <c r="F8417"/>
      <c r="G8417" s="12"/>
      <c r="H8417" s="12"/>
      <c r="I8417" s="12"/>
      <c r="J8417" s="12"/>
    </row>
    <row r="8418" spans="5:10" x14ac:dyDescent="0.25">
      <c r="E8418"/>
      <c r="F8418"/>
      <c r="G8418" s="12"/>
      <c r="H8418" s="12"/>
      <c r="I8418" s="12"/>
      <c r="J8418" s="12"/>
    </row>
    <row r="8419" spans="5:10" x14ac:dyDescent="0.25">
      <c r="E8419"/>
      <c r="F8419"/>
      <c r="G8419" s="12"/>
      <c r="H8419" s="12"/>
      <c r="I8419" s="12"/>
      <c r="J8419" s="12"/>
    </row>
    <row r="8420" spans="5:10" x14ac:dyDescent="0.25">
      <c r="E8420"/>
      <c r="F8420"/>
      <c r="G8420" s="12"/>
      <c r="H8420" s="12"/>
      <c r="I8420" s="12"/>
      <c r="J8420" s="12"/>
    </row>
    <row r="8421" spans="5:10" x14ac:dyDescent="0.25">
      <c r="E8421"/>
      <c r="F8421"/>
      <c r="G8421" s="12"/>
      <c r="H8421" s="12"/>
      <c r="I8421" s="12"/>
      <c r="J8421" s="12"/>
    </row>
    <row r="8422" spans="5:10" x14ac:dyDescent="0.25">
      <c r="E8422"/>
      <c r="F8422"/>
      <c r="G8422" s="12"/>
      <c r="H8422" s="12"/>
      <c r="I8422" s="12"/>
      <c r="J8422" s="12"/>
    </row>
    <row r="8423" spans="5:10" x14ac:dyDescent="0.25">
      <c r="E8423"/>
      <c r="F8423"/>
      <c r="G8423" s="12"/>
      <c r="H8423" s="12"/>
      <c r="I8423" s="12"/>
      <c r="J8423" s="12"/>
    </row>
    <row r="8424" spans="5:10" x14ac:dyDescent="0.25">
      <c r="E8424"/>
      <c r="F8424"/>
      <c r="G8424" s="12"/>
      <c r="H8424" s="12"/>
      <c r="I8424" s="12"/>
      <c r="J8424" s="12"/>
    </row>
    <row r="8425" spans="5:10" x14ac:dyDescent="0.25">
      <c r="E8425"/>
      <c r="F8425"/>
      <c r="G8425" s="12"/>
      <c r="H8425" s="12"/>
      <c r="I8425" s="12"/>
      <c r="J8425" s="12"/>
    </row>
    <row r="8426" spans="5:10" x14ac:dyDescent="0.25">
      <c r="E8426"/>
      <c r="F8426"/>
      <c r="G8426" s="12"/>
      <c r="H8426" s="12"/>
      <c r="I8426" s="12"/>
      <c r="J8426" s="12"/>
    </row>
    <row r="8427" spans="5:10" x14ac:dyDescent="0.25">
      <c r="E8427"/>
      <c r="F8427"/>
      <c r="G8427" s="12"/>
      <c r="H8427" s="12"/>
      <c r="I8427" s="12"/>
      <c r="J8427" s="12"/>
    </row>
    <row r="8428" spans="5:10" x14ac:dyDescent="0.25">
      <c r="E8428"/>
      <c r="F8428"/>
      <c r="G8428" s="12"/>
      <c r="H8428" s="12"/>
      <c r="I8428" s="12"/>
      <c r="J8428" s="12"/>
    </row>
    <row r="8429" spans="5:10" x14ac:dyDescent="0.25">
      <c r="E8429"/>
      <c r="F8429"/>
      <c r="G8429" s="12"/>
      <c r="H8429" s="12"/>
      <c r="I8429" s="12"/>
      <c r="J8429" s="12"/>
    </row>
    <row r="8430" spans="5:10" x14ac:dyDescent="0.25">
      <c r="E8430"/>
      <c r="F8430"/>
      <c r="G8430" s="12"/>
      <c r="H8430" s="12"/>
      <c r="I8430" s="12"/>
      <c r="J8430" s="12"/>
    </row>
    <row r="8431" spans="5:10" x14ac:dyDescent="0.25">
      <c r="E8431"/>
      <c r="F8431"/>
      <c r="G8431" s="12"/>
      <c r="H8431" s="12"/>
      <c r="I8431" s="12"/>
      <c r="J8431" s="12"/>
    </row>
    <row r="8432" spans="5:10" x14ac:dyDescent="0.25">
      <c r="E8432"/>
      <c r="F8432"/>
      <c r="G8432" s="12"/>
      <c r="H8432" s="12"/>
      <c r="I8432" s="12"/>
      <c r="J8432" s="12"/>
    </row>
    <row r="8433" spans="5:10" x14ac:dyDescent="0.25">
      <c r="E8433"/>
      <c r="F8433"/>
      <c r="G8433" s="12"/>
      <c r="H8433" s="12"/>
      <c r="I8433" s="12"/>
      <c r="J8433" s="12"/>
    </row>
    <row r="8434" spans="5:10" x14ac:dyDescent="0.25">
      <c r="E8434"/>
      <c r="F8434"/>
      <c r="G8434" s="12"/>
      <c r="H8434" s="12"/>
      <c r="I8434" s="12"/>
      <c r="J8434" s="12"/>
    </row>
    <row r="8435" spans="5:10" x14ac:dyDescent="0.25">
      <c r="E8435"/>
      <c r="F8435"/>
      <c r="G8435" s="12"/>
      <c r="H8435" s="12"/>
      <c r="I8435" s="12"/>
      <c r="J8435" s="12"/>
    </row>
    <row r="8436" spans="5:10" x14ac:dyDescent="0.25">
      <c r="E8436"/>
      <c r="F8436"/>
      <c r="G8436" s="12"/>
      <c r="H8436" s="12"/>
      <c r="I8436" s="12"/>
      <c r="J8436" s="12"/>
    </row>
    <row r="8437" spans="5:10" x14ac:dyDescent="0.25">
      <c r="E8437"/>
      <c r="F8437"/>
      <c r="G8437" s="12"/>
      <c r="H8437" s="12"/>
      <c r="I8437" s="12"/>
      <c r="J8437" s="12"/>
    </row>
    <row r="8438" spans="5:10" x14ac:dyDescent="0.25">
      <c r="E8438"/>
      <c r="F8438"/>
      <c r="G8438" s="12"/>
      <c r="H8438" s="12"/>
      <c r="I8438" s="12"/>
      <c r="J8438" s="12"/>
    </row>
    <row r="8439" spans="5:10" x14ac:dyDescent="0.25">
      <c r="E8439"/>
      <c r="F8439"/>
      <c r="G8439" s="12"/>
      <c r="H8439" s="12"/>
      <c r="I8439" s="12"/>
      <c r="J8439" s="12"/>
    </row>
    <row r="8440" spans="5:10" x14ac:dyDescent="0.25">
      <c r="E8440"/>
      <c r="F8440"/>
      <c r="G8440" s="12"/>
      <c r="H8440" s="12"/>
      <c r="I8440" s="12"/>
      <c r="J8440" s="12"/>
    </row>
    <row r="8441" spans="5:10" x14ac:dyDescent="0.25">
      <c r="E8441"/>
      <c r="F8441"/>
      <c r="G8441" s="12"/>
      <c r="H8441" s="12"/>
      <c r="I8441" s="12"/>
      <c r="J8441" s="12"/>
    </row>
    <row r="8442" spans="5:10" x14ac:dyDescent="0.25">
      <c r="E8442"/>
      <c r="F8442"/>
      <c r="G8442" s="12"/>
      <c r="H8442" s="12"/>
      <c r="I8442" s="12"/>
      <c r="J8442" s="12"/>
    </row>
    <row r="8443" spans="5:10" x14ac:dyDescent="0.25">
      <c r="E8443"/>
      <c r="F8443"/>
      <c r="G8443" s="12"/>
      <c r="H8443" s="12"/>
      <c r="I8443" s="12"/>
      <c r="J8443" s="12"/>
    </row>
    <row r="8444" spans="5:10" x14ac:dyDescent="0.25">
      <c r="E8444"/>
      <c r="F8444"/>
      <c r="G8444" s="12"/>
      <c r="H8444" s="12"/>
      <c r="I8444" s="12"/>
      <c r="J8444" s="12"/>
    </row>
    <row r="8445" spans="5:10" x14ac:dyDescent="0.25">
      <c r="E8445"/>
      <c r="F8445"/>
      <c r="G8445" s="12"/>
      <c r="H8445" s="12"/>
      <c r="I8445" s="12"/>
      <c r="J8445" s="12"/>
    </row>
    <row r="8446" spans="5:10" x14ac:dyDescent="0.25">
      <c r="E8446"/>
      <c r="F8446"/>
      <c r="G8446" s="12"/>
      <c r="H8446" s="12"/>
      <c r="I8446" s="12"/>
      <c r="J8446" s="12"/>
    </row>
    <row r="8447" spans="5:10" x14ac:dyDescent="0.25">
      <c r="E8447"/>
      <c r="F8447"/>
      <c r="G8447" s="12"/>
      <c r="H8447" s="12"/>
      <c r="I8447" s="12"/>
      <c r="J8447" s="12"/>
    </row>
    <row r="8448" spans="5:10" x14ac:dyDescent="0.25">
      <c r="E8448"/>
      <c r="F8448"/>
      <c r="G8448" s="12"/>
      <c r="H8448" s="12"/>
      <c r="I8448" s="12"/>
      <c r="J8448" s="12"/>
    </row>
    <row r="8449" spans="5:10" x14ac:dyDescent="0.25">
      <c r="E8449"/>
      <c r="F8449"/>
      <c r="G8449" s="12"/>
      <c r="H8449" s="12"/>
      <c r="I8449" s="12"/>
      <c r="J8449" s="12"/>
    </row>
    <row r="8450" spans="5:10" x14ac:dyDescent="0.25">
      <c r="E8450"/>
      <c r="F8450"/>
      <c r="G8450" s="12"/>
      <c r="H8450" s="12"/>
      <c r="I8450" s="12"/>
      <c r="J8450" s="12"/>
    </row>
    <row r="8451" spans="5:10" x14ac:dyDescent="0.25">
      <c r="E8451"/>
      <c r="F8451"/>
      <c r="G8451" s="12"/>
      <c r="H8451" s="12"/>
      <c r="I8451" s="12"/>
      <c r="J8451" s="12"/>
    </row>
    <row r="8452" spans="5:10" x14ac:dyDescent="0.25">
      <c r="E8452"/>
      <c r="F8452"/>
      <c r="G8452" s="12"/>
      <c r="H8452" s="12"/>
      <c r="I8452" s="12"/>
      <c r="J8452" s="12"/>
    </row>
    <row r="8453" spans="5:10" x14ac:dyDescent="0.25">
      <c r="E8453"/>
      <c r="F8453"/>
      <c r="G8453" s="12"/>
      <c r="H8453" s="12"/>
      <c r="I8453" s="12"/>
      <c r="J8453" s="12"/>
    </row>
    <row r="8454" spans="5:10" x14ac:dyDescent="0.25">
      <c r="E8454"/>
      <c r="F8454"/>
      <c r="G8454" s="12"/>
      <c r="H8454" s="12"/>
      <c r="I8454" s="12"/>
      <c r="J8454" s="12"/>
    </row>
    <row r="8455" spans="5:10" x14ac:dyDescent="0.25">
      <c r="E8455"/>
      <c r="F8455"/>
      <c r="G8455" s="12"/>
      <c r="H8455" s="12"/>
      <c r="I8455" s="12"/>
      <c r="J8455" s="12"/>
    </row>
    <row r="8456" spans="5:10" x14ac:dyDescent="0.25">
      <c r="E8456"/>
      <c r="F8456"/>
      <c r="G8456" s="12"/>
      <c r="H8456" s="12"/>
      <c r="I8456" s="12"/>
      <c r="J8456" s="12"/>
    </row>
    <row r="8457" spans="5:10" x14ac:dyDescent="0.25">
      <c r="E8457"/>
      <c r="F8457"/>
      <c r="G8457" s="12"/>
      <c r="H8457" s="12"/>
      <c r="I8457" s="12"/>
      <c r="J8457" s="12"/>
    </row>
    <row r="8458" spans="5:10" x14ac:dyDescent="0.25">
      <c r="E8458"/>
      <c r="F8458"/>
      <c r="G8458" s="12"/>
      <c r="H8458" s="12"/>
      <c r="I8458" s="12"/>
      <c r="J8458" s="12"/>
    </row>
    <row r="8459" spans="5:10" x14ac:dyDescent="0.25">
      <c r="E8459"/>
      <c r="F8459"/>
      <c r="G8459" s="12"/>
      <c r="H8459" s="12"/>
      <c r="I8459" s="12"/>
      <c r="J8459" s="12"/>
    </row>
    <row r="8460" spans="5:10" x14ac:dyDescent="0.25">
      <c r="E8460"/>
      <c r="F8460"/>
      <c r="G8460" s="12"/>
      <c r="H8460" s="12"/>
      <c r="I8460" s="12"/>
      <c r="J8460" s="12"/>
    </row>
    <row r="8461" spans="5:10" x14ac:dyDescent="0.25">
      <c r="E8461"/>
      <c r="F8461"/>
      <c r="G8461" s="12"/>
      <c r="H8461" s="12"/>
      <c r="I8461" s="12"/>
      <c r="J8461" s="12"/>
    </row>
    <row r="8462" spans="5:10" x14ac:dyDescent="0.25">
      <c r="E8462"/>
      <c r="F8462"/>
      <c r="G8462" s="12"/>
      <c r="H8462" s="12"/>
      <c r="I8462" s="12"/>
      <c r="J8462" s="12"/>
    </row>
    <row r="8463" spans="5:10" x14ac:dyDescent="0.25">
      <c r="E8463"/>
      <c r="F8463"/>
      <c r="G8463" s="12"/>
      <c r="H8463" s="12"/>
      <c r="I8463" s="12"/>
      <c r="J8463" s="12"/>
    </row>
    <row r="8464" spans="5:10" x14ac:dyDescent="0.25">
      <c r="E8464"/>
      <c r="F8464"/>
      <c r="G8464" s="12"/>
      <c r="H8464" s="12"/>
      <c r="I8464" s="12"/>
      <c r="J8464" s="12"/>
    </row>
    <row r="8465" spans="5:10" x14ac:dyDescent="0.25">
      <c r="E8465"/>
      <c r="F8465"/>
      <c r="G8465" s="12"/>
      <c r="H8465" s="12"/>
      <c r="I8465" s="12"/>
      <c r="J8465" s="12"/>
    </row>
    <row r="8466" spans="5:10" x14ac:dyDescent="0.25">
      <c r="E8466"/>
      <c r="F8466"/>
      <c r="G8466" s="12"/>
      <c r="H8466" s="12"/>
      <c r="I8466" s="12"/>
      <c r="J8466" s="12"/>
    </row>
    <row r="8467" spans="5:10" x14ac:dyDescent="0.25">
      <c r="E8467"/>
      <c r="F8467"/>
      <c r="G8467" s="12"/>
      <c r="H8467" s="12"/>
      <c r="I8467" s="12"/>
      <c r="J8467" s="12"/>
    </row>
    <row r="8468" spans="5:10" x14ac:dyDescent="0.25">
      <c r="E8468"/>
      <c r="F8468"/>
      <c r="G8468" s="12"/>
      <c r="H8468" s="12"/>
      <c r="I8468" s="12"/>
      <c r="J8468" s="12"/>
    </row>
    <row r="8469" spans="5:10" x14ac:dyDescent="0.25">
      <c r="E8469"/>
      <c r="F8469"/>
      <c r="G8469" s="12"/>
      <c r="H8469" s="12"/>
      <c r="I8469" s="12"/>
      <c r="J8469" s="12"/>
    </row>
    <row r="8470" spans="5:10" x14ac:dyDescent="0.25">
      <c r="E8470"/>
      <c r="F8470"/>
      <c r="G8470" s="12"/>
      <c r="H8470" s="12"/>
      <c r="I8470" s="12"/>
      <c r="J8470" s="12"/>
    </row>
    <row r="8471" spans="5:10" x14ac:dyDescent="0.25">
      <c r="E8471"/>
      <c r="F8471"/>
      <c r="G8471" s="12"/>
      <c r="H8471" s="12"/>
      <c r="I8471" s="12"/>
      <c r="J8471" s="12"/>
    </row>
    <row r="8472" spans="5:10" x14ac:dyDescent="0.25">
      <c r="E8472"/>
      <c r="F8472"/>
      <c r="G8472" s="12"/>
      <c r="H8472" s="12"/>
      <c r="I8472" s="12"/>
      <c r="J8472" s="12"/>
    </row>
    <row r="8473" spans="5:10" x14ac:dyDescent="0.25">
      <c r="E8473"/>
      <c r="F8473"/>
      <c r="G8473" s="12"/>
      <c r="H8473" s="12"/>
      <c r="I8473" s="12"/>
      <c r="J8473" s="12"/>
    </row>
    <row r="8474" spans="5:10" x14ac:dyDescent="0.25">
      <c r="E8474"/>
      <c r="F8474"/>
      <c r="G8474" s="12"/>
      <c r="H8474" s="12"/>
      <c r="I8474" s="12"/>
      <c r="J8474" s="12"/>
    </row>
    <row r="8475" spans="5:10" x14ac:dyDescent="0.25">
      <c r="E8475"/>
      <c r="F8475"/>
      <c r="G8475" s="12"/>
      <c r="H8475" s="12"/>
      <c r="I8475" s="12"/>
      <c r="J8475" s="12"/>
    </row>
    <row r="8476" spans="5:10" x14ac:dyDescent="0.25">
      <c r="E8476"/>
      <c r="F8476"/>
      <c r="G8476" s="12"/>
      <c r="H8476" s="12"/>
      <c r="I8476" s="12"/>
      <c r="J8476" s="12"/>
    </row>
    <row r="8477" spans="5:10" x14ac:dyDescent="0.25">
      <c r="E8477"/>
      <c r="F8477"/>
      <c r="G8477" s="12"/>
      <c r="H8477" s="12"/>
      <c r="I8477" s="12"/>
      <c r="J8477" s="12"/>
    </row>
    <row r="8478" spans="5:10" x14ac:dyDescent="0.25">
      <c r="E8478"/>
      <c r="F8478"/>
      <c r="G8478" s="12"/>
      <c r="H8478" s="12"/>
      <c r="I8478" s="12"/>
      <c r="J8478" s="12"/>
    </row>
    <row r="8479" spans="5:10" x14ac:dyDescent="0.25">
      <c r="E8479"/>
      <c r="F8479"/>
      <c r="G8479" s="12"/>
      <c r="H8479" s="12"/>
      <c r="I8479" s="12"/>
      <c r="J8479" s="12"/>
    </row>
    <row r="8480" spans="5:10" x14ac:dyDescent="0.25">
      <c r="E8480"/>
      <c r="F8480"/>
      <c r="G8480" s="12"/>
      <c r="H8480" s="12"/>
      <c r="I8480" s="12"/>
      <c r="J8480" s="12"/>
    </row>
    <row r="8481" spans="5:10" x14ac:dyDescent="0.25">
      <c r="E8481"/>
      <c r="F8481"/>
      <c r="G8481" s="12"/>
      <c r="H8481" s="12"/>
      <c r="I8481" s="12"/>
      <c r="J8481" s="12"/>
    </row>
    <row r="8482" spans="5:10" x14ac:dyDescent="0.25">
      <c r="E8482"/>
      <c r="F8482"/>
      <c r="G8482" s="12"/>
      <c r="H8482" s="12"/>
      <c r="I8482" s="12"/>
      <c r="J8482" s="12"/>
    </row>
    <row r="8483" spans="5:10" x14ac:dyDescent="0.25">
      <c r="E8483"/>
      <c r="F8483"/>
      <c r="G8483" s="12"/>
      <c r="H8483" s="12"/>
      <c r="I8483" s="12"/>
      <c r="J8483" s="12"/>
    </row>
    <row r="8484" spans="5:10" x14ac:dyDescent="0.25">
      <c r="E8484"/>
      <c r="F8484"/>
      <c r="G8484" s="12"/>
      <c r="H8484" s="12"/>
      <c r="I8484" s="12"/>
      <c r="J8484" s="12"/>
    </row>
    <row r="8485" spans="5:10" x14ac:dyDescent="0.25">
      <c r="E8485"/>
      <c r="F8485"/>
      <c r="G8485" s="12"/>
      <c r="H8485" s="12"/>
      <c r="I8485" s="12"/>
      <c r="J8485" s="12"/>
    </row>
    <row r="8486" spans="5:10" x14ac:dyDescent="0.25">
      <c r="E8486"/>
      <c r="F8486"/>
      <c r="G8486" s="12"/>
      <c r="H8486" s="12"/>
      <c r="I8486" s="12"/>
      <c r="J8486" s="12"/>
    </row>
    <row r="8487" spans="5:10" x14ac:dyDescent="0.25">
      <c r="E8487"/>
      <c r="F8487"/>
      <c r="G8487" s="12"/>
      <c r="H8487" s="12"/>
      <c r="I8487" s="12"/>
      <c r="J8487" s="12"/>
    </row>
    <row r="8488" spans="5:10" x14ac:dyDescent="0.25">
      <c r="E8488"/>
      <c r="F8488"/>
      <c r="G8488" s="12"/>
      <c r="H8488" s="12"/>
      <c r="I8488" s="12"/>
      <c r="J8488" s="12"/>
    </row>
    <row r="8489" spans="5:10" x14ac:dyDescent="0.25">
      <c r="E8489"/>
      <c r="F8489"/>
      <c r="G8489" s="12"/>
      <c r="H8489" s="12"/>
      <c r="I8489" s="12"/>
      <c r="J8489" s="12"/>
    </row>
    <row r="8490" spans="5:10" x14ac:dyDescent="0.25">
      <c r="E8490"/>
      <c r="F8490"/>
      <c r="G8490" s="12"/>
      <c r="H8490" s="12"/>
      <c r="I8490" s="12"/>
      <c r="J8490" s="12"/>
    </row>
    <row r="8491" spans="5:10" x14ac:dyDescent="0.25">
      <c r="E8491"/>
      <c r="F8491"/>
      <c r="G8491" s="12"/>
      <c r="H8491" s="12"/>
      <c r="I8491" s="12"/>
      <c r="J8491" s="12"/>
    </row>
    <row r="8492" spans="5:10" x14ac:dyDescent="0.25">
      <c r="E8492"/>
      <c r="F8492"/>
      <c r="G8492" s="12"/>
      <c r="H8492" s="12"/>
      <c r="I8492" s="12"/>
      <c r="J8492" s="12"/>
    </row>
    <row r="8493" spans="5:10" x14ac:dyDescent="0.25">
      <c r="E8493"/>
      <c r="F8493"/>
      <c r="G8493" s="12"/>
      <c r="H8493" s="12"/>
      <c r="I8493" s="12"/>
      <c r="J8493" s="12"/>
    </row>
    <row r="8494" spans="5:10" x14ac:dyDescent="0.25">
      <c r="E8494"/>
      <c r="F8494"/>
      <c r="G8494" s="12"/>
      <c r="H8494" s="12"/>
      <c r="I8494" s="12"/>
      <c r="J8494" s="12"/>
    </row>
    <row r="8495" spans="5:10" x14ac:dyDescent="0.25">
      <c r="E8495"/>
      <c r="F8495"/>
      <c r="G8495" s="12"/>
      <c r="H8495" s="12"/>
      <c r="I8495" s="12"/>
      <c r="J8495" s="12"/>
    </row>
    <row r="8496" spans="5:10" x14ac:dyDescent="0.25">
      <c r="E8496"/>
      <c r="F8496"/>
      <c r="G8496" s="12"/>
      <c r="H8496" s="12"/>
      <c r="I8496" s="12"/>
      <c r="J8496" s="12"/>
    </row>
    <row r="8497" spans="5:10" x14ac:dyDescent="0.25">
      <c r="E8497"/>
      <c r="F8497"/>
      <c r="G8497" s="12"/>
      <c r="H8497" s="12"/>
      <c r="I8497" s="12"/>
      <c r="J8497" s="12"/>
    </row>
    <row r="8498" spans="5:10" x14ac:dyDescent="0.25">
      <c r="E8498"/>
      <c r="F8498"/>
      <c r="G8498" s="12"/>
      <c r="H8498" s="12"/>
      <c r="I8498" s="12"/>
      <c r="J8498" s="12"/>
    </row>
    <row r="8499" spans="5:10" x14ac:dyDescent="0.25">
      <c r="E8499"/>
      <c r="F8499"/>
      <c r="G8499" s="12"/>
      <c r="H8499" s="12"/>
      <c r="I8499" s="12"/>
      <c r="J8499" s="12"/>
    </row>
    <row r="8500" spans="5:10" x14ac:dyDescent="0.25">
      <c r="E8500"/>
      <c r="F8500"/>
      <c r="G8500" s="12"/>
      <c r="H8500" s="12"/>
      <c r="I8500" s="12"/>
      <c r="J8500" s="12"/>
    </row>
    <row r="8501" spans="5:10" x14ac:dyDescent="0.25">
      <c r="E8501"/>
      <c r="F8501"/>
      <c r="G8501" s="12"/>
      <c r="H8501" s="12"/>
      <c r="I8501" s="12"/>
      <c r="J8501" s="12"/>
    </row>
    <row r="8502" spans="5:10" x14ac:dyDescent="0.25">
      <c r="E8502"/>
      <c r="F8502"/>
      <c r="G8502" s="12"/>
      <c r="H8502" s="12"/>
      <c r="I8502" s="12"/>
      <c r="J8502" s="12"/>
    </row>
    <row r="8503" spans="5:10" x14ac:dyDescent="0.25">
      <c r="E8503"/>
      <c r="F8503"/>
      <c r="G8503" s="12"/>
      <c r="H8503" s="12"/>
      <c r="I8503" s="12"/>
      <c r="J8503" s="12"/>
    </row>
    <row r="8504" spans="5:10" x14ac:dyDescent="0.25">
      <c r="E8504"/>
      <c r="F8504"/>
      <c r="G8504" s="12"/>
      <c r="H8504" s="12"/>
      <c r="I8504" s="12"/>
      <c r="J8504" s="12"/>
    </row>
    <row r="8505" spans="5:10" x14ac:dyDescent="0.25">
      <c r="E8505"/>
      <c r="F8505"/>
      <c r="G8505" s="12"/>
      <c r="H8505" s="12"/>
      <c r="I8505" s="12"/>
      <c r="J8505" s="12"/>
    </row>
    <row r="8506" spans="5:10" x14ac:dyDescent="0.25">
      <c r="E8506"/>
      <c r="F8506"/>
      <c r="G8506" s="12"/>
      <c r="H8506" s="12"/>
      <c r="I8506" s="12"/>
      <c r="J8506" s="12"/>
    </row>
    <row r="8507" spans="5:10" x14ac:dyDescent="0.25">
      <c r="E8507"/>
      <c r="F8507"/>
      <c r="G8507" s="12"/>
      <c r="H8507" s="12"/>
      <c r="I8507" s="12"/>
      <c r="J8507" s="12"/>
    </row>
    <row r="8508" spans="5:10" x14ac:dyDescent="0.25">
      <c r="E8508"/>
      <c r="F8508"/>
      <c r="G8508" s="12"/>
      <c r="H8508" s="12"/>
      <c r="I8508" s="12"/>
      <c r="J8508" s="12"/>
    </row>
    <row r="8509" spans="5:10" x14ac:dyDescent="0.25">
      <c r="E8509"/>
      <c r="F8509"/>
      <c r="G8509" s="12"/>
      <c r="H8509" s="12"/>
      <c r="I8509" s="12"/>
      <c r="J8509" s="12"/>
    </row>
    <row r="8510" spans="5:10" x14ac:dyDescent="0.25">
      <c r="E8510"/>
      <c r="F8510"/>
      <c r="G8510" s="12"/>
      <c r="H8510" s="12"/>
      <c r="I8510" s="12"/>
      <c r="J8510" s="12"/>
    </row>
    <row r="8511" spans="5:10" x14ac:dyDescent="0.25">
      <c r="E8511"/>
      <c r="F8511"/>
      <c r="G8511" s="12"/>
      <c r="H8511" s="12"/>
      <c r="I8511" s="12"/>
      <c r="J8511" s="12"/>
    </row>
    <row r="8512" spans="5:10" x14ac:dyDescent="0.25">
      <c r="E8512"/>
      <c r="F8512"/>
      <c r="G8512" s="12"/>
      <c r="H8512" s="12"/>
      <c r="I8512" s="12"/>
      <c r="J8512" s="12"/>
    </row>
    <row r="8513" spans="5:10" x14ac:dyDescent="0.25">
      <c r="E8513"/>
      <c r="F8513"/>
      <c r="G8513" s="12"/>
      <c r="H8513" s="12"/>
      <c r="I8513" s="12"/>
      <c r="J8513" s="12"/>
    </row>
    <row r="8514" spans="5:10" x14ac:dyDescent="0.25">
      <c r="E8514"/>
      <c r="F8514"/>
      <c r="G8514" s="12"/>
      <c r="H8514" s="12"/>
      <c r="I8514" s="12"/>
      <c r="J8514" s="12"/>
    </row>
    <row r="8515" spans="5:10" x14ac:dyDescent="0.25">
      <c r="E8515"/>
      <c r="F8515"/>
      <c r="G8515" s="12"/>
      <c r="H8515" s="12"/>
      <c r="I8515" s="12"/>
      <c r="J8515" s="12"/>
    </row>
    <row r="8516" spans="5:10" x14ac:dyDescent="0.25">
      <c r="E8516"/>
      <c r="F8516"/>
      <c r="G8516" s="12"/>
      <c r="H8516" s="12"/>
      <c r="I8516" s="12"/>
      <c r="J8516" s="12"/>
    </row>
    <row r="8517" spans="5:10" x14ac:dyDescent="0.25">
      <c r="E8517"/>
      <c r="F8517"/>
      <c r="G8517" s="12"/>
      <c r="H8517" s="12"/>
      <c r="I8517" s="12"/>
      <c r="J8517" s="12"/>
    </row>
    <row r="8518" spans="5:10" x14ac:dyDescent="0.25">
      <c r="E8518"/>
      <c r="F8518"/>
      <c r="G8518" s="12"/>
      <c r="H8518" s="12"/>
      <c r="I8518" s="12"/>
      <c r="J8518" s="12"/>
    </row>
    <row r="8519" spans="5:10" x14ac:dyDescent="0.25">
      <c r="E8519"/>
      <c r="F8519"/>
      <c r="G8519" s="12"/>
      <c r="H8519" s="12"/>
      <c r="I8519" s="12"/>
      <c r="J8519" s="12"/>
    </row>
    <row r="8520" spans="5:10" x14ac:dyDescent="0.25">
      <c r="E8520"/>
      <c r="F8520"/>
      <c r="G8520" s="12"/>
      <c r="H8520" s="12"/>
      <c r="I8520" s="12"/>
      <c r="J8520" s="12"/>
    </row>
    <row r="8521" spans="5:10" x14ac:dyDescent="0.25">
      <c r="E8521"/>
      <c r="F8521"/>
      <c r="G8521" s="12"/>
      <c r="H8521" s="12"/>
      <c r="I8521" s="12"/>
      <c r="J8521" s="12"/>
    </row>
    <row r="8522" spans="5:10" x14ac:dyDescent="0.25">
      <c r="E8522"/>
      <c r="F8522"/>
      <c r="G8522" s="12"/>
      <c r="H8522" s="12"/>
      <c r="I8522" s="12"/>
      <c r="J8522" s="12"/>
    </row>
    <row r="8523" spans="5:10" x14ac:dyDescent="0.25">
      <c r="E8523"/>
      <c r="F8523"/>
      <c r="G8523" s="12"/>
      <c r="H8523" s="12"/>
      <c r="I8523" s="12"/>
      <c r="J8523" s="12"/>
    </row>
    <row r="8524" spans="5:10" x14ac:dyDescent="0.25">
      <c r="E8524"/>
      <c r="F8524"/>
      <c r="G8524" s="12"/>
      <c r="H8524" s="12"/>
      <c r="I8524" s="12"/>
      <c r="J8524" s="12"/>
    </row>
    <row r="8525" spans="5:10" x14ac:dyDescent="0.25">
      <c r="E8525"/>
      <c r="F8525"/>
      <c r="G8525" s="12"/>
      <c r="H8525" s="12"/>
      <c r="I8525" s="12"/>
      <c r="J8525" s="12"/>
    </row>
    <row r="8526" spans="5:10" x14ac:dyDescent="0.25">
      <c r="E8526"/>
      <c r="F8526"/>
      <c r="G8526" s="12"/>
      <c r="H8526" s="12"/>
      <c r="I8526" s="12"/>
      <c r="J8526" s="12"/>
    </row>
    <row r="8527" spans="5:10" x14ac:dyDescent="0.25">
      <c r="E8527"/>
      <c r="F8527"/>
      <c r="G8527" s="12"/>
      <c r="H8527" s="12"/>
      <c r="I8527" s="12"/>
      <c r="J8527" s="12"/>
    </row>
    <row r="8528" spans="5:10" x14ac:dyDescent="0.25">
      <c r="E8528"/>
      <c r="F8528"/>
      <c r="G8528" s="12"/>
      <c r="H8528" s="12"/>
      <c r="I8528" s="12"/>
      <c r="J8528" s="12"/>
    </row>
    <row r="8529" spans="5:10" x14ac:dyDescent="0.25">
      <c r="E8529"/>
      <c r="F8529"/>
      <c r="G8529" s="12"/>
      <c r="H8529" s="12"/>
      <c r="I8529" s="12"/>
      <c r="J8529" s="12"/>
    </row>
    <row r="8530" spans="5:10" x14ac:dyDescent="0.25">
      <c r="E8530"/>
      <c r="F8530"/>
      <c r="G8530" s="12"/>
      <c r="H8530" s="12"/>
      <c r="I8530" s="12"/>
      <c r="J8530" s="12"/>
    </row>
    <row r="8531" spans="5:10" x14ac:dyDescent="0.25">
      <c r="E8531"/>
      <c r="F8531"/>
      <c r="G8531" s="12"/>
      <c r="H8531" s="12"/>
      <c r="I8531" s="12"/>
      <c r="J8531" s="12"/>
    </row>
    <row r="8532" spans="5:10" x14ac:dyDescent="0.25">
      <c r="E8532"/>
      <c r="F8532"/>
      <c r="G8532" s="12"/>
      <c r="H8532" s="12"/>
      <c r="I8532" s="12"/>
      <c r="J8532" s="12"/>
    </row>
    <row r="8533" spans="5:10" x14ac:dyDescent="0.25">
      <c r="E8533"/>
      <c r="F8533"/>
      <c r="G8533" s="12"/>
      <c r="H8533" s="12"/>
      <c r="I8533" s="12"/>
      <c r="J8533" s="12"/>
    </row>
    <row r="8534" spans="5:10" x14ac:dyDescent="0.25">
      <c r="E8534"/>
      <c r="F8534"/>
      <c r="G8534" s="12"/>
      <c r="H8534" s="12"/>
      <c r="I8534" s="12"/>
      <c r="J8534" s="12"/>
    </row>
    <row r="8535" spans="5:10" x14ac:dyDescent="0.25">
      <c r="E8535"/>
      <c r="F8535"/>
      <c r="G8535" s="12"/>
      <c r="H8535" s="12"/>
      <c r="I8535" s="12"/>
      <c r="J8535" s="12"/>
    </row>
    <row r="8536" spans="5:10" x14ac:dyDescent="0.25">
      <c r="E8536"/>
      <c r="F8536"/>
      <c r="G8536" s="12"/>
      <c r="H8536" s="12"/>
      <c r="I8536" s="12"/>
      <c r="J8536" s="12"/>
    </row>
    <row r="8537" spans="5:10" x14ac:dyDescent="0.25">
      <c r="E8537"/>
      <c r="F8537"/>
      <c r="G8537" s="12"/>
      <c r="H8537" s="12"/>
      <c r="I8537" s="12"/>
      <c r="J8537" s="12"/>
    </row>
    <row r="8538" spans="5:10" x14ac:dyDescent="0.25">
      <c r="E8538"/>
      <c r="F8538"/>
      <c r="G8538" s="12"/>
      <c r="H8538" s="12"/>
      <c r="I8538" s="12"/>
      <c r="J8538" s="12"/>
    </row>
    <row r="8539" spans="5:10" x14ac:dyDescent="0.25">
      <c r="E8539"/>
      <c r="F8539"/>
      <c r="G8539" s="12"/>
      <c r="H8539" s="12"/>
      <c r="I8539" s="12"/>
      <c r="J8539" s="12"/>
    </row>
    <row r="8540" spans="5:10" x14ac:dyDescent="0.25">
      <c r="E8540"/>
      <c r="F8540"/>
      <c r="G8540" s="12"/>
      <c r="H8540" s="12"/>
      <c r="I8540" s="12"/>
      <c r="J8540" s="12"/>
    </row>
    <row r="8541" spans="5:10" x14ac:dyDescent="0.25">
      <c r="E8541"/>
      <c r="F8541"/>
      <c r="G8541" s="12"/>
      <c r="H8541" s="12"/>
      <c r="I8541" s="12"/>
      <c r="J8541" s="12"/>
    </row>
    <row r="8542" spans="5:10" x14ac:dyDescent="0.25">
      <c r="E8542"/>
      <c r="F8542"/>
      <c r="G8542" s="12"/>
      <c r="H8542" s="12"/>
      <c r="I8542" s="12"/>
      <c r="J8542" s="12"/>
    </row>
    <row r="8543" spans="5:10" x14ac:dyDescent="0.25">
      <c r="E8543"/>
      <c r="F8543"/>
      <c r="G8543" s="12"/>
      <c r="H8543" s="12"/>
      <c r="I8543" s="12"/>
      <c r="J8543" s="12"/>
    </row>
    <row r="8544" spans="5:10" x14ac:dyDescent="0.25">
      <c r="E8544"/>
      <c r="F8544"/>
      <c r="G8544" s="12"/>
      <c r="H8544" s="12"/>
      <c r="I8544" s="12"/>
      <c r="J8544" s="12"/>
    </row>
    <row r="8545" spans="5:10" x14ac:dyDescent="0.25">
      <c r="E8545"/>
      <c r="F8545"/>
      <c r="G8545" s="12"/>
      <c r="H8545" s="12"/>
      <c r="I8545" s="12"/>
      <c r="J8545" s="12"/>
    </row>
    <row r="8546" spans="5:10" x14ac:dyDescent="0.25">
      <c r="E8546"/>
      <c r="F8546"/>
      <c r="G8546" s="12"/>
      <c r="H8546" s="12"/>
      <c r="I8546" s="12"/>
      <c r="J8546" s="12"/>
    </row>
    <row r="8547" spans="5:10" x14ac:dyDescent="0.25">
      <c r="E8547"/>
      <c r="F8547"/>
      <c r="G8547" s="12"/>
      <c r="H8547" s="12"/>
      <c r="I8547" s="12"/>
      <c r="J8547" s="12"/>
    </row>
    <row r="8548" spans="5:10" x14ac:dyDescent="0.25">
      <c r="E8548"/>
      <c r="F8548"/>
      <c r="G8548" s="12"/>
      <c r="H8548" s="12"/>
      <c r="I8548" s="12"/>
      <c r="J8548" s="12"/>
    </row>
    <row r="8549" spans="5:10" x14ac:dyDescent="0.25">
      <c r="E8549"/>
      <c r="F8549"/>
      <c r="G8549" s="12"/>
      <c r="H8549" s="12"/>
      <c r="I8549" s="12"/>
      <c r="J8549" s="12"/>
    </row>
    <row r="8550" spans="5:10" x14ac:dyDescent="0.25">
      <c r="E8550"/>
      <c r="F8550"/>
      <c r="G8550" s="12"/>
      <c r="H8550" s="12"/>
      <c r="I8550" s="12"/>
      <c r="J8550" s="12"/>
    </row>
    <row r="8551" spans="5:10" x14ac:dyDescent="0.25">
      <c r="E8551"/>
      <c r="F8551"/>
      <c r="G8551" s="12"/>
      <c r="H8551" s="12"/>
      <c r="I8551" s="12"/>
      <c r="J8551" s="12"/>
    </row>
    <row r="8552" spans="5:10" x14ac:dyDescent="0.25">
      <c r="E8552"/>
      <c r="F8552"/>
      <c r="G8552" s="12"/>
      <c r="H8552" s="12"/>
      <c r="I8552" s="12"/>
      <c r="J8552" s="12"/>
    </row>
    <row r="8553" spans="5:10" x14ac:dyDescent="0.25">
      <c r="E8553"/>
      <c r="F8553"/>
      <c r="G8553" s="12"/>
      <c r="H8553" s="12"/>
      <c r="I8553" s="12"/>
      <c r="J8553" s="12"/>
    </row>
    <row r="8554" spans="5:10" x14ac:dyDescent="0.25">
      <c r="E8554"/>
      <c r="F8554"/>
      <c r="G8554" s="12"/>
      <c r="H8554" s="12"/>
      <c r="I8554" s="12"/>
      <c r="J8554" s="12"/>
    </row>
    <row r="8555" spans="5:10" x14ac:dyDescent="0.25">
      <c r="E8555"/>
      <c r="F8555"/>
      <c r="G8555" s="12"/>
      <c r="H8555" s="12"/>
      <c r="I8555" s="12"/>
      <c r="J8555" s="12"/>
    </row>
    <row r="8556" spans="5:10" x14ac:dyDescent="0.25">
      <c r="E8556"/>
      <c r="F8556"/>
      <c r="G8556" s="12"/>
      <c r="H8556" s="12"/>
      <c r="I8556" s="12"/>
      <c r="J8556" s="12"/>
    </row>
    <row r="8557" spans="5:10" x14ac:dyDescent="0.25">
      <c r="E8557"/>
      <c r="F8557"/>
      <c r="G8557" s="12"/>
      <c r="H8557" s="12"/>
      <c r="I8557" s="12"/>
      <c r="J8557" s="12"/>
    </row>
    <row r="8558" spans="5:10" x14ac:dyDescent="0.25">
      <c r="E8558"/>
      <c r="F8558"/>
      <c r="G8558" s="12"/>
      <c r="H8558" s="12"/>
      <c r="I8558" s="12"/>
      <c r="J8558" s="12"/>
    </row>
    <row r="8559" spans="5:10" x14ac:dyDescent="0.25">
      <c r="E8559"/>
      <c r="F8559"/>
      <c r="G8559" s="12"/>
      <c r="H8559" s="12"/>
      <c r="I8559" s="12"/>
      <c r="J8559" s="12"/>
    </row>
    <row r="8560" spans="5:10" x14ac:dyDescent="0.25">
      <c r="E8560"/>
      <c r="F8560"/>
      <c r="G8560" s="12"/>
      <c r="H8560" s="12"/>
      <c r="I8560" s="12"/>
      <c r="J8560" s="12"/>
    </row>
    <row r="8561" spans="5:10" x14ac:dyDescent="0.25">
      <c r="E8561"/>
      <c r="F8561"/>
      <c r="G8561" s="12"/>
      <c r="H8561" s="12"/>
      <c r="I8561" s="12"/>
      <c r="J8561" s="12"/>
    </row>
    <row r="8562" spans="5:10" x14ac:dyDescent="0.25">
      <c r="E8562"/>
      <c r="F8562"/>
      <c r="G8562" s="12"/>
      <c r="H8562" s="12"/>
      <c r="I8562" s="12"/>
      <c r="J8562" s="12"/>
    </row>
    <row r="8563" spans="5:10" x14ac:dyDescent="0.25">
      <c r="E8563"/>
      <c r="F8563"/>
      <c r="G8563" s="12"/>
      <c r="H8563" s="12"/>
      <c r="I8563" s="12"/>
      <c r="J8563" s="12"/>
    </row>
    <row r="8564" spans="5:10" x14ac:dyDescent="0.25">
      <c r="E8564"/>
      <c r="F8564"/>
      <c r="G8564" s="12"/>
      <c r="H8564" s="12"/>
      <c r="I8564" s="12"/>
      <c r="J8564" s="12"/>
    </row>
    <row r="8565" spans="5:10" x14ac:dyDescent="0.25">
      <c r="E8565"/>
      <c r="F8565"/>
      <c r="G8565" s="12"/>
      <c r="H8565" s="12"/>
      <c r="I8565" s="12"/>
      <c r="J8565" s="12"/>
    </row>
    <row r="8566" spans="5:10" x14ac:dyDescent="0.25">
      <c r="E8566"/>
      <c r="F8566"/>
      <c r="G8566" s="12"/>
      <c r="H8566" s="12"/>
      <c r="I8566" s="12"/>
      <c r="J8566" s="12"/>
    </row>
    <row r="8567" spans="5:10" x14ac:dyDescent="0.25">
      <c r="E8567"/>
      <c r="F8567"/>
      <c r="G8567" s="12"/>
      <c r="H8567" s="12"/>
      <c r="I8567" s="12"/>
      <c r="J8567" s="12"/>
    </row>
    <row r="8568" spans="5:10" x14ac:dyDescent="0.25">
      <c r="E8568"/>
      <c r="F8568"/>
      <c r="G8568" s="12"/>
      <c r="H8568" s="12"/>
      <c r="I8568" s="12"/>
      <c r="J8568" s="12"/>
    </row>
    <row r="8569" spans="5:10" x14ac:dyDescent="0.25">
      <c r="E8569"/>
      <c r="F8569"/>
      <c r="G8569" s="12"/>
      <c r="H8569" s="12"/>
      <c r="I8569" s="12"/>
      <c r="J8569" s="12"/>
    </row>
    <row r="8570" spans="5:10" x14ac:dyDescent="0.25">
      <c r="E8570"/>
      <c r="F8570"/>
      <c r="G8570" s="12"/>
      <c r="H8570" s="12"/>
      <c r="I8570" s="12"/>
      <c r="J8570" s="12"/>
    </row>
    <row r="8571" spans="5:10" x14ac:dyDescent="0.25">
      <c r="E8571"/>
      <c r="F8571"/>
      <c r="G8571" s="12"/>
      <c r="H8571" s="12"/>
      <c r="I8571" s="12"/>
      <c r="J8571" s="12"/>
    </row>
    <row r="8572" spans="5:10" x14ac:dyDescent="0.25">
      <c r="E8572"/>
      <c r="F8572"/>
      <c r="G8572" s="12"/>
      <c r="H8572" s="12"/>
      <c r="I8572" s="12"/>
      <c r="J8572" s="12"/>
    </row>
    <row r="8573" spans="5:10" x14ac:dyDescent="0.25">
      <c r="E8573"/>
      <c r="F8573"/>
      <c r="G8573" s="12"/>
      <c r="H8573" s="12"/>
      <c r="I8573" s="12"/>
      <c r="J8573" s="12"/>
    </row>
    <row r="8574" spans="5:10" x14ac:dyDescent="0.25">
      <c r="E8574"/>
      <c r="F8574"/>
      <c r="G8574" s="12"/>
      <c r="H8574" s="12"/>
      <c r="I8574" s="12"/>
      <c r="J8574" s="12"/>
    </row>
    <row r="8575" spans="5:10" x14ac:dyDescent="0.25">
      <c r="E8575"/>
      <c r="F8575"/>
      <c r="G8575" s="12"/>
      <c r="H8575" s="12"/>
      <c r="I8575" s="12"/>
      <c r="J8575" s="12"/>
    </row>
    <row r="8576" spans="5:10" x14ac:dyDescent="0.25">
      <c r="E8576"/>
      <c r="F8576"/>
      <c r="G8576" s="12"/>
      <c r="H8576" s="12"/>
      <c r="I8576" s="12"/>
      <c r="J8576" s="12"/>
    </row>
    <row r="8577" spans="5:10" x14ac:dyDescent="0.25">
      <c r="E8577"/>
      <c r="F8577"/>
      <c r="G8577" s="12"/>
      <c r="H8577" s="12"/>
      <c r="I8577" s="12"/>
      <c r="J8577" s="12"/>
    </row>
    <row r="8578" spans="5:10" x14ac:dyDescent="0.25">
      <c r="E8578"/>
      <c r="F8578"/>
      <c r="G8578" s="12"/>
      <c r="H8578" s="12"/>
      <c r="I8578" s="12"/>
      <c r="J8578" s="12"/>
    </row>
    <row r="8579" spans="5:10" x14ac:dyDescent="0.25">
      <c r="E8579"/>
      <c r="F8579"/>
      <c r="G8579" s="12"/>
      <c r="H8579" s="12"/>
      <c r="I8579" s="12"/>
      <c r="J8579" s="12"/>
    </row>
    <row r="8580" spans="5:10" x14ac:dyDescent="0.25">
      <c r="E8580"/>
      <c r="F8580"/>
      <c r="G8580" s="12"/>
      <c r="H8580" s="12"/>
      <c r="I8580" s="12"/>
      <c r="J8580" s="12"/>
    </row>
    <row r="8581" spans="5:10" x14ac:dyDescent="0.25">
      <c r="E8581"/>
      <c r="F8581"/>
      <c r="G8581" s="12"/>
      <c r="H8581" s="12"/>
      <c r="I8581" s="12"/>
      <c r="J8581" s="12"/>
    </row>
    <row r="8582" spans="5:10" x14ac:dyDescent="0.25">
      <c r="E8582"/>
      <c r="F8582"/>
      <c r="G8582" s="12"/>
      <c r="H8582" s="12"/>
      <c r="I8582" s="12"/>
      <c r="J8582" s="12"/>
    </row>
    <row r="8583" spans="5:10" x14ac:dyDescent="0.25">
      <c r="E8583"/>
      <c r="F8583"/>
      <c r="G8583" s="12"/>
      <c r="H8583" s="12"/>
      <c r="I8583" s="12"/>
      <c r="J8583" s="12"/>
    </row>
    <row r="8584" spans="5:10" x14ac:dyDescent="0.25">
      <c r="E8584"/>
      <c r="F8584"/>
      <c r="G8584" s="12"/>
      <c r="H8584" s="12"/>
      <c r="I8584" s="12"/>
      <c r="J8584" s="12"/>
    </row>
    <row r="8585" spans="5:10" x14ac:dyDescent="0.25">
      <c r="E8585"/>
      <c r="F8585"/>
      <c r="G8585" s="12"/>
      <c r="H8585" s="12"/>
      <c r="I8585" s="12"/>
      <c r="J8585" s="12"/>
    </row>
    <row r="8586" spans="5:10" x14ac:dyDescent="0.25">
      <c r="E8586"/>
      <c r="F8586"/>
      <c r="G8586" s="12"/>
      <c r="H8586" s="12"/>
      <c r="I8586" s="12"/>
      <c r="J8586" s="12"/>
    </row>
    <row r="8587" spans="5:10" x14ac:dyDescent="0.25">
      <c r="E8587"/>
      <c r="F8587"/>
      <c r="G8587" s="12"/>
      <c r="H8587" s="12"/>
      <c r="I8587" s="12"/>
      <c r="J8587" s="12"/>
    </row>
    <row r="8588" spans="5:10" x14ac:dyDescent="0.25">
      <c r="E8588"/>
      <c r="F8588"/>
      <c r="G8588" s="12"/>
      <c r="H8588" s="12"/>
      <c r="I8588" s="12"/>
      <c r="J8588" s="12"/>
    </row>
    <row r="8589" spans="5:10" x14ac:dyDescent="0.25">
      <c r="E8589"/>
      <c r="F8589"/>
      <c r="G8589" s="12"/>
      <c r="H8589" s="12"/>
      <c r="I8589" s="12"/>
      <c r="J8589" s="12"/>
    </row>
    <row r="8590" spans="5:10" x14ac:dyDescent="0.25">
      <c r="E8590"/>
      <c r="F8590"/>
      <c r="G8590" s="12"/>
      <c r="H8590" s="12"/>
      <c r="I8590" s="12"/>
      <c r="J8590" s="12"/>
    </row>
    <row r="8591" spans="5:10" x14ac:dyDescent="0.25">
      <c r="E8591"/>
      <c r="F8591"/>
      <c r="G8591" s="12"/>
      <c r="H8591" s="12"/>
      <c r="I8591" s="12"/>
      <c r="J8591" s="12"/>
    </row>
    <row r="8592" spans="5:10" x14ac:dyDescent="0.25">
      <c r="E8592"/>
      <c r="F8592"/>
      <c r="G8592" s="12"/>
      <c r="H8592" s="12"/>
      <c r="I8592" s="12"/>
      <c r="J8592" s="12"/>
    </row>
    <row r="8593" spans="5:10" x14ac:dyDescent="0.25">
      <c r="E8593"/>
      <c r="F8593"/>
      <c r="G8593" s="12"/>
      <c r="H8593" s="12"/>
      <c r="I8593" s="12"/>
      <c r="J8593" s="12"/>
    </row>
    <row r="8594" spans="5:10" x14ac:dyDescent="0.25">
      <c r="E8594"/>
      <c r="F8594"/>
      <c r="G8594" s="12"/>
      <c r="H8594" s="12"/>
      <c r="I8594" s="12"/>
      <c r="J8594" s="12"/>
    </row>
    <row r="8595" spans="5:10" x14ac:dyDescent="0.25">
      <c r="E8595"/>
      <c r="F8595"/>
      <c r="G8595" s="12"/>
      <c r="H8595" s="12"/>
      <c r="I8595" s="12"/>
      <c r="J8595" s="12"/>
    </row>
    <row r="8596" spans="5:10" x14ac:dyDescent="0.25">
      <c r="E8596"/>
      <c r="F8596"/>
      <c r="G8596" s="12"/>
      <c r="H8596" s="12"/>
      <c r="I8596" s="12"/>
      <c r="J8596" s="12"/>
    </row>
    <row r="8597" spans="5:10" x14ac:dyDescent="0.25">
      <c r="E8597"/>
      <c r="F8597"/>
      <c r="G8597" s="12"/>
      <c r="H8597" s="12"/>
      <c r="I8597" s="12"/>
      <c r="J8597" s="12"/>
    </row>
    <row r="8598" spans="5:10" x14ac:dyDescent="0.25">
      <c r="E8598"/>
      <c r="F8598"/>
      <c r="G8598" s="12"/>
      <c r="H8598" s="12"/>
      <c r="I8598" s="12"/>
      <c r="J8598" s="12"/>
    </row>
    <row r="8599" spans="5:10" x14ac:dyDescent="0.25">
      <c r="E8599"/>
      <c r="F8599"/>
      <c r="G8599" s="12"/>
      <c r="H8599" s="12"/>
      <c r="I8599" s="12"/>
      <c r="J8599" s="12"/>
    </row>
    <row r="8600" spans="5:10" x14ac:dyDescent="0.25">
      <c r="E8600"/>
      <c r="F8600"/>
      <c r="G8600" s="12"/>
      <c r="H8600" s="12"/>
      <c r="I8600" s="12"/>
      <c r="J8600" s="12"/>
    </row>
    <row r="8601" spans="5:10" x14ac:dyDescent="0.25">
      <c r="E8601"/>
      <c r="F8601"/>
      <c r="G8601" s="12"/>
      <c r="H8601" s="12"/>
      <c r="I8601" s="12"/>
      <c r="J8601" s="12"/>
    </row>
    <row r="8602" spans="5:10" x14ac:dyDescent="0.25">
      <c r="E8602"/>
      <c r="F8602"/>
      <c r="G8602" s="12"/>
      <c r="H8602" s="12"/>
      <c r="I8602" s="12"/>
      <c r="J8602" s="12"/>
    </row>
    <row r="8603" spans="5:10" x14ac:dyDescent="0.25">
      <c r="E8603"/>
      <c r="F8603"/>
      <c r="G8603" s="12"/>
      <c r="H8603" s="12"/>
      <c r="I8603" s="12"/>
      <c r="J8603" s="12"/>
    </row>
    <row r="8604" spans="5:10" x14ac:dyDescent="0.25">
      <c r="E8604"/>
      <c r="F8604"/>
      <c r="G8604" s="12"/>
      <c r="H8604" s="12"/>
      <c r="I8604" s="12"/>
      <c r="J8604" s="12"/>
    </row>
    <row r="8605" spans="5:10" x14ac:dyDescent="0.25">
      <c r="E8605"/>
      <c r="F8605"/>
      <c r="G8605" s="12"/>
      <c r="H8605" s="12"/>
      <c r="I8605" s="12"/>
      <c r="J8605" s="12"/>
    </row>
    <row r="8606" spans="5:10" x14ac:dyDescent="0.25">
      <c r="E8606"/>
      <c r="F8606"/>
      <c r="G8606" s="12"/>
      <c r="H8606" s="12"/>
      <c r="I8606" s="12"/>
      <c r="J8606" s="12"/>
    </row>
    <row r="8607" spans="5:10" x14ac:dyDescent="0.25">
      <c r="E8607"/>
      <c r="F8607"/>
      <c r="G8607" s="12"/>
      <c r="H8607" s="12"/>
      <c r="I8607" s="12"/>
      <c r="J8607" s="12"/>
    </row>
    <row r="8608" spans="5:10" x14ac:dyDescent="0.25">
      <c r="E8608"/>
      <c r="F8608"/>
      <c r="G8608" s="12"/>
      <c r="H8608" s="12"/>
      <c r="I8608" s="12"/>
      <c r="J8608" s="12"/>
    </row>
    <row r="8609" spans="5:10" x14ac:dyDescent="0.25">
      <c r="E8609"/>
      <c r="F8609"/>
      <c r="G8609" s="12"/>
      <c r="H8609" s="12"/>
      <c r="I8609" s="12"/>
      <c r="J8609" s="12"/>
    </row>
    <row r="8610" spans="5:10" x14ac:dyDescent="0.25">
      <c r="E8610"/>
      <c r="F8610"/>
      <c r="G8610" s="12"/>
      <c r="H8610" s="12"/>
      <c r="I8610" s="12"/>
      <c r="J8610" s="12"/>
    </row>
    <row r="8611" spans="5:10" x14ac:dyDescent="0.25">
      <c r="E8611"/>
      <c r="F8611"/>
      <c r="G8611" s="12"/>
      <c r="H8611" s="12"/>
      <c r="I8611" s="12"/>
      <c r="J8611" s="12"/>
    </row>
    <row r="8612" spans="5:10" x14ac:dyDescent="0.25">
      <c r="E8612"/>
      <c r="F8612"/>
      <c r="G8612" s="12"/>
      <c r="H8612" s="12"/>
      <c r="I8612" s="12"/>
      <c r="J8612" s="12"/>
    </row>
    <row r="8613" spans="5:10" x14ac:dyDescent="0.25">
      <c r="E8613"/>
      <c r="F8613"/>
      <c r="G8613" s="12"/>
      <c r="H8613" s="12"/>
      <c r="I8613" s="12"/>
      <c r="J8613" s="12"/>
    </row>
    <row r="8614" spans="5:10" x14ac:dyDescent="0.25">
      <c r="E8614"/>
      <c r="F8614"/>
      <c r="G8614" s="12"/>
      <c r="H8614" s="12"/>
      <c r="I8614" s="12"/>
      <c r="J8614" s="12"/>
    </row>
    <row r="8615" spans="5:10" x14ac:dyDescent="0.25">
      <c r="E8615"/>
      <c r="F8615"/>
      <c r="G8615" s="12"/>
      <c r="H8615" s="12"/>
      <c r="I8615" s="12"/>
      <c r="J8615" s="12"/>
    </row>
    <row r="8616" spans="5:10" x14ac:dyDescent="0.25">
      <c r="E8616"/>
      <c r="F8616"/>
      <c r="G8616" s="12"/>
      <c r="H8616" s="12"/>
      <c r="I8616" s="12"/>
      <c r="J8616" s="12"/>
    </row>
    <row r="8617" spans="5:10" x14ac:dyDescent="0.25">
      <c r="E8617"/>
      <c r="F8617"/>
      <c r="G8617" s="12"/>
      <c r="H8617" s="12"/>
      <c r="I8617" s="12"/>
      <c r="J8617" s="12"/>
    </row>
    <row r="8618" spans="5:10" x14ac:dyDescent="0.25">
      <c r="E8618"/>
      <c r="F8618"/>
      <c r="G8618" s="12"/>
      <c r="H8618" s="12"/>
      <c r="I8618" s="12"/>
      <c r="J8618" s="12"/>
    </row>
    <row r="8619" spans="5:10" x14ac:dyDescent="0.25">
      <c r="E8619"/>
      <c r="F8619"/>
      <c r="G8619" s="12"/>
      <c r="H8619" s="12"/>
      <c r="I8619" s="12"/>
      <c r="J8619" s="12"/>
    </row>
    <row r="8620" spans="5:10" x14ac:dyDescent="0.25">
      <c r="E8620"/>
      <c r="F8620"/>
      <c r="G8620" s="12"/>
      <c r="H8620" s="12"/>
      <c r="I8620" s="12"/>
      <c r="J8620" s="12"/>
    </row>
    <row r="8621" spans="5:10" x14ac:dyDescent="0.25">
      <c r="E8621"/>
      <c r="F8621"/>
      <c r="G8621" s="12"/>
      <c r="H8621" s="12"/>
      <c r="I8621" s="12"/>
      <c r="J8621" s="12"/>
    </row>
    <row r="8622" spans="5:10" x14ac:dyDescent="0.25">
      <c r="E8622"/>
      <c r="F8622"/>
      <c r="G8622" s="12"/>
      <c r="H8622" s="12"/>
      <c r="I8622" s="12"/>
      <c r="J8622" s="12"/>
    </row>
    <row r="8623" spans="5:10" x14ac:dyDescent="0.25">
      <c r="E8623"/>
      <c r="F8623"/>
      <c r="G8623" s="12"/>
      <c r="H8623" s="12"/>
      <c r="I8623" s="12"/>
      <c r="J8623" s="12"/>
    </row>
    <row r="8624" spans="5:10" x14ac:dyDescent="0.25">
      <c r="E8624"/>
      <c r="F8624"/>
      <c r="G8624" s="12"/>
      <c r="H8624" s="12"/>
      <c r="I8624" s="12"/>
      <c r="J8624" s="12"/>
    </row>
    <row r="8625" spans="5:10" x14ac:dyDescent="0.25">
      <c r="E8625"/>
      <c r="F8625"/>
      <c r="G8625" s="12"/>
      <c r="H8625" s="12"/>
      <c r="I8625" s="12"/>
      <c r="J8625" s="12"/>
    </row>
    <row r="8626" spans="5:10" x14ac:dyDescent="0.25">
      <c r="E8626"/>
      <c r="F8626"/>
      <c r="G8626" s="12"/>
      <c r="H8626" s="12"/>
      <c r="I8626" s="12"/>
      <c r="J8626" s="12"/>
    </row>
    <row r="8627" spans="5:10" x14ac:dyDescent="0.25">
      <c r="E8627"/>
      <c r="F8627"/>
      <c r="G8627" s="12"/>
      <c r="H8627" s="12"/>
      <c r="I8627" s="12"/>
      <c r="J8627" s="12"/>
    </row>
    <row r="8628" spans="5:10" x14ac:dyDescent="0.25">
      <c r="E8628"/>
      <c r="F8628"/>
      <c r="G8628" s="12"/>
      <c r="H8628" s="12"/>
      <c r="I8628" s="12"/>
      <c r="J8628" s="12"/>
    </row>
    <row r="8629" spans="5:10" x14ac:dyDescent="0.25">
      <c r="E8629"/>
      <c r="F8629"/>
      <c r="G8629" s="12"/>
      <c r="H8629" s="12"/>
      <c r="I8629" s="12"/>
      <c r="J8629" s="12"/>
    </row>
    <row r="8630" spans="5:10" x14ac:dyDescent="0.25">
      <c r="E8630"/>
      <c r="F8630"/>
      <c r="G8630" s="12"/>
      <c r="H8630" s="12"/>
      <c r="I8630" s="12"/>
      <c r="J8630" s="12"/>
    </row>
    <row r="8631" spans="5:10" x14ac:dyDescent="0.25">
      <c r="E8631"/>
      <c r="F8631"/>
      <c r="G8631" s="12"/>
      <c r="H8631" s="12"/>
      <c r="I8631" s="12"/>
      <c r="J8631" s="12"/>
    </row>
    <row r="8632" spans="5:10" x14ac:dyDescent="0.25">
      <c r="E8632"/>
      <c r="F8632"/>
      <c r="G8632" s="12"/>
      <c r="H8632" s="12"/>
      <c r="I8632" s="12"/>
      <c r="J8632" s="12"/>
    </row>
    <row r="8633" spans="5:10" x14ac:dyDescent="0.25">
      <c r="E8633"/>
      <c r="F8633"/>
      <c r="G8633" s="12"/>
      <c r="H8633" s="12"/>
      <c r="I8633" s="12"/>
      <c r="J8633" s="12"/>
    </row>
    <row r="8634" spans="5:10" x14ac:dyDescent="0.25">
      <c r="E8634"/>
      <c r="F8634"/>
      <c r="G8634" s="12"/>
      <c r="H8634" s="12"/>
      <c r="I8634" s="12"/>
      <c r="J8634" s="12"/>
    </row>
    <row r="8635" spans="5:10" x14ac:dyDescent="0.25">
      <c r="E8635"/>
      <c r="F8635"/>
      <c r="G8635" s="12"/>
      <c r="H8635" s="12"/>
      <c r="I8635" s="12"/>
      <c r="J8635" s="12"/>
    </row>
    <row r="8636" spans="5:10" x14ac:dyDescent="0.25">
      <c r="E8636"/>
      <c r="F8636"/>
      <c r="G8636" s="12"/>
      <c r="H8636" s="12"/>
      <c r="I8636" s="12"/>
      <c r="J8636" s="12"/>
    </row>
    <row r="8637" spans="5:10" x14ac:dyDescent="0.25">
      <c r="E8637"/>
      <c r="F8637"/>
      <c r="G8637" s="12"/>
      <c r="H8637" s="12"/>
      <c r="I8637" s="12"/>
      <c r="J8637" s="12"/>
    </row>
    <row r="8638" spans="5:10" x14ac:dyDescent="0.25">
      <c r="E8638"/>
      <c r="F8638"/>
      <c r="G8638" s="12"/>
      <c r="H8638" s="12"/>
      <c r="I8638" s="12"/>
      <c r="J8638" s="12"/>
    </row>
    <row r="8639" spans="5:10" x14ac:dyDescent="0.25">
      <c r="E8639"/>
      <c r="F8639"/>
      <c r="G8639" s="12"/>
      <c r="H8639" s="12"/>
      <c r="I8639" s="12"/>
      <c r="J8639" s="12"/>
    </row>
    <row r="8640" spans="5:10" x14ac:dyDescent="0.25">
      <c r="E8640"/>
      <c r="F8640"/>
      <c r="G8640" s="12"/>
      <c r="H8640" s="12"/>
      <c r="I8640" s="12"/>
      <c r="J8640" s="12"/>
    </row>
    <row r="8641" spans="5:10" x14ac:dyDescent="0.25">
      <c r="E8641"/>
      <c r="F8641"/>
      <c r="G8641" s="12"/>
      <c r="H8641" s="12"/>
      <c r="I8641" s="12"/>
      <c r="J8641" s="12"/>
    </row>
    <row r="8642" spans="5:10" x14ac:dyDescent="0.25">
      <c r="E8642"/>
      <c r="F8642"/>
      <c r="G8642" s="12"/>
      <c r="H8642" s="12"/>
      <c r="I8642" s="12"/>
      <c r="J8642" s="12"/>
    </row>
    <row r="8643" spans="5:10" x14ac:dyDescent="0.25">
      <c r="E8643"/>
      <c r="F8643"/>
      <c r="G8643" s="12"/>
      <c r="H8643" s="12"/>
      <c r="I8643" s="12"/>
      <c r="J8643" s="12"/>
    </row>
    <row r="8644" spans="5:10" x14ac:dyDescent="0.25">
      <c r="E8644"/>
      <c r="F8644"/>
      <c r="G8644" s="12"/>
      <c r="H8644" s="12"/>
      <c r="I8644" s="12"/>
      <c r="J8644" s="12"/>
    </row>
    <row r="8645" spans="5:10" x14ac:dyDescent="0.25">
      <c r="E8645"/>
      <c r="F8645"/>
      <c r="G8645" s="12"/>
      <c r="H8645" s="12"/>
      <c r="I8645" s="12"/>
      <c r="J8645" s="12"/>
    </row>
    <row r="8646" spans="5:10" x14ac:dyDescent="0.25">
      <c r="E8646"/>
      <c r="F8646"/>
      <c r="G8646" s="12"/>
      <c r="H8646" s="12"/>
      <c r="I8646" s="12"/>
      <c r="J8646" s="12"/>
    </row>
    <row r="8647" spans="5:10" x14ac:dyDescent="0.25">
      <c r="E8647"/>
      <c r="F8647"/>
      <c r="G8647" s="12"/>
      <c r="H8647" s="12"/>
      <c r="I8647" s="12"/>
      <c r="J8647" s="12"/>
    </row>
    <row r="8648" spans="5:10" x14ac:dyDescent="0.25">
      <c r="E8648"/>
      <c r="F8648"/>
      <c r="G8648" s="12"/>
      <c r="H8648" s="12"/>
      <c r="I8648" s="12"/>
      <c r="J8648" s="12"/>
    </row>
    <row r="8649" spans="5:10" x14ac:dyDescent="0.25">
      <c r="E8649"/>
      <c r="F8649"/>
      <c r="G8649" s="12"/>
      <c r="H8649" s="12"/>
      <c r="I8649" s="12"/>
      <c r="J8649" s="12"/>
    </row>
    <row r="8650" spans="5:10" x14ac:dyDescent="0.25">
      <c r="E8650"/>
      <c r="F8650"/>
      <c r="G8650" s="12"/>
      <c r="H8650" s="12"/>
      <c r="I8650" s="12"/>
      <c r="J8650" s="12"/>
    </row>
    <row r="8651" spans="5:10" x14ac:dyDescent="0.25">
      <c r="E8651"/>
      <c r="F8651"/>
      <c r="G8651" s="12"/>
      <c r="H8651" s="12"/>
      <c r="I8651" s="12"/>
      <c r="J8651" s="12"/>
    </row>
    <row r="8652" spans="5:10" x14ac:dyDescent="0.25">
      <c r="E8652"/>
      <c r="F8652"/>
      <c r="G8652" s="12"/>
      <c r="H8652" s="12"/>
      <c r="I8652" s="12"/>
      <c r="J8652" s="12"/>
    </row>
    <row r="8653" spans="5:10" x14ac:dyDescent="0.25">
      <c r="E8653"/>
      <c r="F8653"/>
      <c r="G8653" s="12"/>
      <c r="H8653" s="12"/>
      <c r="I8653" s="12"/>
      <c r="J8653" s="12"/>
    </row>
    <row r="8654" spans="5:10" x14ac:dyDescent="0.25">
      <c r="E8654"/>
      <c r="F8654"/>
      <c r="G8654" s="12"/>
      <c r="H8654" s="12"/>
      <c r="I8654" s="12"/>
      <c r="J8654" s="12"/>
    </row>
    <row r="8655" spans="5:10" x14ac:dyDescent="0.25">
      <c r="E8655"/>
      <c r="F8655"/>
      <c r="G8655" s="12"/>
      <c r="H8655" s="12"/>
      <c r="I8655" s="12"/>
      <c r="J8655" s="12"/>
    </row>
    <row r="8656" spans="5:10" x14ac:dyDescent="0.25">
      <c r="E8656"/>
      <c r="F8656"/>
      <c r="G8656" s="12"/>
      <c r="H8656" s="12"/>
      <c r="I8656" s="12"/>
      <c r="J8656" s="12"/>
    </row>
    <row r="8657" spans="5:10" x14ac:dyDescent="0.25">
      <c r="E8657"/>
      <c r="F8657"/>
      <c r="G8657" s="12"/>
      <c r="H8657" s="12"/>
      <c r="I8657" s="12"/>
      <c r="J8657" s="12"/>
    </row>
    <row r="8658" spans="5:10" x14ac:dyDescent="0.25">
      <c r="E8658"/>
      <c r="F8658"/>
      <c r="G8658" s="12"/>
      <c r="H8658" s="12"/>
      <c r="I8658" s="12"/>
      <c r="J8658" s="12"/>
    </row>
    <row r="8659" spans="5:10" x14ac:dyDescent="0.25">
      <c r="E8659"/>
      <c r="F8659"/>
      <c r="G8659" s="12"/>
      <c r="H8659" s="12"/>
      <c r="I8659" s="12"/>
      <c r="J8659" s="12"/>
    </row>
    <row r="8660" spans="5:10" x14ac:dyDescent="0.25">
      <c r="E8660"/>
      <c r="F8660"/>
      <c r="G8660" s="12"/>
      <c r="H8660" s="12"/>
      <c r="I8660" s="12"/>
      <c r="J8660" s="12"/>
    </row>
    <row r="8661" spans="5:10" x14ac:dyDescent="0.25">
      <c r="E8661"/>
      <c r="F8661"/>
      <c r="G8661" s="12"/>
      <c r="H8661" s="12"/>
      <c r="I8661" s="12"/>
      <c r="J8661" s="12"/>
    </row>
    <row r="8662" spans="5:10" x14ac:dyDescent="0.25">
      <c r="E8662"/>
      <c r="F8662"/>
      <c r="G8662" s="12"/>
      <c r="H8662" s="12"/>
      <c r="I8662" s="12"/>
      <c r="J8662" s="12"/>
    </row>
    <row r="8663" spans="5:10" x14ac:dyDescent="0.25">
      <c r="E8663"/>
      <c r="F8663"/>
      <c r="G8663" s="12"/>
      <c r="H8663" s="12"/>
      <c r="I8663" s="12"/>
      <c r="J8663" s="12"/>
    </row>
    <row r="8664" spans="5:10" x14ac:dyDescent="0.25">
      <c r="E8664"/>
      <c r="F8664"/>
      <c r="G8664" s="12"/>
      <c r="H8664" s="12"/>
      <c r="I8664" s="12"/>
      <c r="J8664" s="12"/>
    </row>
    <row r="8665" spans="5:10" x14ac:dyDescent="0.25">
      <c r="E8665"/>
      <c r="F8665"/>
      <c r="G8665" s="12"/>
      <c r="H8665" s="12"/>
      <c r="I8665" s="12"/>
      <c r="J8665" s="12"/>
    </row>
    <row r="8666" spans="5:10" x14ac:dyDescent="0.25">
      <c r="E8666"/>
      <c r="F8666"/>
      <c r="G8666" s="12"/>
      <c r="H8666" s="12"/>
      <c r="I8666" s="12"/>
      <c r="J8666" s="12"/>
    </row>
    <row r="8667" spans="5:10" x14ac:dyDescent="0.25">
      <c r="E8667"/>
      <c r="F8667"/>
      <c r="G8667" s="12"/>
      <c r="H8667" s="12"/>
      <c r="I8667" s="12"/>
      <c r="J8667" s="12"/>
    </row>
    <row r="8668" spans="5:10" x14ac:dyDescent="0.25">
      <c r="E8668"/>
      <c r="F8668"/>
      <c r="G8668" s="12"/>
      <c r="H8668" s="12"/>
      <c r="I8668" s="12"/>
      <c r="J8668" s="12"/>
    </row>
    <row r="8669" spans="5:10" x14ac:dyDescent="0.25">
      <c r="E8669"/>
      <c r="F8669"/>
      <c r="G8669" s="12"/>
      <c r="H8669" s="12"/>
      <c r="I8669" s="12"/>
      <c r="J8669" s="12"/>
    </row>
    <row r="8670" spans="5:10" x14ac:dyDescent="0.25">
      <c r="E8670"/>
      <c r="F8670"/>
      <c r="G8670" s="12"/>
      <c r="H8670" s="12"/>
      <c r="I8670" s="12"/>
      <c r="J8670" s="12"/>
    </row>
    <row r="8671" spans="5:10" x14ac:dyDescent="0.25">
      <c r="E8671"/>
      <c r="F8671"/>
      <c r="G8671" s="12"/>
      <c r="H8671" s="12"/>
      <c r="I8671" s="12"/>
      <c r="J8671" s="12"/>
    </row>
    <row r="8672" spans="5:10" x14ac:dyDescent="0.25">
      <c r="E8672"/>
      <c r="F8672"/>
      <c r="G8672" s="12"/>
      <c r="H8672" s="12"/>
      <c r="I8672" s="12"/>
      <c r="J8672" s="12"/>
    </row>
    <row r="8673" spans="5:10" x14ac:dyDescent="0.25">
      <c r="E8673"/>
      <c r="F8673"/>
      <c r="G8673" s="12"/>
      <c r="H8673" s="12"/>
      <c r="I8673" s="12"/>
      <c r="J8673" s="12"/>
    </row>
    <row r="8674" spans="5:10" x14ac:dyDescent="0.25">
      <c r="E8674"/>
      <c r="F8674"/>
      <c r="G8674" s="12"/>
      <c r="H8674" s="12"/>
      <c r="I8674" s="12"/>
      <c r="J8674" s="12"/>
    </row>
    <row r="8675" spans="5:10" x14ac:dyDescent="0.25">
      <c r="E8675"/>
      <c r="F8675"/>
      <c r="G8675" s="12"/>
      <c r="H8675" s="12"/>
      <c r="I8675" s="12"/>
      <c r="J8675" s="12"/>
    </row>
    <row r="8676" spans="5:10" x14ac:dyDescent="0.25">
      <c r="E8676"/>
      <c r="F8676"/>
      <c r="G8676" s="12"/>
      <c r="H8676" s="12"/>
      <c r="I8676" s="12"/>
      <c r="J8676" s="12"/>
    </row>
    <row r="8677" spans="5:10" x14ac:dyDescent="0.25">
      <c r="E8677"/>
      <c r="F8677"/>
      <c r="G8677" s="12"/>
      <c r="H8677" s="12"/>
      <c r="I8677" s="12"/>
      <c r="J8677" s="12"/>
    </row>
    <row r="8678" spans="5:10" x14ac:dyDescent="0.25">
      <c r="E8678"/>
      <c r="F8678"/>
      <c r="G8678" s="12"/>
      <c r="H8678" s="12"/>
      <c r="I8678" s="12"/>
      <c r="J8678" s="12"/>
    </row>
    <row r="8679" spans="5:10" x14ac:dyDescent="0.25">
      <c r="E8679"/>
      <c r="F8679"/>
      <c r="G8679" s="12"/>
      <c r="H8679" s="12"/>
      <c r="I8679" s="12"/>
      <c r="J8679" s="12"/>
    </row>
    <row r="8680" spans="5:10" x14ac:dyDescent="0.25">
      <c r="E8680"/>
      <c r="F8680"/>
      <c r="G8680" s="12"/>
      <c r="H8680" s="12"/>
      <c r="I8680" s="12"/>
      <c r="J8680" s="12"/>
    </row>
    <row r="8681" spans="5:10" x14ac:dyDescent="0.25">
      <c r="E8681"/>
      <c r="F8681"/>
      <c r="G8681" s="12"/>
      <c r="H8681" s="12"/>
      <c r="I8681" s="12"/>
      <c r="J8681" s="12"/>
    </row>
    <row r="8682" spans="5:10" x14ac:dyDescent="0.25">
      <c r="E8682"/>
      <c r="F8682"/>
      <c r="G8682" s="12"/>
      <c r="H8682" s="12"/>
      <c r="I8682" s="12"/>
      <c r="J8682" s="12"/>
    </row>
    <row r="8683" spans="5:10" x14ac:dyDescent="0.25">
      <c r="E8683"/>
      <c r="F8683"/>
      <c r="G8683" s="12"/>
      <c r="H8683" s="12"/>
      <c r="I8683" s="12"/>
      <c r="J8683" s="12"/>
    </row>
    <row r="8684" spans="5:10" x14ac:dyDescent="0.25">
      <c r="E8684"/>
      <c r="F8684"/>
      <c r="G8684" s="12"/>
      <c r="H8684" s="12"/>
      <c r="I8684" s="12"/>
      <c r="J8684" s="12"/>
    </row>
    <row r="8685" spans="5:10" x14ac:dyDescent="0.25">
      <c r="E8685"/>
      <c r="F8685"/>
      <c r="G8685" s="12"/>
      <c r="H8685" s="12"/>
      <c r="I8685" s="12"/>
      <c r="J8685" s="12"/>
    </row>
    <row r="8686" spans="5:10" x14ac:dyDescent="0.25">
      <c r="E8686"/>
      <c r="F8686"/>
      <c r="G8686" s="12"/>
      <c r="H8686" s="12"/>
      <c r="I8686" s="12"/>
      <c r="J8686" s="12"/>
    </row>
    <row r="8687" spans="5:10" x14ac:dyDescent="0.25">
      <c r="E8687"/>
      <c r="F8687"/>
      <c r="G8687" s="12"/>
      <c r="H8687" s="12"/>
      <c r="I8687" s="12"/>
      <c r="J8687" s="12"/>
    </row>
    <row r="8688" spans="5:10" x14ac:dyDescent="0.25">
      <c r="E8688"/>
      <c r="F8688"/>
      <c r="G8688" s="12"/>
      <c r="H8688" s="12"/>
      <c r="I8688" s="12"/>
      <c r="J8688" s="12"/>
    </row>
    <row r="8689" spans="5:10" x14ac:dyDescent="0.25">
      <c r="E8689"/>
      <c r="F8689"/>
      <c r="G8689" s="12"/>
      <c r="H8689" s="12"/>
      <c r="I8689" s="12"/>
      <c r="J8689" s="12"/>
    </row>
    <row r="8690" spans="5:10" x14ac:dyDescent="0.25">
      <c r="E8690"/>
      <c r="F8690"/>
      <c r="G8690" s="12"/>
      <c r="H8690" s="12"/>
      <c r="I8690" s="12"/>
      <c r="J8690" s="12"/>
    </row>
    <row r="8691" spans="5:10" x14ac:dyDescent="0.25">
      <c r="E8691"/>
      <c r="F8691"/>
      <c r="G8691" s="12"/>
      <c r="H8691" s="12"/>
      <c r="I8691" s="12"/>
      <c r="J8691" s="12"/>
    </row>
    <row r="8692" spans="5:10" x14ac:dyDescent="0.25">
      <c r="E8692"/>
      <c r="F8692"/>
      <c r="G8692" s="12"/>
      <c r="H8692" s="12"/>
      <c r="I8692" s="12"/>
      <c r="J8692" s="12"/>
    </row>
    <row r="8693" spans="5:10" x14ac:dyDescent="0.25">
      <c r="E8693"/>
      <c r="F8693"/>
      <c r="G8693" s="12"/>
      <c r="H8693" s="12"/>
      <c r="I8693" s="12"/>
      <c r="J8693" s="12"/>
    </row>
    <row r="8694" spans="5:10" x14ac:dyDescent="0.25">
      <c r="E8694"/>
      <c r="F8694"/>
      <c r="G8694" s="12"/>
      <c r="H8694" s="12"/>
      <c r="I8694" s="12"/>
      <c r="J8694" s="12"/>
    </row>
    <row r="8695" spans="5:10" x14ac:dyDescent="0.25">
      <c r="E8695"/>
      <c r="F8695"/>
      <c r="G8695" s="12"/>
      <c r="H8695" s="12"/>
      <c r="I8695" s="12"/>
      <c r="J8695" s="12"/>
    </row>
    <row r="8696" spans="5:10" x14ac:dyDescent="0.25">
      <c r="E8696"/>
      <c r="F8696"/>
      <c r="G8696" s="12"/>
      <c r="H8696" s="12"/>
      <c r="I8696" s="12"/>
      <c r="J8696" s="12"/>
    </row>
    <row r="8697" spans="5:10" x14ac:dyDescent="0.25">
      <c r="E8697"/>
      <c r="F8697"/>
      <c r="G8697" s="12"/>
      <c r="H8697" s="12"/>
      <c r="I8697" s="12"/>
      <c r="J8697" s="12"/>
    </row>
    <row r="8698" spans="5:10" x14ac:dyDescent="0.25">
      <c r="E8698"/>
      <c r="F8698"/>
      <c r="G8698" s="12"/>
      <c r="H8698" s="12"/>
      <c r="I8698" s="12"/>
      <c r="J8698" s="12"/>
    </row>
    <row r="8699" spans="5:10" x14ac:dyDescent="0.25">
      <c r="E8699"/>
      <c r="F8699"/>
      <c r="G8699" s="12"/>
      <c r="H8699" s="12"/>
      <c r="I8699" s="12"/>
      <c r="J8699" s="12"/>
    </row>
    <row r="8700" spans="5:10" x14ac:dyDescent="0.25">
      <c r="E8700"/>
      <c r="F8700"/>
      <c r="G8700" s="12"/>
      <c r="H8700" s="12"/>
      <c r="I8700" s="12"/>
      <c r="J8700" s="12"/>
    </row>
    <row r="8701" spans="5:10" x14ac:dyDescent="0.25">
      <c r="E8701"/>
      <c r="F8701"/>
      <c r="G8701" s="12"/>
      <c r="H8701" s="12"/>
      <c r="I8701" s="12"/>
      <c r="J8701" s="12"/>
    </row>
    <row r="8702" spans="5:10" x14ac:dyDescent="0.25">
      <c r="E8702"/>
      <c r="F8702"/>
      <c r="G8702" s="12"/>
      <c r="H8702" s="12"/>
      <c r="I8702" s="12"/>
      <c r="J8702" s="12"/>
    </row>
    <row r="8703" spans="5:10" x14ac:dyDescent="0.25">
      <c r="E8703"/>
      <c r="F8703"/>
      <c r="G8703" s="12"/>
      <c r="H8703" s="12"/>
      <c r="I8703" s="12"/>
      <c r="J8703" s="12"/>
    </row>
    <row r="8704" spans="5:10" x14ac:dyDescent="0.25">
      <c r="E8704"/>
      <c r="F8704"/>
      <c r="G8704" s="12"/>
      <c r="H8704" s="12"/>
      <c r="I8704" s="12"/>
      <c r="J8704" s="12"/>
    </row>
    <row r="8705" spans="5:10" x14ac:dyDescent="0.25">
      <c r="E8705"/>
      <c r="F8705"/>
      <c r="G8705" s="12"/>
      <c r="H8705" s="12"/>
      <c r="I8705" s="12"/>
      <c r="J8705" s="12"/>
    </row>
    <row r="8706" spans="5:10" x14ac:dyDescent="0.25">
      <c r="E8706"/>
      <c r="F8706"/>
      <c r="G8706" s="12"/>
      <c r="H8706" s="12"/>
      <c r="I8706" s="12"/>
      <c r="J8706" s="12"/>
    </row>
    <row r="8707" spans="5:10" x14ac:dyDescent="0.25">
      <c r="E8707"/>
      <c r="F8707"/>
      <c r="G8707" s="12"/>
      <c r="H8707" s="12"/>
      <c r="I8707" s="12"/>
      <c r="J8707" s="12"/>
    </row>
    <row r="8708" spans="5:10" x14ac:dyDescent="0.25">
      <c r="E8708"/>
      <c r="F8708"/>
      <c r="G8708" s="12"/>
      <c r="H8708" s="12"/>
      <c r="I8708" s="12"/>
      <c r="J8708" s="12"/>
    </row>
    <row r="8709" spans="5:10" x14ac:dyDescent="0.25">
      <c r="E8709"/>
      <c r="F8709"/>
      <c r="G8709" s="12"/>
      <c r="H8709" s="12"/>
      <c r="I8709" s="12"/>
      <c r="J8709" s="12"/>
    </row>
    <row r="8710" spans="5:10" x14ac:dyDescent="0.25">
      <c r="E8710"/>
      <c r="F8710"/>
      <c r="G8710" s="12"/>
      <c r="H8710" s="12"/>
      <c r="I8710" s="12"/>
      <c r="J8710" s="12"/>
    </row>
    <row r="8711" spans="5:10" x14ac:dyDescent="0.25">
      <c r="E8711"/>
      <c r="F8711"/>
      <c r="G8711" s="12"/>
      <c r="H8711" s="12"/>
      <c r="I8711" s="12"/>
      <c r="J8711" s="12"/>
    </row>
    <row r="8712" spans="5:10" x14ac:dyDescent="0.25">
      <c r="E8712"/>
      <c r="F8712"/>
      <c r="G8712" s="12"/>
      <c r="H8712" s="12"/>
      <c r="I8712" s="12"/>
      <c r="J8712" s="12"/>
    </row>
    <row r="8713" spans="5:10" x14ac:dyDescent="0.25">
      <c r="E8713"/>
      <c r="F8713"/>
      <c r="G8713" s="12"/>
      <c r="H8713" s="12"/>
      <c r="I8713" s="12"/>
      <c r="J8713" s="12"/>
    </row>
    <row r="8714" spans="5:10" x14ac:dyDescent="0.25">
      <c r="E8714"/>
      <c r="F8714"/>
      <c r="G8714" s="12"/>
      <c r="H8714" s="12"/>
      <c r="I8714" s="12"/>
      <c r="J8714" s="12"/>
    </row>
    <row r="8715" spans="5:10" x14ac:dyDescent="0.25">
      <c r="E8715"/>
      <c r="F8715"/>
      <c r="G8715" s="12"/>
      <c r="H8715" s="12"/>
      <c r="I8715" s="12"/>
      <c r="J8715" s="12"/>
    </row>
    <row r="8716" spans="5:10" x14ac:dyDescent="0.25">
      <c r="E8716"/>
      <c r="F8716"/>
      <c r="G8716" s="12"/>
      <c r="H8716" s="12"/>
      <c r="I8716" s="12"/>
      <c r="J8716" s="12"/>
    </row>
    <row r="8717" spans="5:10" x14ac:dyDescent="0.25">
      <c r="E8717"/>
      <c r="F8717"/>
      <c r="G8717" s="12"/>
      <c r="H8717" s="12"/>
      <c r="I8717" s="12"/>
      <c r="J8717" s="12"/>
    </row>
    <row r="8718" spans="5:10" x14ac:dyDescent="0.25">
      <c r="E8718"/>
      <c r="F8718"/>
      <c r="G8718" s="12"/>
      <c r="H8718" s="12"/>
      <c r="I8718" s="12"/>
      <c r="J8718" s="12"/>
    </row>
    <row r="8719" spans="5:10" x14ac:dyDescent="0.25">
      <c r="E8719"/>
      <c r="F8719"/>
      <c r="G8719" s="12"/>
      <c r="H8719" s="12"/>
      <c r="I8719" s="12"/>
      <c r="J8719" s="12"/>
    </row>
    <row r="8720" spans="5:10" x14ac:dyDescent="0.25">
      <c r="E8720"/>
      <c r="F8720"/>
      <c r="G8720" s="12"/>
      <c r="H8720" s="12"/>
      <c r="I8720" s="12"/>
      <c r="J8720" s="12"/>
    </row>
    <row r="8721" spans="5:10" x14ac:dyDescent="0.25">
      <c r="E8721"/>
      <c r="F8721"/>
      <c r="G8721" s="12"/>
      <c r="H8721" s="12"/>
      <c r="I8721" s="12"/>
      <c r="J8721" s="12"/>
    </row>
    <row r="8722" spans="5:10" x14ac:dyDescent="0.25">
      <c r="E8722"/>
      <c r="F8722"/>
      <c r="G8722" s="12"/>
      <c r="H8722" s="12"/>
      <c r="I8722" s="12"/>
      <c r="J8722" s="12"/>
    </row>
    <row r="8723" spans="5:10" x14ac:dyDescent="0.25">
      <c r="E8723"/>
      <c r="F8723"/>
      <c r="G8723" s="12"/>
      <c r="H8723" s="12"/>
      <c r="I8723" s="12"/>
      <c r="J8723" s="12"/>
    </row>
    <row r="8724" spans="5:10" x14ac:dyDescent="0.25">
      <c r="E8724"/>
      <c r="F8724"/>
      <c r="G8724" s="12"/>
      <c r="H8724" s="12"/>
      <c r="I8724" s="12"/>
      <c r="J8724" s="12"/>
    </row>
    <row r="8725" spans="5:10" x14ac:dyDescent="0.25">
      <c r="E8725"/>
      <c r="F8725"/>
      <c r="G8725" s="12"/>
      <c r="H8725" s="12"/>
      <c r="I8725" s="12"/>
      <c r="J8725" s="12"/>
    </row>
    <row r="8726" spans="5:10" x14ac:dyDescent="0.25">
      <c r="E8726"/>
      <c r="F8726"/>
      <c r="G8726" s="12"/>
      <c r="H8726" s="12"/>
      <c r="I8726" s="12"/>
      <c r="J8726" s="12"/>
    </row>
    <row r="8727" spans="5:10" x14ac:dyDescent="0.25">
      <c r="E8727"/>
      <c r="F8727"/>
      <c r="G8727" s="12"/>
      <c r="H8727" s="12"/>
      <c r="I8727" s="12"/>
      <c r="J8727" s="12"/>
    </row>
    <row r="8728" spans="5:10" x14ac:dyDescent="0.25">
      <c r="E8728"/>
      <c r="F8728"/>
      <c r="G8728" s="12"/>
      <c r="H8728" s="12"/>
      <c r="I8728" s="12"/>
      <c r="J8728" s="12"/>
    </row>
    <row r="8729" spans="5:10" x14ac:dyDescent="0.25">
      <c r="E8729"/>
      <c r="F8729"/>
      <c r="G8729" s="12"/>
      <c r="H8729" s="12"/>
      <c r="I8729" s="12"/>
      <c r="J8729" s="12"/>
    </row>
    <row r="8730" spans="5:10" x14ac:dyDescent="0.25">
      <c r="E8730"/>
      <c r="F8730"/>
      <c r="G8730" s="12"/>
      <c r="H8730" s="12"/>
      <c r="I8730" s="12"/>
      <c r="J8730" s="12"/>
    </row>
    <row r="8731" spans="5:10" x14ac:dyDescent="0.25">
      <c r="E8731"/>
      <c r="F8731"/>
      <c r="G8731" s="12"/>
      <c r="H8731" s="12"/>
      <c r="I8731" s="12"/>
      <c r="J8731" s="12"/>
    </row>
    <row r="8732" spans="5:10" x14ac:dyDescent="0.25">
      <c r="E8732"/>
      <c r="F8732"/>
      <c r="G8732" s="12"/>
      <c r="H8732" s="12"/>
      <c r="I8732" s="12"/>
      <c r="J8732" s="12"/>
    </row>
    <row r="8733" spans="5:10" x14ac:dyDescent="0.25">
      <c r="E8733"/>
      <c r="F8733"/>
      <c r="G8733" s="12"/>
      <c r="H8733" s="12"/>
      <c r="I8733" s="12"/>
      <c r="J8733" s="12"/>
    </row>
    <row r="8734" spans="5:10" x14ac:dyDescent="0.25">
      <c r="E8734"/>
      <c r="F8734"/>
      <c r="G8734" s="12"/>
      <c r="H8734" s="12"/>
      <c r="I8734" s="12"/>
      <c r="J8734" s="12"/>
    </row>
    <row r="8735" spans="5:10" x14ac:dyDescent="0.25">
      <c r="E8735"/>
      <c r="F8735"/>
      <c r="G8735" s="12"/>
      <c r="H8735" s="12"/>
      <c r="I8735" s="12"/>
      <c r="J8735" s="12"/>
    </row>
    <row r="8736" spans="5:10" x14ac:dyDescent="0.25">
      <c r="E8736"/>
      <c r="F8736"/>
      <c r="G8736" s="12"/>
      <c r="H8736" s="12"/>
      <c r="I8736" s="12"/>
      <c r="J8736" s="12"/>
    </row>
    <row r="8737" spans="5:10" x14ac:dyDescent="0.25">
      <c r="E8737"/>
      <c r="F8737"/>
      <c r="G8737" s="12"/>
      <c r="H8737" s="12"/>
      <c r="I8737" s="12"/>
      <c r="J8737" s="12"/>
    </row>
    <row r="8738" spans="5:10" x14ac:dyDescent="0.25">
      <c r="E8738"/>
      <c r="F8738"/>
      <c r="G8738" s="12"/>
      <c r="H8738" s="12"/>
      <c r="I8738" s="12"/>
      <c r="J8738" s="12"/>
    </row>
    <row r="8739" spans="5:10" x14ac:dyDescent="0.25">
      <c r="E8739"/>
      <c r="F8739"/>
      <c r="G8739" s="12"/>
      <c r="H8739" s="12"/>
      <c r="I8739" s="12"/>
      <c r="J8739" s="12"/>
    </row>
    <row r="8740" spans="5:10" x14ac:dyDescent="0.25">
      <c r="E8740"/>
      <c r="F8740"/>
      <c r="G8740" s="12"/>
      <c r="H8740" s="12"/>
      <c r="I8740" s="12"/>
      <c r="J8740" s="12"/>
    </row>
    <row r="8741" spans="5:10" x14ac:dyDescent="0.25">
      <c r="E8741"/>
      <c r="F8741"/>
      <c r="G8741" s="12"/>
      <c r="H8741" s="12"/>
      <c r="I8741" s="12"/>
      <c r="J8741" s="12"/>
    </row>
    <row r="8742" spans="5:10" x14ac:dyDescent="0.25">
      <c r="E8742"/>
      <c r="F8742"/>
      <c r="G8742" s="12"/>
      <c r="H8742" s="12"/>
      <c r="I8742" s="12"/>
      <c r="J8742" s="12"/>
    </row>
    <row r="8743" spans="5:10" x14ac:dyDescent="0.25">
      <c r="E8743"/>
      <c r="F8743"/>
      <c r="G8743" s="12"/>
      <c r="H8743" s="12"/>
      <c r="I8743" s="12"/>
      <c r="J8743" s="12"/>
    </row>
    <row r="8744" spans="5:10" x14ac:dyDescent="0.25">
      <c r="E8744"/>
      <c r="F8744"/>
      <c r="G8744" s="12"/>
      <c r="H8744" s="12"/>
      <c r="I8744" s="12"/>
      <c r="J8744" s="12"/>
    </row>
    <row r="8745" spans="5:10" x14ac:dyDescent="0.25">
      <c r="E8745"/>
      <c r="F8745"/>
      <c r="G8745" s="12"/>
      <c r="H8745" s="12"/>
      <c r="I8745" s="12"/>
      <c r="J8745" s="12"/>
    </row>
    <row r="8746" spans="5:10" x14ac:dyDescent="0.25">
      <c r="E8746"/>
      <c r="F8746"/>
      <c r="G8746" s="12"/>
      <c r="H8746" s="12"/>
      <c r="I8746" s="12"/>
      <c r="J8746" s="12"/>
    </row>
    <row r="8747" spans="5:10" x14ac:dyDescent="0.25">
      <c r="E8747"/>
      <c r="F8747"/>
      <c r="G8747" s="12"/>
      <c r="H8747" s="12"/>
      <c r="I8747" s="12"/>
      <c r="J8747" s="12"/>
    </row>
    <row r="8748" spans="5:10" x14ac:dyDescent="0.25">
      <c r="E8748"/>
      <c r="F8748"/>
      <c r="G8748" s="12"/>
      <c r="H8748" s="12"/>
      <c r="I8748" s="12"/>
      <c r="J8748" s="12"/>
    </row>
    <row r="8749" spans="5:10" x14ac:dyDescent="0.25">
      <c r="E8749"/>
      <c r="F8749"/>
      <c r="G8749" s="12"/>
      <c r="H8749" s="12"/>
      <c r="I8749" s="12"/>
      <c r="J8749" s="12"/>
    </row>
    <row r="8750" spans="5:10" x14ac:dyDescent="0.25">
      <c r="E8750"/>
      <c r="F8750"/>
      <c r="G8750" s="12"/>
      <c r="H8750" s="12"/>
      <c r="I8750" s="12"/>
      <c r="J8750" s="12"/>
    </row>
    <row r="8751" spans="5:10" x14ac:dyDescent="0.25">
      <c r="E8751"/>
      <c r="F8751"/>
      <c r="G8751" s="12"/>
      <c r="H8751" s="12"/>
      <c r="I8751" s="12"/>
      <c r="J8751" s="12"/>
    </row>
    <row r="8752" spans="5:10" x14ac:dyDescent="0.25">
      <c r="E8752"/>
      <c r="F8752"/>
      <c r="G8752" s="12"/>
      <c r="H8752" s="12"/>
      <c r="I8752" s="12"/>
      <c r="J8752" s="12"/>
    </row>
    <row r="8753" spans="5:10" x14ac:dyDescent="0.25">
      <c r="E8753"/>
      <c r="F8753"/>
      <c r="G8753" s="12"/>
      <c r="H8753" s="12"/>
      <c r="I8753" s="12"/>
      <c r="J8753" s="12"/>
    </row>
    <row r="8754" spans="5:10" x14ac:dyDescent="0.25">
      <c r="E8754"/>
      <c r="F8754"/>
      <c r="G8754" s="12"/>
      <c r="H8754" s="12"/>
      <c r="I8754" s="12"/>
      <c r="J8754" s="12"/>
    </row>
    <row r="8755" spans="5:10" x14ac:dyDescent="0.25">
      <c r="E8755"/>
      <c r="F8755"/>
      <c r="G8755" s="12"/>
      <c r="H8755" s="12"/>
      <c r="I8755" s="12"/>
      <c r="J8755" s="12"/>
    </row>
    <row r="8756" spans="5:10" x14ac:dyDescent="0.25">
      <c r="E8756"/>
      <c r="F8756"/>
      <c r="G8756" s="12"/>
      <c r="H8756" s="12"/>
      <c r="I8756" s="12"/>
      <c r="J8756" s="12"/>
    </row>
    <row r="8757" spans="5:10" x14ac:dyDescent="0.25">
      <c r="E8757"/>
      <c r="F8757"/>
      <c r="G8757" s="12"/>
      <c r="H8757" s="12"/>
      <c r="I8757" s="12"/>
      <c r="J8757" s="12"/>
    </row>
    <row r="8758" spans="5:10" x14ac:dyDescent="0.25">
      <c r="E8758"/>
      <c r="F8758"/>
      <c r="G8758" s="12"/>
      <c r="H8758" s="12"/>
      <c r="I8758" s="12"/>
      <c r="J8758" s="12"/>
    </row>
    <row r="8759" spans="5:10" x14ac:dyDescent="0.25">
      <c r="E8759"/>
      <c r="F8759"/>
      <c r="G8759" s="12"/>
      <c r="H8759" s="12"/>
      <c r="I8759" s="12"/>
      <c r="J8759" s="12"/>
    </row>
    <row r="8760" spans="5:10" x14ac:dyDescent="0.25">
      <c r="E8760"/>
      <c r="F8760"/>
      <c r="G8760" s="12"/>
      <c r="H8760" s="12"/>
      <c r="I8760" s="12"/>
      <c r="J8760" s="12"/>
    </row>
    <row r="8761" spans="5:10" x14ac:dyDescent="0.25">
      <c r="E8761"/>
      <c r="F8761"/>
      <c r="G8761" s="12"/>
      <c r="H8761" s="12"/>
      <c r="I8761" s="12"/>
      <c r="J8761" s="12"/>
    </row>
    <row r="8762" spans="5:10" x14ac:dyDescent="0.25">
      <c r="E8762"/>
      <c r="F8762"/>
      <c r="G8762" s="12"/>
      <c r="H8762" s="12"/>
      <c r="I8762" s="12"/>
      <c r="J8762" s="12"/>
    </row>
    <row r="8763" spans="5:10" x14ac:dyDescent="0.25">
      <c r="E8763"/>
      <c r="F8763"/>
      <c r="G8763" s="12"/>
      <c r="H8763" s="12"/>
      <c r="I8763" s="12"/>
      <c r="J8763" s="12"/>
    </row>
    <row r="8764" spans="5:10" x14ac:dyDescent="0.25">
      <c r="E8764"/>
      <c r="F8764"/>
      <c r="G8764" s="12"/>
      <c r="H8764" s="12"/>
      <c r="I8764" s="12"/>
      <c r="J8764" s="12"/>
    </row>
    <row r="8765" spans="5:10" x14ac:dyDescent="0.25">
      <c r="E8765"/>
      <c r="F8765"/>
      <c r="G8765" s="12"/>
      <c r="H8765" s="12"/>
      <c r="I8765" s="12"/>
      <c r="J8765" s="12"/>
    </row>
    <row r="8766" spans="5:10" x14ac:dyDescent="0.25">
      <c r="E8766"/>
      <c r="F8766"/>
      <c r="G8766" s="12"/>
      <c r="H8766" s="12"/>
      <c r="I8766" s="12"/>
      <c r="J8766" s="12"/>
    </row>
    <row r="8767" spans="5:10" x14ac:dyDescent="0.25">
      <c r="E8767"/>
      <c r="F8767"/>
      <c r="G8767" s="12"/>
      <c r="H8767" s="12"/>
      <c r="I8767" s="12"/>
      <c r="J8767" s="12"/>
    </row>
    <row r="8768" spans="5:10" x14ac:dyDescent="0.25">
      <c r="E8768"/>
      <c r="F8768"/>
      <c r="G8768" s="12"/>
      <c r="H8768" s="12"/>
      <c r="I8768" s="12"/>
      <c r="J8768" s="12"/>
    </row>
    <row r="8769" spans="5:10" x14ac:dyDescent="0.25">
      <c r="E8769"/>
      <c r="F8769"/>
      <c r="G8769" s="12"/>
      <c r="H8769" s="12"/>
      <c r="I8769" s="12"/>
      <c r="J8769" s="12"/>
    </row>
    <row r="8770" spans="5:10" x14ac:dyDescent="0.25">
      <c r="E8770"/>
      <c r="F8770"/>
      <c r="G8770" s="12"/>
      <c r="H8770" s="12"/>
      <c r="I8770" s="12"/>
      <c r="J8770" s="12"/>
    </row>
    <row r="8771" spans="5:10" x14ac:dyDescent="0.25">
      <c r="E8771"/>
      <c r="F8771"/>
      <c r="G8771" s="12"/>
      <c r="H8771" s="12"/>
      <c r="I8771" s="12"/>
      <c r="J8771" s="12"/>
    </row>
    <row r="8772" spans="5:10" x14ac:dyDescent="0.25">
      <c r="E8772"/>
      <c r="F8772"/>
      <c r="G8772" s="12"/>
      <c r="H8772" s="12"/>
      <c r="I8772" s="12"/>
      <c r="J8772" s="12"/>
    </row>
    <row r="8773" spans="5:10" x14ac:dyDescent="0.25">
      <c r="E8773"/>
      <c r="F8773"/>
      <c r="G8773" s="12"/>
      <c r="H8773" s="12"/>
      <c r="I8773" s="12"/>
      <c r="J8773" s="12"/>
    </row>
    <row r="8774" spans="5:10" x14ac:dyDescent="0.25">
      <c r="E8774"/>
      <c r="F8774"/>
      <c r="G8774" s="12"/>
      <c r="H8774" s="12"/>
      <c r="I8774" s="12"/>
      <c r="J8774" s="12"/>
    </row>
    <row r="8775" spans="5:10" x14ac:dyDescent="0.25">
      <c r="E8775"/>
      <c r="F8775"/>
      <c r="G8775" s="12"/>
      <c r="H8775" s="12"/>
      <c r="I8775" s="12"/>
      <c r="J8775" s="12"/>
    </row>
    <row r="8776" spans="5:10" x14ac:dyDescent="0.25">
      <c r="E8776"/>
      <c r="F8776"/>
      <c r="G8776" s="12"/>
      <c r="H8776" s="12"/>
      <c r="I8776" s="12"/>
      <c r="J8776" s="12"/>
    </row>
    <row r="8777" spans="5:10" x14ac:dyDescent="0.25">
      <c r="E8777"/>
      <c r="F8777"/>
      <c r="G8777" s="12"/>
      <c r="H8777" s="12"/>
      <c r="I8777" s="12"/>
      <c r="J8777" s="12"/>
    </row>
    <row r="8778" spans="5:10" x14ac:dyDescent="0.25">
      <c r="E8778"/>
      <c r="F8778"/>
      <c r="G8778" s="12"/>
      <c r="H8778" s="12"/>
      <c r="I8778" s="12"/>
      <c r="J8778" s="12"/>
    </row>
    <row r="8779" spans="5:10" x14ac:dyDescent="0.25">
      <c r="E8779"/>
      <c r="F8779"/>
      <c r="G8779" s="12"/>
      <c r="H8779" s="12"/>
      <c r="I8779" s="12"/>
      <c r="J8779" s="12"/>
    </row>
    <row r="8780" spans="5:10" x14ac:dyDescent="0.25">
      <c r="E8780"/>
      <c r="F8780"/>
      <c r="G8780" s="12"/>
      <c r="H8780" s="12"/>
      <c r="I8780" s="12"/>
      <c r="J8780" s="12"/>
    </row>
    <row r="8781" spans="5:10" x14ac:dyDescent="0.25">
      <c r="E8781"/>
      <c r="F8781"/>
      <c r="G8781" s="12"/>
      <c r="H8781" s="12"/>
      <c r="I8781" s="12"/>
      <c r="J8781" s="12"/>
    </row>
    <row r="8782" spans="5:10" x14ac:dyDescent="0.25">
      <c r="E8782"/>
      <c r="F8782"/>
      <c r="G8782" s="12"/>
      <c r="H8782" s="12"/>
      <c r="I8782" s="12"/>
      <c r="J8782" s="12"/>
    </row>
    <row r="8783" spans="5:10" x14ac:dyDescent="0.25">
      <c r="E8783"/>
      <c r="F8783"/>
      <c r="G8783" s="12"/>
      <c r="H8783" s="12"/>
      <c r="I8783" s="12"/>
      <c r="J8783" s="12"/>
    </row>
    <row r="8784" spans="5:10" x14ac:dyDescent="0.25">
      <c r="E8784"/>
      <c r="F8784"/>
      <c r="G8784" s="12"/>
      <c r="H8784" s="12"/>
      <c r="I8784" s="12"/>
      <c r="J8784" s="12"/>
    </row>
    <row r="8785" spans="5:10" x14ac:dyDescent="0.25">
      <c r="E8785"/>
      <c r="F8785"/>
      <c r="G8785" s="12"/>
      <c r="H8785" s="12"/>
      <c r="I8785" s="12"/>
      <c r="J8785" s="12"/>
    </row>
    <row r="8786" spans="5:10" x14ac:dyDescent="0.25">
      <c r="E8786"/>
      <c r="F8786"/>
      <c r="G8786" s="12"/>
      <c r="H8786" s="12"/>
      <c r="I8786" s="12"/>
      <c r="J8786" s="12"/>
    </row>
    <row r="8787" spans="5:10" x14ac:dyDescent="0.25">
      <c r="E8787"/>
      <c r="F8787"/>
      <c r="G8787" s="12"/>
      <c r="H8787" s="12"/>
      <c r="I8787" s="12"/>
      <c r="J8787" s="12"/>
    </row>
    <row r="8788" spans="5:10" x14ac:dyDescent="0.25">
      <c r="E8788"/>
      <c r="F8788"/>
      <c r="G8788" s="12"/>
      <c r="H8788" s="12"/>
      <c r="I8788" s="12"/>
      <c r="J8788" s="12"/>
    </row>
    <row r="8789" spans="5:10" x14ac:dyDescent="0.25">
      <c r="E8789"/>
      <c r="F8789"/>
      <c r="G8789" s="12"/>
      <c r="H8789" s="12"/>
      <c r="I8789" s="12"/>
      <c r="J8789" s="12"/>
    </row>
    <row r="8790" spans="5:10" x14ac:dyDescent="0.25">
      <c r="E8790"/>
      <c r="F8790"/>
      <c r="G8790" s="12"/>
      <c r="H8790" s="12"/>
      <c r="I8790" s="12"/>
      <c r="J8790" s="12"/>
    </row>
    <row r="8791" spans="5:10" x14ac:dyDescent="0.25">
      <c r="E8791"/>
      <c r="F8791"/>
      <c r="G8791" s="12"/>
      <c r="H8791" s="12"/>
      <c r="I8791" s="12"/>
      <c r="J8791" s="12"/>
    </row>
    <row r="8792" spans="5:10" x14ac:dyDescent="0.25">
      <c r="E8792"/>
      <c r="F8792"/>
      <c r="G8792" s="12"/>
      <c r="H8792" s="12"/>
      <c r="I8792" s="12"/>
      <c r="J8792" s="12"/>
    </row>
    <row r="8793" spans="5:10" x14ac:dyDescent="0.25">
      <c r="E8793"/>
      <c r="F8793"/>
      <c r="G8793" s="12"/>
      <c r="H8793" s="12"/>
      <c r="I8793" s="12"/>
      <c r="J8793" s="12"/>
    </row>
    <row r="8794" spans="5:10" x14ac:dyDescent="0.25">
      <c r="E8794"/>
      <c r="F8794"/>
      <c r="G8794" s="12"/>
      <c r="H8794" s="12"/>
      <c r="I8794" s="12"/>
      <c r="J8794" s="12"/>
    </row>
    <row r="8795" spans="5:10" x14ac:dyDescent="0.25">
      <c r="E8795"/>
      <c r="F8795"/>
      <c r="G8795" s="12"/>
      <c r="H8795" s="12"/>
      <c r="I8795" s="12"/>
      <c r="J8795" s="12"/>
    </row>
    <row r="8796" spans="5:10" x14ac:dyDescent="0.25">
      <c r="E8796"/>
      <c r="F8796"/>
      <c r="G8796" s="12"/>
      <c r="H8796" s="12"/>
      <c r="I8796" s="12"/>
      <c r="J8796" s="12"/>
    </row>
    <row r="8797" spans="5:10" x14ac:dyDescent="0.25">
      <c r="E8797"/>
      <c r="F8797"/>
      <c r="G8797" s="12"/>
      <c r="H8797" s="12"/>
      <c r="I8797" s="12"/>
      <c r="J8797" s="12"/>
    </row>
    <row r="8798" spans="5:10" x14ac:dyDescent="0.25">
      <c r="E8798"/>
      <c r="F8798"/>
      <c r="G8798" s="12"/>
      <c r="H8798" s="12"/>
      <c r="I8798" s="12"/>
      <c r="J8798" s="12"/>
    </row>
    <row r="8799" spans="5:10" x14ac:dyDescent="0.25">
      <c r="E8799"/>
      <c r="F8799"/>
      <c r="G8799" s="12"/>
      <c r="H8799" s="12"/>
      <c r="I8799" s="12"/>
      <c r="J8799" s="12"/>
    </row>
    <row r="8800" spans="5:10" x14ac:dyDescent="0.25">
      <c r="E8800"/>
      <c r="F8800"/>
      <c r="G8800" s="12"/>
      <c r="H8800" s="12"/>
      <c r="I8800" s="12"/>
      <c r="J8800" s="12"/>
    </row>
    <row r="8801" spans="5:10" x14ac:dyDescent="0.25">
      <c r="E8801"/>
      <c r="F8801"/>
      <c r="G8801" s="12"/>
      <c r="H8801" s="12"/>
      <c r="I8801" s="12"/>
      <c r="J8801" s="12"/>
    </row>
    <row r="8802" spans="5:10" x14ac:dyDescent="0.25">
      <c r="E8802"/>
      <c r="F8802"/>
      <c r="G8802" s="12"/>
      <c r="H8802" s="12"/>
      <c r="I8802" s="12"/>
      <c r="J8802" s="12"/>
    </row>
    <row r="8803" spans="5:10" x14ac:dyDescent="0.25">
      <c r="E8803"/>
      <c r="F8803"/>
      <c r="G8803" s="12"/>
      <c r="H8803" s="12"/>
      <c r="I8803" s="12"/>
      <c r="J8803" s="12"/>
    </row>
    <row r="8804" spans="5:10" x14ac:dyDescent="0.25">
      <c r="E8804"/>
      <c r="F8804"/>
      <c r="G8804" s="12"/>
      <c r="H8804" s="12"/>
      <c r="I8804" s="12"/>
      <c r="J8804" s="12"/>
    </row>
    <row r="8805" spans="5:10" x14ac:dyDescent="0.25">
      <c r="E8805"/>
      <c r="F8805"/>
      <c r="G8805" s="12"/>
      <c r="H8805" s="12"/>
      <c r="I8805" s="12"/>
      <c r="J8805" s="12"/>
    </row>
    <row r="8806" spans="5:10" x14ac:dyDescent="0.25">
      <c r="E8806"/>
      <c r="F8806"/>
      <c r="G8806" s="12"/>
      <c r="H8806" s="12"/>
      <c r="I8806" s="12"/>
      <c r="J8806" s="12"/>
    </row>
    <row r="8807" spans="5:10" x14ac:dyDescent="0.25">
      <c r="E8807"/>
      <c r="F8807"/>
      <c r="G8807" s="12"/>
      <c r="H8807" s="12"/>
      <c r="I8807" s="12"/>
      <c r="J8807" s="12"/>
    </row>
    <row r="8808" spans="5:10" x14ac:dyDescent="0.25">
      <c r="E8808"/>
      <c r="F8808"/>
      <c r="G8808" s="12"/>
      <c r="H8808" s="12"/>
      <c r="I8808" s="12"/>
      <c r="J8808" s="12"/>
    </row>
    <row r="8809" spans="5:10" x14ac:dyDescent="0.25">
      <c r="E8809"/>
      <c r="F8809"/>
      <c r="G8809" s="12"/>
      <c r="H8809" s="12"/>
      <c r="I8809" s="12"/>
      <c r="J8809" s="12"/>
    </row>
    <row r="8810" spans="5:10" x14ac:dyDescent="0.25">
      <c r="E8810"/>
      <c r="F8810"/>
      <c r="G8810" s="12"/>
      <c r="H8810" s="12"/>
      <c r="I8810" s="12"/>
      <c r="J8810" s="12"/>
    </row>
    <row r="8811" spans="5:10" x14ac:dyDescent="0.25">
      <c r="E8811"/>
      <c r="F8811"/>
      <c r="G8811" s="12"/>
      <c r="H8811" s="12"/>
      <c r="I8811" s="12"/>
      <c r="J8811" s="12"/>
    </row>
    <row r="8812" spans="5:10" x14ac:dyDescent="0.25">
      <c r="E8812"/>
      <c r="F8812"/>
      <c r="G8812" s="12"/>
      <c r="H8812" s="12"/>
      <c r="I8812" s="12"/>
      <c r="J8812" s="12"/>
    </row>
    <row r="8813" spans="5:10" x14ac:dyDescent="0.25">
      <c r="E8813"/>
      <c r="F8813"/>
      <c r="G8813" s="12"/>
      <c r="H8813" s="12"/>
      <c r="I8813" s="12"/>
      <c r="J8813" s="12"/>
    </row>
    <row r="8814" spans="5:10" x14ac:dyDescent="0.25">
      <c r="E8814"/>
      <c r="F8814"/>
      <c r="G8814" s="12"/>
      <c r="H8814" s="12"/>
      <c r="I8814" s="12"/>
      <c r="J8814" s="12"/>
    </row>
    <row r="8815" spans="5:10" x14ac:dyDescent="0.25">
      <c r="E8815"/>
      <c r="F8815"/>
      <c r="G8815" s="12"/>
      <c r="H8815" s="12"/>
      <c r="I8815" s="12"/>
      <c r="J8815" s="12"/>
    </row>
    <row r="8816" spans="5:10" x14ac:dyDescent="0.25">
      <c r="E8816"/>
      <c r="F8816"/>
      <c r="G8816" s="12"/>
      <c r="H8816" s="12"/>
      <c r="I8816" s="12"/>
      <c r="J8816" s="12"/>
    </row>
    <row r="8817" spans="5:10" x14ac:dyDescent="0.25">
      <c r="E8817"/>
      <c r="F8817"/>
      <c r="G8817" s="12"/>
      <c r="H8817" s="12"/>
      <c r="I8817" s="12"/>
      <c r="J8817" s="12"/>
    </row>
    <row r="8818" spans="5:10" x14ac:dyDescent="0.25">
      <c r="E8818"/>
      <c r="F8818"/>
      <c r="G8818" s="12"/>
      <c r="H8818" s="12"/>
      <c r="I8818" s="12"/>
      <c r="J8818" s="12"/>
    </row>
    <row r="8819" spans="5:10" x14ac:dyDescent="0.25">
      <c r="E8819"/>
      <c r="F8819"/>
      <c r="G8819" s="12"/>
      <c r="H8819" s="12"/>
      <c r="I8819" s="12"/>
      <c r="J8819" s="12"/>
    </row>
    <row r="8820" spans="5:10" x14ac:dyDescent="0.25">
      <c r="E8820"/>
      <c r="F8820"/>
      <c r="G8820" s="12"/>
      <c r="H8820" s="12"/>
      <c r="I8820" s="12"/>
      <c r="J8820" s="12"/>
    </row>
    <row r="8821" spans="5:10" x14ac:dyDescent="0.25">
      <c r="E8821"/>
      <c r="F8821"/>
      <c r="G8821" s="12"/>
      <c r="H8821" s="12"/>
      <c r="I8821" s="12"/>
      <c r="J8821" s="12"/>
    </row>
    <row r="8822" spans="5:10" x14ac:dyDescent="0.25">
      <c r="E8822"/>
      <c r="F8822"/>
      <c r="G8822" s="12"/>
      <c r="H8822" s="12"/>
      <c r="I8822" s="12"/>
      <c r="J8822" s="12"/>
    </row>
    <row r="8823" spans="5:10" x14ac:dyDescent="0.25">
      <c r="E8823"/>
      <c r="F8823"/>
      <c r="G8823" s="12"/>
      <c r="H8823" s="12"/>
      <c r="I8823" s="12"/>
      <c r="J8823" s="12"/>
    </row>
    <row r="8824" spans="5:10" x14ac:dyDescent="0.25">
      <c r="E8824"/>
      <c r="F8824"/>
      <c r="G8824" s="12"/>
      <c r="H8824" s="12"/>
      <c r="I8824" s="12"/>
      <c r="J8824" s="12"/>
    </row>
    <row r="8825" spans="5:10" x14ac:dyDescent="0.25">
      <c r="E8825"/>
      <c r="F8825"/>
      <c r="G8825" s="12"/>
      <c r="H8825" s="12"/>
      <c r="I8825" s="12"/>
      <c r="J8825" s="12"/>
    </row>
    <row r="8826" spans="5:10" x14ac:dyDescent="0.25">
      <c r="E8826"/>
      <c r="F8826"/>
      <c r="G8826" s="12"/>
      <c r="H8826" s="12"/>
      <c r="I8826" s="12"/>
      <c r="J8826" s="12"/>
    </row>
    <row r="8827" spans="5:10" x14ac:dyDescent="0.25">
      <c r="E8827"/>
      <c r="F8827"/>
      <c r="G8827" s="12"/>
      <c r="H8827" s="12"/>
      <c r="I8827" s="12"/>
      <c r="J8827" s="12"/>
    </row>
    <row r="8828" spans="5:10" x14ac:dyDescent="0.25">
      <c r="E8828"/>
      <c r="F8828"/>
      <c r="G8828" s="12"/>
      <c r="H8828" s="12"/>
      <c r="I8828" s="12"/>
      <c r="J8828" s="12"/>
    </row>
    <row r="8829" spans="5:10" x14ac:dyDescent="0.25">
      <c r="E8829"/>
      <c r="F8829"/>
      <c r="G8829" s="12"/>
      <c r="H8829" s="12"/>
      <c r="I8829" s="12"/>
      <c r="J8829" s="12"/>
    </row>
    <row r="8830" spans="5:10" x14ac:dyDescent="0.25">
      <c r="E8830"/>
      <c r="F8830"/>
      <c r="G8830" s="12"/>
      <c r="H8830" s="12"/>
      <c r="I8830" s="12"/>
      <c r="J8830" s="12"/>
    </row>
    <row r="8831" spans="5:10" x14ac:dyDescent="0.25">
      <c r="E8831"/>
      <c r="F8831"/>
      <c r="G8831" s="12"/>
      <c r="H8831" s="12"/>
      <c r="I8831" s="12"/>
      <c r="J8831" s="12"/>
    </row>
    <row r="8832" spans="5:10" x14ac:dyDescent="0.25">
      <c r="E8832"/>
      <c r="F8832"/>
      <c r="G8832" s="12"/>
      <c r="H8832" s="12"/>
      <c r="I8832" s="12"/>
      <c r="J8832" s="12"/>
    </row>
    <row r="8833" spans="5:10" x14ac:dyDescent="0.25">
      <c r="E8833"/>
      <c r="F8833"/>
      <c r="G8833" s="12"/>
      <c r="H8833" s="12"/>
      <c r="I8833" s="12"/>
      <c r="J8833" s="12"/>
    </row>
    <row r="8834" spans="5:10" x14ac:dyDescent="0.25">
      <c r="E8834"/>
      <c r="F8834"/>
      <c r="G8834" s="12"/>
      <c r="H8834" s="12"/>
      <c r="I8834" s="12"/>
      <c r="J8834" s="12"/>
    </row>
    <row r="8835" spans="5:10" x14ac:dyDescent="0.25">
      <c r="E8835"/>
      <c r="F8835"/>
      <c r="G8835" s="12"/>
      <c r="H8835" s="12"/>
      <c r="I8835" s="12"/>
      <c r="J8835" s="12"/>
    </row>
    <row r="8836" spans="5:10" x14ac:dyDescent="0.25">
      <c r="E8836"/>
      <c r="F8836"/>
      <c r="G8836" s="12"/>
      <c r="H8836" s="12"/>
      <c r="I8836" s="12"/>
      <c r="J8836" s="12"/>
    </row>
    <row r="8837" spans="5:10" x14ac:dyDescent="0.25">
      <c r="E8837"/>
      <c r="F8837"/>
      <c r="G8837" s="12"/>
      <c r="H8837" s="12"/>
      <c r="I8837" s="12"/>
      <c r="J8837" s="12"/>
    </row>
    <row r="8838" spans="5:10" x14ac:dyDescent="0.25">
      <c r="E8838"/>
      <c r="F8838"/>
      <c r="G8838" s="12"/>
      <c r="H8838" s="12"/>
      <c r="I8838" s="12"/>
      <c r="J8838" s="12"/>
    </row>
    <row r="8839" spans="5:10" x14ac:dyDescent="0.25">
      <c r="E8839"/>
      <c r="F8839"/>
      <c r="G8839" s="12"/>
      <c r="H8839" s="12"/>
      <c r="I8839" s="12"/>
      <c r="J8839" s="12"/>
    </row>
    <row r="8840" spans="5:10" x14ac:dyDescent="0.25">
      <c r="E8840"/>
      <c r="F8840"/>
      <c r="G8840" s="12"/>
      <c r="H8840" s="12"/>
      <c r="I8840" s="12"/>
      <c r="J8840" s="12"/>
    </row>
    <row r="8841" spans="5:10" x14ac:dyDescent="0.25">
      <c r="E8841"/>
      <c r="F8841"/>
      <c r="G8841" s="12"/>
      <c r="H8841" s="12"/>
      <c r="I8841" s="12"/>
      <c r="J8841" s="12"/>
    </row>
    <row r="8842" spans="5:10" x14ac:dyDescent="0.25">
      <c r="E8842"/>
      <c r="F8842"/>
      <c r="G8842" s="12"/>
      <c r="H8842" s="12"/>
      <c r="I8842" s="12"/>
      <c r="J8842" s="12"/>
    </row>
    <row r="8843" spans="5:10" x14ac:dyDescent="0.25">
      <c r="E8843"/>
      <c r="F8843"/>
      <c r="G8843" s="12"/>
      <c r="H8843" s="12"/>
      <c r="I8843" s="12"/>
      <c r="J8843" s="12"/>
    </row>
    <row r="8844" spans="5:10" x14ac:dyDescent="0.25">
      <c r="E8844"/>
      <c r="F8844"/>
      <c r="G8844" s="12"/>
      <c r="H8844" s="12"/>
      <c r="I8844" s="12"/>
      <c r="J8844" s="12"/>
    </row>
    <row r="8845" spans="5:10" x14ac:dyDescent="0.25">
      <c r="E8845"/>
      <c r="F8845"/>
      <c r="G8845" s="12"/>
      <c r="H8845" s="12"/>
      <c r="I8845" s="12"/>
      <c r="J8845" s="12"/>
    </row>
    <row r="8846" spans="5:10" x14ac:dyDescent="0.25">
      <c r="E8846"/>
      <c r="F8846"/>
      <c r="G8846" s="12"/>
      <c r="H8846" s="12"/>
      <c r="I8846" s="12"/>
      <c r="J8846" s="12"/>
    </row>
    <row r="8847" spans="5:10" x14ac:dyDescent="0.25">
      <c r="E8847"/>
      <c r="F8847"/>
      <c r="G8847" s="12"/>
      <c r="H8847" s="12"/>
      <c r="I8847" s="12"/>
      <c r="J8847" s="12"/>
    </row>
    <row r="8848" spans="5:10" x14ac:dyDescent="0.25">
      <c r="E8848"/>
      <c r="F8848"/>
      <c r="G8848" s="12"/>
      <c r="H8848" s="12"/>
      <c r="I8848" s="12"/>
      <c r="J8848" s="12"/>
    </row>
    <row r="8849" spans="5:10" x14ac:dyDescent="0.25">
      <c r="E8849"/>
      <c r="F8849"/>
      <c r="G8849" s="12"/>
      <c r="H8849" s="12"/>
      <c r="I8849" s="12"/>
      <c r="J8849" s="12"/>
    </row>
    <row r="8850" spans="5:10" x14ac:dyDescent="0.25">
      <c r="E8850"/>
      <c r="F8850"/>
      <c r="G8850" s="12"/>
      <c r="H8850" s="12"/>
      <c r="I8850" s="12"/>
      <c r="J8850" s="12"/>
    </row>
    <row r="8851" spans="5:10" x14ac:dyDescent="0.25">
      <c r="E8851"/>
      <c r="F8851"/>
      <c r="G8851" s="12"/>
      <c r="H8851" s="12"/>
      <c r="I8851" s="12"/>
      <c r="J8851" s="12"/>
    </row>
    <row r="8852" spans="5:10" x14ac:dyDescent="0.25">
      <c r="E8852"/>
      <c r="F8852"/>
      <c r="G8852" s="12"/>
      <c r="H8852" s="12"/>
      <c r="I8852" s="12"/>
      <c r="J8852" s="12"/>
    </row>
    <row r="8853" spans="5:10" x14ac:dyDescent="0.25">
      <c r="E8853"/>
      <c r="F8853"/>
      <c r="G8853" s="12"/>
      <c r="H8853" s="12"/>
      <c r="I8853" s="12"/>
      <c r="J8853" s="12"/>
    </row>
    <row r="8854" spans="5:10" x14ac:dyDescent="0.25">
      <c r="E8854"/>
      <c r="F8854"/>
      <c r="G8854" s="12"/>
      <c r="H8854" s="12"/>
      <c r="I8854" s="12"/>
      <c r="J8854" s="12"/>
    </row>
    <row r="8855" spans="5:10" x14ac:dyDescent="0.25">
      <c r="E8855"/>
      <c r="F8855"/>
      <c r="G8855" s="12"/>
      <c r="H8855" s="12"/>
      <c r="I8855" s="12"/>
      <c r="J8855" s="12"/>
    </row>
    <row r="8856" spans="5:10" x14ac:dyDescent="0.25">
      <c r="E8856"/>
      <c r="F8856"/>
      <c r="G8856" s="12"/>
      <c r="H8856" s="12"/>
      <c r="I8856" s="12"/>
      <c r="J8856" s="12"/>
    </row>
    <row r="8857" spans="5:10" x14ac:dyDescent="0.25">
      <c r="E8857"/>
      <c r="F8857"/>
      <c r="G8857" s="12"/>
      <c r="H8857" s="12"/>
      <c r="I8857" s="12"/>
      <c r="J8857" s="12"/>
    </row>
    <row r="8858" spans="5:10" x14ac:dyDescent="0.25">
      <c r="E8858"/>
      <c r="F8858"/>
      <c r="G8858" s="12"/>
      <c r="H8858" s="12"/>
      <c r="I8858" s="12"/>
      <c r="J8858" s="12"/>
    </row>
    <row r="8859" spans="5:10" x14ac:dyDescent="0.25">
      <c r="E8859"/>
      <c r="F8859"/>
      <c r="G8859" s="12"/>
      <c r="H8859" s="12"/>
      <c r="I8859" s="12"/>
      <c r="J8859" s="12"/>
    </row>
    <row r="8860" spans="5:10" x14ac:dyDescent="0.25">
      <c r="E8860"/>
      <c r="F8860"/>
      <c r="G8860" s="12"/>
      <c r="H8860" s="12"/>
      <c r="I8860" s="12"/>
      <c r="J8860" s="12"/>
    </row>
    <row r="8861" spans="5:10" x14ac:dyDescent="0.25">
      <c r="E8861"/>
      <c r="F8861"/>
      <c r="G8861" s="12"/>
      <c r="H8861" s="12"/>
      <c r="I8861" s="12"/>
      <c r="J8861" s="12"/>
    </row>
    <row r="8862" spans="5:10" x14ac:dyDescent="0.25">
      <c r="E8862"/>
      <c r="F8862"/>
      <c r="G8862" s="12"/>
      <c r="H8862" s="12"/>
      <c r="I8862" s="12"/>
      <c r="J8862" s="12"/>
    </row>
    <row r="8863" spans="5:10" x14ac:dyDescent="0.25">
      <c r="E8863"/>
      <c r="F8863"/>
      <c r="G8863" s="12"/>
      <c r="H8863" s="12"/>
      <c r="I8863" s="12"/>
      <c r="J8863" s="12"/>
    </row>
    <row r="8864" spans="5:10" x14ac:dyDescent="0.25">
      <c r="E8864"/>
      <c r="F8864"/>
      <c r="G8864" s="12"/>
      <c r="H8864" s="12"/>
      <c r="I8864" s="12"/>
      <c r="J8864" s="12"/>
    </row>
    <row r="8865" spans="5:10" x14ac:dyDescent="0.25">
      <c r="E8865"/>
      <c r="F8865"/>
      <c r="G8865" s="12"/>
      <c r="H8865" s="12"/>
      <c r="I8865" s="12"/>
      <c r="J8865" s="12"/>
    </row>
    <row r="8866" spans="5:10" x14ac:dyDescent="0.25">
      <c r="E8866"/>
      <c r="F8866"/>
      <c r="G8866" s="12"/>
      <c r="H8866" s="12"/>
      <c r="I8866" s="12"/>
      <c r="J8866" s="12"/>
    </row>
    <row r="8867" spans="5:10" x14ac:dyDescent="0.25">
      <c r="E8867"/>
      <c r="F8867"/>
      <c r="G8867" s="12"/>
      <c r="H8867" s="12"/>
      <c r="I8867" s="12"/>
      <c r="J8867" s="12"/>
    </row>
    <row r="8868" spans="5:10" x14ac:dyDescent="0.25">
      <c r="E8868"/>
      <c r="F8868"/>
      <c r="G8868" s="12"/>
      <c r="H8868" s="12"/>
      <c r="I8868" s="12"/>
      <c r="J8868" s="12"/>
    </row>
    <row r="8869" spans="5:10" x14ac:dyDescent="0.25">
      <c r="E8869"/>
      <c r="F8869"/>
      <c r="G8869" s="12"/>
      <c r="H8869" s="12"/>
      <c r="I8869" s="12"/>
      <c r="J8869" s="12"/>
    </row>
    <row r="8870" spans="5:10" x14ac:dyDescent="0.25">
      <c r="E8870"/>
      <c r="F8870"/>
      <c r="G8870" s="12"/>
      <c r="H8870" s="12"/>
      <c r="I8870" s="12"/>
      <c r="J8870" s="12"/>
    </row>
    <row r="8871" spans="5:10" x14ac:dyDescent="0.25">
      <c r="E8871"/>
      <c r="F8871"/>
      <c r="G8871" s="12"/>
      <c r="H8871" s="12"/>
      <c r="I8871" s="12"/>
      <c r="J8871" s="12"/>
    </row>
    <row r="8872" spans="5:10" x14ac:dyDescent="0.25">
      <c r="E8872"/>
      <c r="F8872"/>
      <c r="G8872" s="12"/>
      <c r="H8872" s="12"/>
      <c r="I8872" s="12"/>
      <c r="J8872" s="12"/>
    </row>
    <row r="8873" spans="5:10" x14ac:dyDescent="0.25">
      <c r="E8873"/>
      <c r="F8873"/>
      <c r="G8873" s="12"/>
      <c r="H8873" s="12"/>
      <c r="I8873" s="12"/>
      <c r="J8873" s="12"/>
    </row>
    <row r="8874" spans="5:10" x14ac:dyDescent="0.25">
      <c r="E8874"/>
      <c r="F8874"/>
      <c r="G8874" s="12"/>
      <c r="H8874" s="12"/>
      <c r="I8874" s="12"/>
      <c r="J8874" s="12"/>
    </row>
    <row r="8875" spans="5:10" x14ac:dyDescent="0.25">
      <c r="E8875"/>
      <c r="F8875"/>
      <c r="G8875" s="12"/>
      <c r="H8875" s="12"/>
      <c r="I8875" s="12"/>
      <c r="J8875" s="12"/>
    </row>
    <row r="8876" spans="5:10" x14ac:dyDescent="0.25">
      <c r="E8876"/>
      <c r="F8876"/>
      <c r="G8876" s="12"/>
      <c r="H8876" s="12"/>
      <c r="I8876" s="12"/>
      <c r="J8876" s="12"/>
    </row>
    <row r="8877" spans="5:10" x14ac:dyDescent="0.25">
      <c r="E8877"/>
      <c r="F8877"/>
      <c r="G8877" s="12"/>
      <c r="H8877" s="12"/>
      <c r="I8877" s="12"/>
      <c r="J8877" s="12"/>
    </row>
    <row r="8878" spans="5:10" x14ac:dyDescent="0.25">
      <c r="E8878"/>
      <c r="F8878"/>
      <c r="G8878" s="12"/>
      <c r="H8878" s="12"/>
      <c r="I8878" s="12"/>
      <c r="J8878" s="12"/>
    </row>
    <row r="8879" spans="5:10" x14ac:dyDescent="0.25">
      <c r="E8879"/>
      <c r="F8879"/>
      <c r="G8879" s="12"/>
      <c r="H8879" s="12"/>
      <c r="I8879" s="12"/>
      <c r="J8879" s="12"/>
    </row>
    <row r="8880" spans="5:10" x14ac:dyDescent="0.25">
      <c r="E8880"/>
      <c r="F8880"/>
      <c r="G8880" s="12"/>
      <c r="H8880" s="12"/>
      <c r="I8880" s="12"/>
      <c r="J8880" s="12"/>
    </row>
    <row r="8881" spans="5:10" x14ac:dyDescent="0.25">
      <c r="E8881"/>
      <c r="F8881"/>
      <c r="G8881" s="12"/>
      <c r="H8881" s="12"/>
      <c r="I8881" s="12"/>
      <c r="J8881" s="12"/>
    </row>
    <row r="8882" spans="5:10" x14ac:dyDescent="0.25">
      <c r="E8882"/>
      <c r="F8882"/>
      <c r="G8882" s="12"/>
      <c r="H8882" s="12"/>
      <c r="I8882" s="12"/>
      <c r="J8882" s="12"/>
    </row>
    <row r="8883" spans="5:10" x14ac:dyDescent="0.25">
      <c r="E8883"/>
      <c r="F8883"/>
      <c r="G8883" s="12"/>
      <c r="H8883" s="12"/>
      <c r="I8883" s="12"/>
      <c r="J8883" s="12"/>
    </row>
    <row r="8884" spans="5:10" x14ac:dyDescent="0.25">
      <c r="E8884"/>
      <c r="F8884"/>
      <c r="G8884" s="12"/>
      <c r="H8884" s="12"/>
      <c r="I8884" s="12"/>
      <c r="J8884" s="12"/>
    </row>
    <row r="8885" spans="5:10" x14ac:dyDescent="0.25">
      <c r="E8885"/>
      <c r="F8885"/>
      <c r="G8885" s="12"/>
      <c r="H8885" s="12"/>
      <c r="I8885" s="12"/>
      <c r="J8885" s="12"/>
    </row>
    <row r="8886" spans="5:10" x14ac:dyDescent="0.25">
      <c r="E8886"/>
      <c r="F8886"/>
      <c r="G8886" s="12"/>
      <c r="H8886" s="12"/>
      <c r="I8886" s="12"/>
      <c r="J8886" s="12"/>
    </row>
    <row r="8887" spans="5:10" x14ac:dyDescent="0.25">
      <c r="E8887"/>
      <c r="F8887"/>
      <c r="G8887" s="12"/>
      <c r="H8887" s="12"/>
      <c r="I8887" s="12"/>
      <c r="J8887" s="12"/>
    </row>
    <row r="8888" spans="5:10" x14ac:dyDescent="0.25">
      <c r="E8888"/>
      <c r="F8888"/>
      <c r="G8888" s="12"/>
      <c r="H8888" s="12"/>
      <c r="I8888" s="12"/>
      <c r="J8888" s="12"/>
    </row>
    <row r="8889" spans="5:10" x14ac:dyDescent="0.25">
      <c r="E8889"/>
      <c r="F8889"/>
      <c r="G8889" s="12"/>
      <c r="H8889" s="12"/>
      <c r="I8889" s="12"/>
      <c r="J8889" s="12"/>
    </row>
    <row r="8890" spans="5:10" x14ac:dyDescent="0.25">
      <c r="E8890"/>
      <c r="F8890"/>
      <c r="G8890" s="12"/>
      <c r="H8890" s="12"/>
      <c r="I8890" s="12"/>
      <c r="J8890" s="12"/>
    </row>
    <row r="8891" spans="5:10" x14ac:dyDescent="0.25">
      <c r="E8891"/>
      <c r="F8891"/>
      <c r="G8891" s="12"/>
      <c r="H8891" s="12"/>
      <c r="I8891" s="12"/>
      <c r="J8891" s="12"/>
    </row>
    <row r="8892" spans="5:10" x14ac:dyDescent="0.25">
      <c r="E8892"/>
      <c r="F8892"/>
      <c r="G8892" s="12"/>
      <c r="H8892" s="12"/>
      <c r="I8892" s="12"/>
      <c r="J8892" s="12"/>
    </row>
    <row r="8893" spans="5:10" x14ac:dyDescent="0.25">
      <c r="E8893"/>
      <c r="F8893"/>
      <c r="G8893" s="12"/>
      <c r="H8893" s="12"/>
      <c r="I8893" s="12"/>
      <c r="J8893" s="12"/>
    </row>
    <row r="8894" spans="5:10" x14ac:dyDescent="0.25">
      <c r="E8894"/>
      <c r="F8894"/>
      <c r="G8894" s="12"/>
      <c r="H8894" s="12"/>
      <c r="I8894" s="12"/>
      <c r="J8894" s="12"/>
    </row>
    <row r="8895" spans="5:10" x14ac:dyDescent="0.25">
      <c r="E8895"/>
      <c r="F8895"/>
      <c r="G8895" s="12"/>
      <c r="H8895" s="12"/>
      <c r="I8895" s="12"/>
      <c r="J8895" s="12"/>
    </row>
    <row r="8896" spans="5:10" x14ac:dyDescent="0.25">
      <c r="E8896"/>
      <c r="F8896"/>
      <c r="G8896" s="12"/>
      <c r="H8896" s="12"/>
      <c r="I8896" s="12"/>
      <c r="J8896" s="12"/>
    </row>
    <row r="8897" spans="5:10" x14ac:dyDescent="0.25">
      <c r="E8897"/>
      <c r="F8897"/>
      <c r="G8897" s="12"/>
      <c r="H8897" s="12"/>
      <c r="I8897" s="12"/>
      <c r="J8897" s="12"/>
    </row>
    <row r="8898" spans="5:10" x14ac:dyDescent="0.25">
      <c r="E8898"/>
      <c r="F8898"/>
      <c r="G8898" s="12"/>
      <c r="H8898" s="12"/>
      <c r="I8898" s="12"/>
      <c r="J8898" s="12"/>
    </row>
    <row r="8899" spans="5:10" x14ac:dyDescent="0.25">
      <c r="E8899"/>
      <c r="F8899"/>
      <c r="G8899" s="12"/>
      <c r="H8899" s="12"/>
      <c r="I8899" s="12"/>
      <c r="J8899" s="12"/>
    </row>
    <row r="8900" spans="5:10" x14ac:dyDescent="0.25">
      <c r="E8900"/>
      <c r="F8900"/>
      <c r="G8900" s="12"/>
      <c r="H8900" s="12"/>
      <c r="I8900" s="12"/>
      <c r="J8900" s="12"/>
    </row>
    <row r="8901" spans="5:10" x14ac:dyDescent="0.25">
      <c r="E8901"/>
      <c r="F8901"/>
      <c r="G8901" s="12"/>
      <c r="H8901" s="12"/>
      <c r="I8901" s="12"/>
      <c r="J8901" s="12"/>
    </row>
    <row r="8902" spans="5:10" x14ac:dyDescent="0.25">
      <c r="E8902"/>
      <c r="F8902"/>
      <c r="G8902" s="12"/>
      <c r="H8902" s="12"/>
      <c r="I8902" s="12"/>
      <c r="J8902" s="12"/>
    </row>
    <row r="8903" spans="5:10" x14ac:dyDescent="0.25">
      <c r="E8903"/>
      <c r="F8903"/>
      <c r="G8903" s="12"/>
      <c r="H8903" s="12"/>
      <c r="I8903" s="12"/>
      <c r="J8903" s="12"/>
    </row>
    <row r="8904" spans="5:10" x14ac:dyDescent="0.25">
      <c r="E8904"/>
      <c r="F8904"/>
      <c r="G8904" s="12"/>
      <c r="H8904" s="12"/>
      <c r="I8904" s="12"/>
      <c r="J8904" s="12"/>
    </row>
    <row r="8905" spans="5:10" x14ac:dyDescent="0.25">
      <c r="E8905"/>
      <c r="F8905"/>
      <c r="G8905" s="12"/>
      <c r="H8905" s="12"/>
      <c r="I8905" s="12"/>
      <c r="J8905" s="12"/>
    </row>
    <row r="8906" spans="5:10" x14ac:dyDescent="0.25">
      <c r="E8906"/>
      <c r="F8906"/>
      <c r="G8906" s="12"/>
      <c r="H8906" s="12"/>
      <c r="I8906" s="12"/>
      <c r="J8906" s="12"/>
    </row>
    <row r="8907" spans="5:10" x14ac:dyDescent="0.25">
      <c r="E8907"/>
      <c r="F8907"/>
      <c r="G8907" s="12"/>
      <c r="H8907" s="12"/>
      <c r="I8907" s="12"/>
      <c r="J8907" s="12"/>
    </row>
    <row r="8908" spans="5:10" x14ac:dyDescent="0.25">
      <c r="E8908"/>
      <c r="F8908"/>
      <c r="G8908" s="12"/>
      <c r="H8908" s="12"/>
      <c r="I8908" s="12"/>
      <c r="J8908" s="12"/>
    </row>
    <row r="8909" spans="5:10" x14ac:dyDescent="0.25">
      <c r="E8909"/>
      <c r="F8909"/>
      <c r="G8909" s="12"/>
      <c r="H8909" s="12"/>
      <c r="I8909" s="12"/>
      <c r="J8909" s="12"/>
    </row>
    <row r="8910" spans="5:10" x14ac:dyDescent="0.25">
      <c r="E8910"/>
      <c r="F8910"/>
      <c r="G8910" s="12"/>
      <c r="H8910" s="12"/>
      <c r="I8910" s="12"/>
      <c r="J8910" s="12"/>
    </row>
    <row r="8911" spans="5:10" x14ac:dyDescent="0.25">
      <c r="E8911"/>
      <c r="F8911"/>
      <c r="G8911" s="12"/>
      <c r="H8911" s="12"/>
      <c r="I8911" s="12"/>
      <c r="J8911" s="12"/>
    </row>
    <row r="8912" spans="5:10" x14ac:dyDescent="0.25">
      <c r="E8912"/>
      <c r="F8912"/>
      <c r="G8912" s="12"/>
      <c r="H8912" s="12"/>
      <c r="I8912" s="12"/>
      <c r="J8912" s="12"/>
    </row>
    <row r="8913" spans="5:10" x14ac:dyDescent="0.25">
      <c r="E8913"/>
      <c r="F8913"/>
      <c r="G8913" s="12"/>
      <c r="H8913" s="12"/>
      <c r="I8913" s="12"/>
      <c r="J8913" s="12"/>
    </row>
    <row r="8914" spans="5:10" x14ac:dyDescent="0.25">
      <c r="E8914"/>
      <c r="F8914"/>
      <c r="G8914" s="12"/>
      <c r="H8914" s="12"/>
      <c r="I8914" s="12"/>
      <c r="J8914" s="12"/>
    </row>
    <row r="8915" spans="5:10" x14ac:dyDescent="0.25">
      <c r="E8915"/>
      <c r="F8915"/>
      <c r="G8915" s="12"/>
      <c r="H8915" s="12"/>
      <c r="I8915" s="12"/>
      <c r="J8915" s="12"/>
    </row>
    <row r="8916" spans="5:10" x14ac:dyDescent="0.25">
      <c r="E8916"/>
      <c r="F8916"/>
      <c r="G8916" s="12"/>
      <c r="H8916" s="12"/>
      <c r="I8916" s="12"/>
      <c r="J8916" s="12"/>
    </row>
    <row r="8917" spans="5:10" x14ac:dyDescent="0.25">
      <c r="E8917"/>
      <c r="F8917"/>
      <c r="G8917" s="12"/>
      <c r="H8917" s="12"/>
      <c r="I8917" s="12"/>
      <c r="J8917" s="12"/>
    </row>
    <row r="8918" spans="5:10" x14ac:dyDescent="0.25">
      <c r="E8918"/>
      <c r="F8918"/>
      <c r="G8918" s="12"/>
      <c r="H8918" s="12"/>
      <c r="I8918" s="12"/>
      <c r="J8918" s="12"/>
    </row>
    <row r="8919" spans="5:10" x14ac:dyDescent="0.25">
      <c r="E8919"/>
      <c r="F8919"/>
      <c r="G8919" s="12"/>
      <c r="H8919" s="12"/>
      <c r="I8919" s="12"/>
      <c r="J8919" s="12"/>
    </row>
    <row r="8920" spans="5:10" x14ac:dyDescent="0.25">
      <c r="E8920"/>
      <c r="F8920"/>
      <c r="G8920" s="12"/>
      <c r="H8920" s="12"/>
      <c r="I8920" s="12"/>
      <c r="J8920" s="12"/>
    </row>
    <row r="8921" spans="5:10" x14ac:dyDescent="0.25">
      <c r="E8921"/>
      <c r="F8921"/>
      <c r="G8921" s="12"/>
      <c r="H8921" s="12"/>
      <c r="I8921" s="12"/>
      <c r="J8921" s="12"/>
    </row>
    <row r="8922" spans="5:10" x14ac:dyDescent="0.25">
      <c r="E8922"/>
      <c r="F8922"/>
      <c r="G8922" s="12"/>
      <c r="H8922" s="12"/>
      <c r="I8922" s="12"/>
      <c r="J8922" s="12"/>
    </row>
    <row r="8923" spans="5:10" x14ac:dyDescent="0.25">
      <c r="E8923"/>
      <c r="F8923"/>
      <c r="G8923" s="12"/>
      <c r="H8923" s="12"/>
      <c r="I8923" s="12"/>
      <c r="J8923" s="12"/>
    </row>
    <row r="8924" spans="5:10" x14ac:dyDescent="0.25">
      <c r="E8924"/>
      <c r="F8924"/>
      <c r="G8924" s="12"/>
      <c r="H8924" s="12"/>
      <c r="I8924" s="12"/>
      <c r="J8924" s="12"/>
    </row>
    <row r="8925" spans="5:10" x14ac:dyDescent="0.25">
      <c r="E8925"/>
      <c r="F8925"/>
      <c r="G8925" s="12"/>
      <c r="H8925" s="12"/>
      <c r="I8925" s="12"/>
      <c r="J8925" s="12"/>
    </row>
    <row r="8926" spans="5:10" x14ac:dyDescent="0.25">
      <c r="E8926"/>
      <c r="F8926"/>
      <c r="G8926" s="12"/>
      <c r="H8926" s="12"/>
      <c r="I8926" s="12"/>
      <c r="J8926" s="12"/>
    </row>
    <row r="8927" spans="5:10" x14ac:dyDescent="0.25">
      <c r="E8927"/>
      <c r="F8927"/>
      <c r="G8927" s="12"/>
      <c r="H8927" s="12"/>
      <c r="I8927" s="12"/>
      <c r="J8927" s="12"/>
    </row>
    <row r="8928" spans="5:10" x14ac:dyDescent="0.25">
      <c r="E8928"/>
      <c r="F8928"/>
      <c r="G8928" s="12"/>
      <c r="H8928" s="12"/>
      <c r="I8928" s="12"/>
      <c r="J8928" s="12"/>
    </row>
    <row r="8929" spans="5:10" x14ac:dyDescent="0.25">
      <c r="E8929"/>
      <c r="F8929"/>
      <c r="G8929" s="12"/>
      <c r="H8929" s="12"/>
      <c r="I8929" s="12"/>
      <c r="J8929" s="12"/>
    </row>
    <row r="8930" spans="5:10" x14ac:dyDescent="0.25">
      <c r="E8930"/>
      <c r="F8930"/>
      <c r="G8930" s="12"/>
      <c r="H8930" s="12"/>
      <c r="I8930" s="12"/>
      <c r="J8930" s="12"/>
    </row>
    <row r="8931" spans="5:10" x14ac:dyDescent="0.25">
      <c r="E8931"/>
      <c r="F8931"/>
      <c r="G8931" s="12"/>
      <c r="H8931" s="12"/>
      <c r="I8931" s="12"/>
      <c r="J8931" s="12"/>
    </row>
    <row r="8932" spans="5:10" x14ac:dyDescent="0.25">
      <c r="E8932"/>
      <c r="F8932"/>
      <c r="G8932" s="12"/>
      <c r="H8932" s="12"/>
      <c r="I8932" s="12"/>
      <c r="J8932" s="12"/>
    </row>
    <row r="8933" spans="5:10" x14ac:dyDescent="0.25">
      <c r="E8933"/>
      <c r="F8933"/>
      <c r="G8933" s="12"/>
      <c r="H8933" s="12"/>
      <c r="I8933" s="12"/>
      <c r="J8933" s="12"/>
    </row>
    <row r="8934" spans="5:10" x14ac:dyDescent="0.25">
      <c r="E8934"/>
      <c r="F8934"/>
      <c r="G8934" s="12"/>
      <c r="H8934" s="12"/>
      <c r="I8934" s="12"/>
      <c r="J8934" s="12"/>
    </row>
    <row r="8935" spans="5:10" x14ac:dyDescent="0.25">
      <c r="E8935"/>
      <c r="F8935"/>
      <c r="G8935" s="12"/>
      <c r="H8935" s="12"/>
      <c r="I8935" s="12"/>
      <c r="J8935" s="12"/>
    </row>
    <row r="8936" spans="5:10" x14ac:dyDescent="0.25">
      <c r="E8936"/>
      <c r="F8936"/>
      <c r="G8936" s="12"/>
      <c r="H8936" s="12"/>
      <c r="I8936" s="12"/>
      <c r="J8936" s="12"/>
    </row>
    <row r="8937" spans="5:10" x14ac:dyDescent="0.25">
      <c r="E8937"/>
      <c r="F8937"/>
      <c r="G8937" s="12"/>
      <c r="H8937" s="12"/>
      <c r="I8937" s="12"/>
      <c r="J8937" s="12"/>
    </row>
    <row r="8938" spans="5:10" x14ac:dyDescent="0.25">
      <c r="E8938"/>
      <c r="F8938"/>
      <c r="G8938" s="12"/>
      <c r="H8938" s="12"/>
      <c r="I8938" s="12"/>
      <c r="J8938" s="12"/>
    </row>
    <row r="8939" spans="5:10" x14ac:dyDescent="0.25">
      <c r="E8939"/>
      <c r="F8939"/>
      <c r="G8939" s="12"/>
      <c r="H8939" s="12"/>
      <c r="I8939" s="12"/>
      <c r="J8939" s="12"/>
    </row>
    <row r="8940" spans="5:10" x14ac:dyDescent="0.25">
      <c r="E8940"/>
      <c r="F8940"/>
      <c r="G8940" s="12"/>
      <c r="H8940" s="12"/>
      <c r="I8940" s="12"/>
      <c r="J8940" s="12"/>
    </row>
    <row r="8941" spans="5:10" x14ac:dyDescent="0.25">
      <c r="E8941"/>
      <c r="F8941"/>
      <c r="G8941" s="12"/>
      <c r="H8941" s="12"/>
      <c r="I8941" s="12"/>
      <c r="J8941" s="12"/>
    </row>
    <row r="8942" spans="5:10" x14ac:dyDescent="0.25">
      <c r="E8942"/>
      <c r="F8942"/>
      <c r="G8942" s="12"/>
      <c r="H8942" s="12"/>
      <c r="I8942" s="12"/>
      <c r="J8942" s="12"/>
    </row>
    <row r="8943" spans="5:10" x14ac:dyDescent="0.25">
      <c r="E8943"/>
      <c r="F8943"/>
      <c r="G8943" s="12"/>
      <c r="H8943" s="12"/>
      <c r="I8943" s="12"/>
      <c r="J8943" s="12"/>
    </row>
    <row r="8944" spans="5:10" x14ac:dyDescent="0.25">
      <c r="E8944"/>
      <c r="F8944"/>
      <c r="G8944" s="12"/>
      <c r="H8944" s="12"/>
      <c r="I8944" s="12"/>
      <c r="J8944" s="12"/>
    </row>
    <row r="8945" spans="5:10" x14ac:dyDescent="0.25">
      <c r="E8945"/>
      <c r="F8945"/>
      <c r="G8945" s="12"/>
      <c r="H8945" s="12"/>
      <c r="I8945" s="12"/>
      <c r="J8945" s="12"/>
    </row>
    <row r="8946" spans="5:10" x14ac:dyDescent="0.25">
      <c r="E8946"/>
      <c r="F8946"/>
      <c r="G8946" s="12"/>
      <c r="H8946" s="12"/>
      <c r="I8946" s="12"/>
      <c r="J8946" s="12"/>
    </row>
    <row r="8947" spans="5:10" x14ac:dyDescent="0.25">
      <c r="E8947"/>
      <c r="F8947"/>
      <c r="G8947" s="12"/>
      <c r="H8947" s="12"/>
      <c r="I8947" s="12"/>
      <c r="J8947" s="12"/>
    </row>
    <row r="8948" spans="5:10" x14ac:dyDescent="0.25">
      <c r="E8948"/>
      <c r="F8948"/>
      <c r="G8948" s="12"/>
      <c r="H8948" s="12"/>
      <c r="I8948" s="12"/>
      <c r="J8948" s="12"/>
    </row>
    <row r="8949" spans="5:10" x14ac:dyDescent="0.25">
      <c r="E8949"/>
      <c r="F8949"/>
      <c r="G8949" s="12"/>
      <c r="H8949" s="12"/>
      <c r="I8949" s="12"/>
      <c r="J8949" s="12"/>
    </row>
    <row r="8950" spans="5:10" x14ac:dyDescent="0.25">
      <c r="E8950"/>
      <c r="F8950"/>
      <c r="G8950" s="12"/>
      <c r="H8950" s="12"/>
      <c r="I8950" s="12"/>
      <c r="J8950" s="12"/>
    </row>
    <row r="8951" spans="5:10" x14ac:dyDescent="0.25">
      <c r="E8951"/>
      <c r="F8951"/>
      <c r="G8951" s="12"/>
      <c r="H8951" s="12"/>
      <c r="I8951" s="12"/>
      <c r="J8951" s="12"/>
    </row>
    <row r="8952" spans="5:10" x14ac:dyDescent="0.25">
      <c r="E8952"/>
      <c r="F8952"/>
      <c r="G8952" s="12"/>
      <c r="H8952" s="12"/>
      <c r="I8952" s="12"/>
      <c r="J8952" s="12"/>
    </row>
    <row r="8953" spans="5:10" x14ac:dyDescent="0.25">
      <c r="E8953"/>
      <c r="F8953"/>
      <c r="G8953" s="12"/>
      <c r="H8953" s="12"/>
      <c r="I8953" s="12"/>
      <c r="J8953" s="12"/>
    </row>
    <row r="8954" spans="5:10" x14ac:dyDescent="0.25">
      <c r="E8954"/>
      <c r="F8954"/>
      <c r="G8954" s="12"/>
      <c r="H8954" s="12"/>
      <c r="I8954" s="12"/>
      <c r="J8954" s="12"/>
    </row>
    <row r="8955" spans="5:10" x14ac:dyDescent="0.25">
      <c r="E8955"/>
      <c r="F8955"/>
      <c r="G8955" s="12"/>
      <c r="H8955" s="12"/>
      <c r="I8955" s="12"/>
      <c r="J8955" s="12"/>
    </row>
    <row r="8956" spans="5:10" x14ac:dyDescent="0.25">
      <c r="E8956"/>
      <c r="F8956"/>
      <c r="G8956" s="12"/>
      <c r="H8956" s="12"/>
      <c r="I8956" s="12"/>
      <c r="J8956" s="12"/>
    </row>
    <row r="8957" spans="5:10" x14ac:dyDescent="0.25">
      <c r="E8957"/>
      <c r="F8957"/>
      <c r="G8957" s="12"/>
      <c r="H8957" s="12"/>
      <c r="I8957" s="12"/>
      <c r="J8957" s="12"/>
    </row>
    <row r="8958" spans="5:10" x14ac:dyDescent="0.25">
      <c r="E8958"/>
      <c r="F8958"/>
      <c r="G8958" s="12"/>
      <c r="H8958" s="12"/>
      <c r="I8958" s="12"/>
      <c r="J8958" s="12"/>
    </row>
    <row r="8959" spans="5:10" x14ac:dyDescent="0.25">
      <c r="E8959"/>
      <c r="F8959"/>
      <c r="G8959" s="12"/>
      <c r="H8959" s="12"/>
      <c r="I8959" s="12"/>
      <c r="J8959" s="12"/>
    </row>
    <row r="8960" spans="5:10" x14ac:dyDescent="0.25">
      <c r="E8960"/>
      <c r="F8960"/>
      <c r="G8960" s="12"/>
      <c r="H8960" s="12"/>
      <c r="I8960" s="12"/>
      <c r="J8960" s="12"/>
    </row>
    <row r="8961" spans="5:10" x14ac:dyDescent="0.25">
      <c r="E8961"/>
      <c r="F8961"/>
      <c r="G8961" s="12"/>
      <c r="H8961" s="12"/>
      <c r="I8961" s="12"/>
      <c r="J8961" s="12"/>
    </row>
    <row r="8962" spans="5:10" x14ac:dyDescent="0.25">
      <c r="E8962"/>
      <c r="F8962"/>
      <c r="G8962" s="12"/>
      <c r="H8962" s="12"/>
      <c r="I8962" s="12"/>
      <c r="J8962" s="12"/>
    </row>
    <row r="8963" spans="5:10" x14ac:dyDescent="0.25">
      <c r="E8963"/>
      <c r="F8963"/>
      <c r="G8963" s="12"/>
      <c r="H8963" s="12"/>
      <c r="I8963" s="12"/>
      <c r="J8963" s="12"/>
    </row>
    <row r="8964" spans="5:10" x14ac:dyDescent="0.25">
      <c r="E8964"/>
      <c r="F8964"/>
      <c r="G8964" s="12"/>
      <c r="H8964" s="12"/>
      <c r="I8964" s="12"/>
      <c r="J8964" s="12"/>
    </row>
    <row r="8965" spans="5:10" x14ac:dyDescent="0.25">
      <c r="E8965"/>
      <c r="F8965"/>
      <c r="G8965" s="12"/>
      <c r="H8965" s="12"/>
      <c r="I8965" s="12"/>
      <c r="J8965" s="12"/>
    </row>
    <row r="8966" spans="5:10" x14ac:dyDescent="0.25">
      <c r="E8966"/>
      <c r="F8966"/>
      <c r="G8966" s="12"/>
      <c r="H8966" s="12"/>
      <c r="I8966" s="12"/>
      <c r="J8966" s="12"/>
    </row>
    <row r="8967" spans="5:10" x14ac:dyDescent="0.25">
      <c r="E8967"/>
      <c r="F8967"/>
      <c r="G8967" s="12"/>
      <c r="H8967" s="12"/>
      <c r="I8967" s="12"/>
      <c r="J8967" s="12"/>
    </row>
    <row r="8968" spans="5:10" x14ac:dyDescent="0.25">
      <c r="E8968"/>
      <c r="F8968"/>
      <c r="G8968" s="12"/>
      <c r="H8968" s="12"/>
      <c r="I8968" s="12"/>
      <c r="J8968" s="12"/>
    </row>
    <row r="8969" spans="5:10" x14ac:dyDescent="0.25">
      <c r="E8969"/>
      <c r="F8969"/>
      <c r="G8969" s="12"/>
      <c r="H8969" s="12"/>
      <c r="I8969" s="12"/>
      <c r="J8969" s="12"/>
    </row>
    <row r="8970" spans="5:10" x14ac:dyDescent="0.25">
      <c r="E8970"/>
      <c r="F8970"/>
      <c r="G8970" s="12"/>
      <c r="H8970" s="12"/>
      <c r="I8970" s="12"/>
      <c r="J8970" s="12"/>
    </row>
    <row r="8971" spans="5:10" x14ac:dyDescent="0.25">
      <c r="E8971"/>
      <c r="F8971"/>
      <c r="G8971" s="12"/>
      <c r="H8971" s="12"/>
      <c r="I8971" s="12"/>
      <c r="J8971" s="12"/>
    </row>
    <row r="8972" spans="5:10" x14ac:dyDescent="0.25">
      <c r="E8972"/>
      <c r="F8972"/>
      <c r="G8972" s="12"/>
      <c r="H8972" s="12"/>
      <c r="I8972" s="12"/>
      <c r="J8972" s="12"/>
    </row>
    <row r="8973" spans="5:10" x14ac:dyDescent="0.25">
      <c r="E8973"/>
      <c r="F8973"/>
      <c r="G8973" s="12"/>
      <c r="H8973" s="12"/>
      <c r="I8973" s="12"/>
      <c r="J8973" s="12"/>
    </row>
    <row r="8974" spans="5:10" x14ac:dyDescent="0.25">
      <c r="E8974"/>
      <c r="F8974"/>
      <c r="G8974" s="12"/>
      <c r="H8974" s="12"/>
      <c r="I8974" s="12"/>
      <c r="J8974" s="12"/>
    </row>
    <row r="8975" spans="5:10" x14ac:dyDescent="0.25">
      <c r="E8975"/>
      <c r="F8975"/>
      <c r="G8975" s="12"/>
      <c r="H8975" s="12"/>
      <c r="I8975" s="12"/>
      <c r="J8975" s="12"/>
    </row>
    <row r="8976" spans="5:10" x14ac:dyDescent="0.25">
      <c r="E8976"/>
      <c r="F8976"/>
      <c r="G8976" s="12"/>
      <c r="H8976" s="12"/>
      <c r="I8976" s="12"/>
      <c r="J8976" s="12"/>
    </row>
    <row r="8977" spans="5:10" x14ac:dyDescent="0.25">
      <c r="E8977"/>
      <c r="F8977"/>
      <c r="G8977" s="12"/>
      <c r="H8977" s="12"/>
      <c r="I8977" s="12"/>
      <c r="J8977" s="12"/>
    </row>
    <row r="8978" spans="5:10" x14ac:dyDescent="0.25">
      <c r="E8978"/>
      <c r="F8978"/>
      <c r="G8978" s="12"/>
      <c r="H8978" s="12"/>
      <c r="I8978" s="12"/>
      <c r="J8978" s="12"/>
    </row>
    <row r="8979" spans="5:10" x14ac:dyDescent="0.25">
      <c r="E8979"/>
      <c r="F8979"/>
      <c r="G8979" s="12"/>
      <c r="H8979" s="12"/>
      <c r="I8979" s="12"/>
      <c r="J8979" s="12"/>
    </row>
    <row r="8980" spans="5:10" x14ac:dyDescent="0.25">
      <c r="E8980"/>
      <c r="F8980"/>
      <c r="G8980" s="12"/>
      <c r="H8980" s="12"/>
      <c r="I8980" s="12"/>
      <c r="J8980" s="12"/>
    </row>
    <row r="8981" spans="5:10" x14ac:dyDescent="0.25">
      <c r="E8981"/>
      <c r="F8981"/>
      <c r="G8981" s="12"/>
      <c r="H8981" s="12"/>
      <c r="I8981" s="12"/>
      <c r="J8981" s="12"/>
    </row>
    <row r="8982" spans="5:10" x14ac:dyDescent="0.25">
      <c r="E8982"/>
      <c r="F8982"/>
      <c r="G8982" s="12"/>
      <c r="H8982" s="12"/>
      <c r="I8982" s="12"/>
      <c r="J8982" s="12"/>
    </row>
    <row r="8983" spans="5:10" x14ac:dyDescent="0.25">
      <c r="E8983"/>
      <c r="F8983"/>
      <c r="G8983" s="12"/>
      <c r="H8983" s="12"/>
      <c r="I8983" s="12"/>
      <c r="J8983" s="12"/>
    </row>
    <row r="8984" spans="5:10" x14ac:dyDescent="0.25">
      <c r="E8984"/>
      <c r="F8984"/>
      <c r="G8984" s="12"/>
      <c r="H8984" s="12"/>
      <c r="I8984" s="12"/>
      <c r="J8984" s="12"/>
    </row>
    <row r="8985" spans="5:10" x14ac:dyDescent="0.25">
      <c r="E8985"/>
      <c r="F8985"/>
      <c r="G8985" s="12"/>
      <c r="H8985" s="12"/>
      <c r="I8985" s="12"/>
      <c r="J8985" s="12"/>
    </row>
    <row r="8986" spans="5:10" x14ac:dyDescent="0.25">
      <c r="E8986"/>
      <c r="F8986"/>
      <c r="G8986" s="12"/>
      <c r="H8986" s="12"/>
      <c r="I8986" s="12"/>
      <c r="J8986" s="12"/>
    </row>
    <row r="8987" spans="5:10" x14ac:dyDescent="0.25">
      <c r="E8987"/>
      <c r="F8987"/>
      <c r="G8987" s="12"/>
      <c r="H8987" s="12"/>
      <c r="I8987" s="12"/>
      <c r="J8987" s="12"/>
    </row>
    <row r="8988" spans="5:10" x14ac:dyDescent="0.25">
      <c r="E8988"/>
      <c r="F8988"/>
      <c r="G8988" s="12"/>
      <c r="H8988" s="12"/>
      <c r="I8988" s="12"/>
      <c r="J8988" s="12"/>
    </row>
    <row r="8989" spans="5:10" x14ac:dyDescent="0.25">
      <c r="E8989"/>
      <c r="F8989"/>
      <c r="G8989" s="12"/>
      <c r="H8989" s="12"/>
      <c r="I8989" s="12"/>
      <c r="J8989" s="12"/>
    </row>
    <row r="8990" spans="5:10" x14ac:dyDescent="0.25">
      <c r="E8990"/>
      <c r="F8990"/>
      <c r="G8990" s="12"/>
      <c r="H8990" s="12"/>
      <c r="I8990" s="12"/>
      <c r="J8990" s="12"/>
    </row>
    <row r="8991" spans="5:10" x14ac:dyDescent="0.25">
      <c r="E8991"/>
      <c r="F8991"/>
      <c r="G8991" s="12"/>
      <c r="H8991" s="12"/>
      <c r="I8991" s="12"/>
      <c r="J8991" s="12"/>
    </row>
    <row r="8992" spans="5:10" x14ac:dyDescent="0.25">
      <c r="E8992"/>
      <c r="F8992"/>
      <c r="G8992" s="12"/>
      <c r="H8992" s="12"/>
      <c r="I8992" s="12"/>
      <c r="J8992" s="12"/>
    </row>
    <row r="8993" spans="5:10" x14ac:dyDescent="0.25">
      <c r="E8993"/>
      <c r="F8993"/>
      <c r="G8993" s="12"/>
      <c r="H8993" s="12"/>
      <c r="I8993" s="12"/>
      <c r="J8993" s="12"/>
    </row>
    <row r="8994" spans="5:10" x14ac:dyDescent="0.25">
      <c r="E8994"/>
      <c r="F8994"/>
      <c r="G8994" s="12"/>
      <c r="H8994" s="12"/>
      <c r="I8994" s="12"/>
      <c r="J8994" s="12"/>
    </row>
    <row r="8995" spans="5:10" x14ac:dyDescent="0.25">
      <c r="E8995"/>
      <c r="F8995"/>
      <c r="G8995" s="12"/>
      <c r="H8995" s="12"/>
      <c r="I8995" s="12"/>
      <c r="J8995" s="12"/>
    </row>
    <row r="8996" spans="5:10" x14ac:dyDescent="0.25">
      <c r="E8996"/>
      <c r="F8996"/>
      <c r="G8996" s="12"/>
      <c r="H8996" s="12"/>
      <c r="I8996" s="12"/>
      <c r="J8996" s="12"/>
    </row>
    <row r="8997" spans="5:10" x14ac:dyDescent="0.25">
      <c r="E8997"/>
      <c r="F8997"/>
      <c r="G8997" s="12"/>
      <c r="H8997" s="12"/>
      <c r="I8997" s="12"/>
      <c r="J8997" s="12"/>
    </row>
    <row r="8998" spans="5:10" x14ac:dyDescent="0.25">
      <c r="E8998"/>
      <c r="F8998"/>
      <c r="G8998" s="12"/>
      <c r="H8998" s="12"/>
      <c r="I8998" s="12"/>
      <c r="J8998" s="12"/>
    </row>
    <row r="8999" spans="5:10" x14ac:dyDescent="0.25">
      <c r="E8999"/>
      <c r="F8999"/>
      <c r="G8999" s="12"/>
      <c r="H8999" s="12"/>
      <c r="I8999" s="12"/>
      <c r="J8999" s="12"/>
    </row>
    <row r="9000" spans="5:10" x14ac:dyDescent="0.25">
      <c r="E9000"/>
      <c r="F9000"/>
      <c r="G9000" s="12"/>
      <c r="H9000" s="12"/>
      <c r="I9000" s="12"/>
      <c r="J9000" s="12"/>
    </row>
    <row r="9001" spans="5:10" x14ac:dyDescent="0.25">
      <c r="E9001"/>
      <c r="F9001"/>
      <c r="G9001" s="12"/>
      <c r="H9001" s="12"/>
      <c r="I9001" s="12"/>
      <c r="J9001" s="12"/>
    </row>
    <row r="9002" spans="5:10" x14ac:dyDescent="0.25">
      <c r="E9002"/>
      <c r="F9002"/>
      <c r="G9002" s="12"/>
      <c r="H9002" s="12"/>
      <c r="I9002" s="12"/>
      <c r="J9002" s="12"/>
    </row>
    <row r="9003" spans="5:10" x14ac:dyDescent="0.25">
      <c r="E9003"/>
      <c r="F9003"/>
      <c r="G9003" s="12"/>
      <c r="H9003" s="12"/>
      <c r="I9003" s="12"/>
      <c r="J9003" s="12"/>
    </row>
    <row r="9004" spans="5:10" x14ac:dyDescent="0.25">
      <c r="E9004"/>
      <c r="F9004"/>
      <c r="G9004" s="12"/>
      <c r="H9004" s="12"/>
      <c r="I9004" s="12"/>
      <c r="J9004" s="12"/>
    </row>
    <row r="9005" spans="5:10" x14ac:dyDescent="0.25">
      <c r="E9005"/>
      <c r="F9005"/>
      <c r="G9005" s="12"/>
      <c r="H9005" s="12"/>
      <c r="I9005" s="12"/>
      <c r="J9005" s="12"/>
    </row>
    <row r="9006" spans="5:10" x14ac:dyDescent="0.25">
      <c r="E9006"/>
      <c r="F9006"/>
      <c r="G9006" s="12"/>
      <c r="H9006" s="12"/>
      <c r="I9006" s="12"/>
      <c r="J9006" s="12"/>
    </row>
    <row r="9007" spans="5:10" x14ac:dyDescent="0.25">
      <c r="E9007"/>
      <c r="F9007"/>
      <c r="G9007" s="12"/>
      <c r="H9007" s="12"/>
      <c r="I9007" s="12"/>
      <c r="J9007" s="12"/>
    </row>
    <row r="9008" spans="5:10" x14ac:dyDescent="0.25">
      <c r="E9008"/>
      <c r="F9008"/>
      <c r="G9008" s="12"/>
      <c r="H9008" s="12"/>
      <c r="I9008" s="12"/>
      <c r="J9008" s="12"/>
    </row>
    <row r="9009" spans="5:10" x14ac:dyDescent="0.25">
      <c r="E9009"/>
      <c r="F9009"/>
      <c r="G9009" s="12"/>
      <c r="H9009" s="12"/>
      <c r="I9009" s="12"/>
      <c r="J9009" s="12"/>
    </row>
    <row r="9010" spans="5:10" x14ac:dyDescent="0.25">
      <c r="E9010"/>
      <c r="F9010"/>
      <c r="G9010" s="12"/>
      <c r="H9010" s="12"/>
      <c r="I9010" s="12"/>
      <c r="J9010" s="12"/>
    </row>
    <row r="9011" spans="5:10" x14ac:dyDescent="0.25">
      <c r="E9011"/>
      <c r="F9011"/>
      <c r="G9011" s="12"/>
      <c r="H9011" s="12"/>
      <c r="I9011" s="12"/>
      <c r="J9011" s="12"/>
    </row>
    <row r="9012" spans="5:10" x14ac:dyDescent="0.25">
      <c r="E9012"/>
      <c r="F9012"/>
      <c r="G9012" s="12"/>
      <c r="H9012" s="12"/>
      <c r="I9012" s="12"/>
      <c r="J9012" s="12"/>
    </row>
    <row r="9013" spans="5:10" x14ac:dyDescent="0.25">
      <c r="E9013"/>
      <c r="F9013"/>
      <c r="G9013" s="12"/>
      <c r="H9013" s="12"/>
      <c r="I9013" s="12"/>
      <c r="J9013" s="12"/>
    </row>
    <row r="9014" spans="5:10" x14ac:dyDescent="0.25">
      <c r="E9014"/>
      <c r="F9014"/>
      <c r="G9014" s="12"/>
      <c r="H9014" s="12"/>
      <c r="I9014" s="12"/>
      <c r="J9014" s="12"/>
    </row>
    <row r="9015" spans="5:10" x14ac:dyDescent="0.25">
      <c r="E9015"/>
      <c r="F9015"/>
      <c r="G9015" s="12"/>
      <c r="H9015" s="12"/>
      <c r="I9015" s="12"/>
      <c r="J9015" s="12"/>
    </row>
    <row r="9016" spans="5:10" x14ac:dyDescent="0.25">
      <c r="E9016"/>
      <c r="F9016"/>
      <c r="G9016" s="12"/>
      <c r="H9016" s="12"/>
      <c r="I9016" s="12"/>
      <c r="J9016" s="12"/>
    </row>
    <row r="9017" spans="5:10" x14ac:dyDescent="0.25">
      <c r="E9017"/>
      <c r="F9017"/>
      <c r="G9017" s="12"/>
      <c r="H9017" s="12"/>
      <c r="I9017" s="12"/>
      <c r="J9017" s="12"/>
    </row>
    <row r="9018" spans="5:10" x14ac:dyDescent="0.25">
      <c r="E9018"/>
      <c r="F9018"/>
      <c r="G9018" s="12"/>
      <c r="H9018" s="12"/>
      <c r="I9018" s="12"/>
      <c r="J9018" s="12"/>
    </row>
    <row r="9019" spans="5:10" x14ac:dyDescent="0.25">
      <c r="E9019"/>
      <c r="F9019"/>
      <c r="G9019" s="12"/>
      <c r="H9019" s="12"/>
      <c r="I9019" s="12"/>
      <c r="J9019" s="12"/>
    </row>
    <row r="9020" spans="5:10" x14ac:dyDescent="0.25">
      <c r="E9020"/>
      <c r="F9020"/>
      <c r="G9020" s="12"/>
      <c r="H9020" s="12"/>
      <c r="I9020" s="12"/>
      <c r="J9020" s="12"/>
    </row>
    <row r="9021" spans="5:10" x14ac:dyDescent="0.25">
      <c r="E9021"/>
      <c r="F9021"/>
      <c r="G9021" s="12"/>
      <c r="H9021" s="12"/>
      <c r="I9021" s="12"/>
      <c r="J9021" s="12"/>
    </row>
    <row r="9022" spans="5:10" x14ac:dyDescent="0.25">
      <c r="E9022"/>
      <c r="F9022"/>
      <c r="G9022" s="12"/>
      <c r="H9022" s="12"/>
      <c r="I9022" s="12"/>
      <c r="J9022" s="12"/>
    </row>
    <row r="9023" spans="5:10" x14ac:dyDescent="0.25">
      <c r="E9023"/>
      <c r="F9023"/>
      <c r="G9023" s="12"/>
      <c r="H9023" s="12"/>
      <c r="I9023" s="12"/>
      <c r="J9023" s="12"/>
    </row>
    <row r="9024" spans="5:10" x14ac:dyDescent="0.25">
      <c r="E9024"/>
      <c r="F9024"/>
      <c r="G9024" s="12"/>
      <c r="H9024" s="12"/>
      <c r="I9024" s="12"/>
      <c r="J9024" s="12"/>
    </row>
    <row r="9025" spans="5:10" x14ac:dyDescent="0.25">
      <c r="E9025"/>
      <c r="F9025"/>
      <c r="G9025" s="12"/>
      <c r="H9025" s="12"/>
      <c r="I9025" s="12"/>
      <c r="J9025" s="12"/>
    </row>
    <row r="9026" spans="5:10" x14ac:dyDescent="0.25">
      <c r="E9026"/>
      <c r="F9026"/>
      <c r="G9026" s="12"/>
      <c r="H9026" s="12"/>
      <c r="I9026" s="12"/>
      <c r="J9026" s="12"/>
    </row>
    <row r="9027" spans="5:10" x14ac:dyDescent="0.25">
      <c r="E9027"/>
      <c r="F9027"/>
      <c r="G9027" s="12"/>
      <c r="H9027" s="12"/>
      <c r="I9027" s="12"/>
      <c r="J9027" s="12"/>
    </row>
    <row r="9028" spans="5:10" x14ac:dyDescent="0.25">
      <c r="E9028"/>
      <c r="F9028"/>
      <c r="G9028" s="12"/>
      <c r="H9028" s="12"/>
      <c r="I9028" s="12"/>
      <c r="J9028" s="12"/>
    </row>
    <row r="9029" spans="5:10" x14ac:dyDescent="0.25">
      <c r="E9029"/>
      <c r="F9029"/>
      <c r="G9029" s="12"/>
      <c r="H9029" s="12"/>
      <c r="I9029" s="12"/>
      <c r="J9029" s="12"/>
    </row>
    <row r="9030" spans="5:10" x14ac:dyDescent="0.25">
      <c r="E9030"/>
      <c r="F9030"/>
      <c r="G9030" s="12"/>
      <c r="H9030" s="12"/>
      <c r="I9030" s="12"/>
      <c r="J9030" s="12"/>
    </row>
    <row r="9031" spans="5:10" x14ac:dyDescent="0.25">
      <c r="E9031"/>
      <c r="F9031"/>
      <c r="G9031" s="12"/>
      <c r="H9031" s="12"/>
      <c r="I9031" s="12"/>
      <c r="J9031" s="12"/>
    </row>
    <row r="9032" spans="5:10" x14ac:dyDescent="0.25">
      <c r="E9032"/>
      <c r="F9032"/>
      <c r="G9032" s="12"/>
      <c r="H9032" s="12"/>
      <c r="I9032" s="12"/>
      <c r="J9032" s="12"/>
    </row>
    <row r="9033" spans="5:10" x14ac:dyDescent="0.25">
      <c r="E9033"/>
      <c r="F9033"/>
      <c r="G9033" s="12"/>
      <c r="H9033" s="12"/>
      <c r="I9033" s="12"/>
      <c r="J9033" s="12"/>
    </row>
    <row r="9034" spans="5:10" x14ac:dyDescent="0.25">
      <c r="E9034"/>
      <c r="F9034"/>
      <c r="G9034" s="12"/>
      <c r="H9034" s="12"/>
      <c r="I9034" s="12"/>
      <c r="J9034" s="12"/>
    </row>
    <row r="9035" spans="5:10" x14ac:dyDescent="0.25">
      <c r="E9035"/>
      <c r="F9035"/>
      <c r="G9035" s="12"/>
      <c r="H9035" s="12"/>
      <c r="I9035" s="12"/>
      <c r="J9035" s="12"/>
    </row>
    <row r="9036" spans="5:10" x14ac:dyDescent="0.25">
      <c r="E9036"/>
      <c r="F9036"/>
      <c r="G9036" s="12"/>
      <c r="H9036" s="12"/>
      <c r="I9036" s="12"/>
      <c r="J9036" s="12"/>
    </row>
    <row r="9037" spans="5:10" x14ac:dyDescent="0.25">
      <c r="E9037"/>
      <c r="F9037"/>
      <c r="G9037" s="12"/>
      <c r="H9037" s="12"/>
      <c r="I9037" s="12"/>
      <c r="J9037" s="12"/>
    </row>
    <row r="9038" spans="5:10" x14ac:dyDescent="0.25">
      <c r="E9038"/>
      <c r="F9038"/>
      <c r="G9038" s="12"/>
      <c r="H9038" s="12"/>
      <c r="I9038" s="12"/>
      <c r="J9038" s="12"/>
    </row>
    <row r="9039" spans="5:10" x14ac:dyDescent="0.25">
      <c r="E9039"/>
      <c r="F9039"/>
      <c r="G9039" s="12"/>
      <c r="H9039" s="12"/>
      <c r="I9039" s="12"/>
      <c r="J9039" s="12"/>
    </row>
    <row r="9040" spans="5:10" x14ac:dyDescent="0.25">
      <c r="E9040"/>
      <c r="F9040"/>
      <c r="G9040" s="12"/>
      <c r="H9040" s="12"/>
      <c r="I9040" s="12"/>
      <c r="J9040" s="12"/>
    </row>
    <row r="9041" spans="5:10" x14ac:dyDescent="0.25">
      <c r="E9041"/>
      <c r="F9041"/>
      <c r="G9041" s="12"/>
      <c r="H9041" s="12"/>
      <c r="I9041" s="12"/>
      <c r="J9041" s="12"/>
    </row>
    <row r="9042" spans="5:10" x14ac:dyDescent="0.25">
      <c r="E9042"/>
      <c r="F9042"/>
      <c r="G9042" s="12"/>
      <c r="H9042" s="12"/>
      <c r="I9042" s="12"/>
      <c r="J9042" s="12"/>
    </row>
    <row r="9043" spans="5:10" x14ac:dyDescent="0.25">
      <c r="E9043"/>
      <c r="F9043"/>
      <c r="G9043" s="12"/>
      <c r="H9043" s="12"/>
      <c r="I9043" s="12"/>
      <c r="J9043" s="12"/>
    </row>
    <row r="9044" spans="5:10" x14ac:dyDescent="0.25">
      <c r="E9044"/>
      <c r="F9044"/>
      <c r="G9044" s="12"/>
      <c r="H9044" s="12"/>
      <c r="I9044" s="12"/>
      <c r="J9044" s="12"/>
    </row>
    <row r="9045" spans="5:10" x14ac:dyDescent="0.25">
      <c r="E9045"/>
      <c r="F9045"/>
      <c r="G9045" s="12"/>
      <c r="H9045" s="12"/>
      <c r="I9045" s="12"/>
      <c r="J9045" s="12"/>
    </row>
    <row r="9046" spans="5:10" x14ac:dyDescent="0.25">
      <c r="E9046"/>
      <c r="F9046"/>
      <c r="G9046" s="12"/>
      <c r="H9046" s="12"/>
      <c r="I9046" s="12"/>
      <c r="J9046" s="12"/>
    </row>
    <row r="9047" spans="5:10" x14ac:dyDescent="0.25">
      <c r="E9047"/>
      <c r="F9047"/>
      <c r="G9047" s="12"/>
      <c r="H9047" s="12"/>
      <c r="I9047" s="12"/>
      <c r="J9047" s="12"/>
    </row>
    <row r="9048" spans="5:10" x14ac:dyDescent="0.25">
      <c r="E9048"/>
      <c r="F9048"/>
      <c r="G9048" s="12"/>
      <c r="H9048" s="12"/>
      <c r="I9048" s="12"/>
      <c r="J9048" s="12"/>
    </row>
    <row r="9049" spans="5:10" x14ac:dyDescent="0.25">
      <c r="E9049"/>
      <c r="F9049"/>
      <c r="G9049" s="12"/>
      <c r="H9049" s="12"/>
      <c r="I9049" s="12"/>
      <c r="J9049" s="12"/>
    </row>
    <row r="9050" spans="5:10" x14ac:dyDescent="0.25">
      <c r="E9050"/>
      <c r="F9050"/>
      <c r="G9050" s="12"/>
      <c r="H9050" s="12"/>
      <c r="I9050" s="12"/>
      <c r="J9050" s="12"/>
    </row>
    <row r="9051" spans="5:10" x14ac:dyDescent="0.25">
      <c r="E9051"/>
      <c r="F9051"/>
      <c r="G9051" s="12"/>
      <c r="H9051" s="12"/>
      <c r="I9051" s="12"/>
      <c r="J9051" s="12"/>
    </row>
    <row r="9052" spans="5:10" x14ac:dyDescent="0.25">
      <c r="E9052"/>
      <c r="F9052"/>
      <c r="G9052" s="12"/>
      <c r="H9052" s="12"/>
      <c r="I9052" s="12"/>
      <c r="J9052" s="12"/>
    </row>
    <row r="9053" spans="5:10" x14ac:dyDescent="0.25">
      <c r="E9053"/>
      <c r="F9053"/>
      <c r="G9053" s="12"/>
      <c r="H9053" s="12"/>
      <c r="I9053" s="12"/>
      <c r="J9053" s="12"/>
    </row>
    <row r="9054" spans="5:10" x14ac:dyDescent="0.25">
      <c r="E9054"/>
      <c r="F9054"/>
      <c r="G9054" s="12"/>
      <c r="H9054" s="12"/>
      <c r="I9054" s="12"/>
      <c r="J9054" s="12"/>
    </row>
    <row r="9055" spans="5:10" x14ac:dyDescent="0.25">
      <c r="E9055"/>
      <c r="F9055"/>
      <c r="G9055" s="12"/>
      <c r="H9055" s="12"/>
      <c r="I9055" s="12"/>
      <c r="J9055" s="12"/>
    </row>
    <row r="9056" spans="5:10" x14ac:dyDescent="0.25">
      <c r="E9056"/>
      <c r="F9056"/>
      <c r="G9056" s="12"/>
      <c r="H9056" s="12"/>
      <c r="I9056" s="12"/>
      <c r="J9056" s="12"/>
    </row>
    <row r="9057" spans="5:10" x14ac:dyDescent="0.25">
      <c r="E9057"/>
      <c r="F9057"/>
      <c r="G9057" s="12"/>
      <c r="H9057" s="12"/>
      <c r="I9057" s="12"/>
      <c r="J9057" s="12"/>
    </row>
    <row r="9058" spans="5:10" x14ac:dyDescent="0.25">
      <c r="E9058"/>
      <c r="F9058"/>
      <c r="G9058" s="12"/>
      <c r="H9058" s="12"/>
      <c r="I9058" s="12"/>
      <c r="J9058" s="12"/>
    </row>
    <row r="9059" spans="5:10" x14ac:dyDescent="0.25">
      <c r="E9059"/>
      <c r="F9059"/>
      <c r="G9059" s="12"/>
      <c r="H9059" s="12"/>
      <c r="I9059" s="12"/>
      <c r="J9059" s="12"/>
    </row>
    <row r="9060" spans="5:10" x14ac:dyDescent="0.25">
      <c r="E9060"/>
      <c r="F9060"/>
      <c r="G9060" s="12"/>
      <c r="H9060" s="12"/>
      <c r="I9060" s="12"/>
      <c r="J9060" s="12"/>
    </row>
    <row r="9061" spans="5:10" x14ac:dyDescent="0.25">
      <c r="E9061"/>
      <c r="F9061"/>
      <c r="G9061" s="12"/>
      <c r="H9061" s="12"/>
      <c r="I9061" s="12"/>
      <c r="J9061" s="12"/>
    </row>
    <row r="9062" spans="5:10" x14ac:dyDescent="0.25">
      <c r="E9062"/>
      <c r="F9062"/>
      <c r="G9062" s="12"/>
      <c r="H9062" s="12"/>
      <c r="I9062" s="12"/>
      <c r="J9062" s="12"/>
    </row>
    <row r="9063" spans="5:10" x14ac:dyDescent="0.25">
      <c r="E9063"/>
      <c r="F9063"/>
      <c r="G9063" s="12"/>
      <c r="H9063" s="12"/>
      <c r="I9063" s="12"/>
      <c r="J9063" s="12"/>
    </row>
    <row r="9064" spans="5:10" x14ac:dyDescent="0.25">
      <c r="E9064"/>
      <c r="F9064"/>
      <c r="G9064" s="12"/>
      <c r="H9064" s="12"/>
      <c r="I9064" s="12"/>
      <c r="J9064" s="12"/>
    </row>
    <row r="9065" spans="5:10" x14ac:dyDescent="0.25">
      <c r="E9065"/>
      <c r="F9065"/>
      <c r="G9065" s="12"/>
      <c r="H9065" s="12"/>
      <c r="I9065" s="12"/>
      <c r="J9065" s="12"/>
    </row>
    <row r="9066" spans="5:10" x14ac:dyDescent="0.25">
      <c r="E9066"/>
      <c r="F9066"/>
      <c r="G9066" s="12"/>
      <c r="H9066" s="12"/>
      <c r="I9066" s="12"/>
      <c r="J9066" s="12"/>
    </row>
    <row r="9067" spans="5:10" x14ac:dyDescent="0.25">
      <c r="E9067"/>
      <c r="F9067"/>
      <c r="G9067" s="12"/>
      <c r="H9067" s="12"/>
      <c r="I9067" s="12"/>
      <c r="J9067" s="12"/>
    </row>
    <row r="9068" spans="5:10" x14ac:dyDescent="0.25">
      <c r="E9068"/>
      <c r="F9068"/>
      <c r="G9068" s="12"/>
      <c r="H9068" s="12"/>
      <c r="I9068" s="12"/>
      <c r="J9068" s="12"/>
    </row>
    <row r="9069" spans="5:10" x14ac:dyDescent="0.25">
      <c r="E9069"/>
      <c r="F9069"/>
      <c r="G9069" s="12"/>
      <c r="H9069" s="12"/>
      <c r="I9069" s="12"/>
      <c r="J9069" s="12"/>
    </row>
    <row r="9070" spans="5:10" x14ac:dyDescent="0.25">
      <c r="E9070"/>
      <c r="F9070"/>
      <c r="G9070" s="12"/>
      <c r="H9070" s="12"/>
      <c r="I9070" s="12"/>
      <c r="J9070" s="12"/>
    </row>
    <row r="9071" spans="5:10" x14ac:dyDescent="0.25">
      <c r="E9071"/>
      <c r="F9071"/>
      <c r="G9071" s="12"/>
      <c r="H9071" s="12"/>
      <c r="I9071" s="12"/>
      <c r="J9071" s="12"/>
    </row>
    <row r="9072" spans="5:10" x14ac:dyDescent="0.25">
      <c r="E9072"/>
      <c r="F9072"/>
      <c r="G9072" s="12"/>
      <c r="H9072" s="12"/>
      <c r="I9072" s="12"/>
      <c r="J9072" s="12"/>
    </row>
    <row r="9073" spans="5:10" x14ac:dyDescent="0.25">
      <c r="E9073"/>
      <c r="F9073"/>
      <c r="G9073" s="12"/>
      <c r="H9073" s="12"/>
      <c r="I9073" s="12"/>
      <c r="J9073" s="12"/>
    </row>
    <row r="9074" spans="5:10" x14ac:dyDescent="0.25">
      <c r="E9074"/>
      <c r="F9074"/>
      <c r="G9074" s="12"/>
      <c r="H9074" s="12"/>
      <c r="I9074" s="12"/>
      <c r="J9074" s="12"/>
    </row>
    <row r="9075" spans="5:10" x14ac:dyDescent="0.25">
      <c r="E9075"/>
      <c r="F9075"/>
      <c r="G9075" s="12"/>
      <c r="H9075" s="12"/>
      <c r="I9075" s="12"/>
      <c r="J9075" s="12"/>
    </row>
    <row r="9076" spans="5:10" x14ac:dyDescent="0.25">
      <c r="E9076"/>
      <c r="F9076"/>
      <c r="G9076" s="12"/>
      <c r="H9076" s="12"/>
      <c r="I9076" s="12"/>
      <c r="J9076" s="12"/>
    </row>
    <row r="9077" spans="5:10" x14ac:dyDescent="0.25">
      <c r="E9077"/>
      <c r="F9077"/>
      <c r="G9077" s="12"/>
      <c r="H9077" s="12"/>
      <c r="I9077" s="12"/>
      <c r="J9077" s="12"/>
    </row>
    <row r="9078" spans="5:10" x14ac:dyDescent="0.25">
      <c r="E9078"/>
      <c r="F9078"/>
      <c r="G9078" s="12"/>
      <c r="H9078" s="12"/>
      <c r="I9078" s="12"/>
      <c r="J9078" s="12"/>
    </row>
    <row r="9079" spans="5:10" x14ac:dyDescent="0.25">
      <c r="E9079"/>
      <c r="F9079"/>
      <c r="G9079" s="12"/>
      <c r="H9079" s="12"/>
      <c r="I9079" s="12"/>
      <c r="J9079" s="12"/>
    </row>
    <row r="9080" spans="5:10" x14ac:dyDescent="0.25">
      <c r="E9080"/>
      <c r="F9080"/>
      <c r="G9080" s="12"/>
      <c r="H9080" s="12"/>
      <c r="I9080" s="12"/>
      <c r="J9080" s="12"/>
    </row>
    <row r="9081" spans="5:10" x14ac:dyDescent="0.25">
      <c r="E9081"/>
      <c r="F9081"/>
      <c r="G9081" s="12"/>
      <c r="H9081" s="12"/>
      <c r="I9081" s="12"/>
      <c r="J9081" s="12"/>
    </row>
    <row r="9082" spans="5:10" x14ac:dyDescent="0.25">
      <c r="E9082"/>
      <c r="F9082"/>
      <c r="G9082" s="12"/>
      <c r="H9082" s="12"/>
      <c r="I9082" s="12"/>
      <c r="J9082" s="12"/>
    </row>
    <row r="9083" spans="5:10" x14ac:dyDescent="0.25">
      <c r="E9083"/>
      <c r="F9083"/>
      <c r="G9083" s="12"/>
      <c r="H9083" s="12"/>
      <c r="I9083" s="12"/>
      <c r="J9083" s="12"/>
    </row>
    <row r="9084" spans="5:10" x14ac:dyDescent="0.25">
      <c r="E9084"/>
      <c r="F9084"/>
      <c r="G9084" s="12"/>
      <c r="H9084" s="12"/>
      <c r="I9084" s="12"/>
      <c r="J9084" s="12"/>
    </row>
    <row r="9085" spans="5:10" x14ac:dyDescent="0.25">
      <c r="E9085"/>
      <c r="F9085"/>
      <c r="G9085" s="12"/>
      <c r="H9085" s="12"/>
      <c r="I9085" s="12"/>
      <c r="J9085" s="12"/>
    </row>
    <row r="9086" spans="5:10" x14ac:dyDescent="0.25">
      <c r="E9086"/>
      <c r="F9086"/>
      <c r="G9086" s="12"/>
      <c r="H9086" s="12"/>
      <c r="I9086" s="12"/>
      <c r="J9086" s="12"/>
    </row>
    <row r="9087" spans="5:10" x14ac:dyDescent="0.25">
      <c r="E9087"/>
      <c r="F9087"/>
      <c r="G9087" s="12"/>
      <c r="H9087" s="12"/>
      <c r="I9087" s="12"/>
      <c r="J9087" s="12"/>
    </row>
    <row r="9088" spans="5:10" x14ac:dyDescent="0.25">
      <c r="E9088"/>
      <c r="F9088"/>
      <c r="G9088" s="12"/>
      <c r="H9088" s="12"/>
      <c r="I9088" s="12"/>
      <c r="J9088" s="12"/>
    </row>
    <row r="9089" spans="5:10" x14ac:dyDescent="0.25">
      <c r="E9089"/>
      <c r="F9089"/>
      <c r="G9089" s="12"/>
      <c r="H9089" s="12"/>
      <c r="I9089" s="12"/>
      <c r="J9089" s="12"/>
    </row>
    <row r="9090" spans="5:10" x14ac:dyDescent="0.25">
      <c r="E9090"/>
      <c r="F9090"/>
      <c r="G9090" s="12"/>
      <c r="H9090" s="12"/>
      <c r="I9090" s="12"/>
      <c r="J9090" s="12"/>
    </row>
    <row r="9091" spans="5:10" x14ac:dyDescent="0.25">
      <c r="E9091"/>
      <c r="F9091"/>
      <c r="G9091" s="12"/>
      <c r="H9091" s="12"/>
      <c r="I9091" s="12"/>
      <c r="J9091" s="12"/>
    </row>
    <row r="9092" spans="5:10" x14ac:dyDescent="0.25">
      <c r="E9092"/>
      <c r="F9092"/>
      <c r="G9092" s="12"/>
      <c r="H9092" s="12"/>
      <c r="I9092" s="12"/>
      <c r="J9092" s="12"/>
    </row>
    <row r="9093" spans="5:10" x14ac:dyDescent="0.25">
      <c r="E9093"/>
      <c r="F9093"/>
      <c r="G9093" s="12"/>
      <c r="H9093" s="12"/>
      <c r="I9093" s="12"/>
      <c r="J9093" s="12"/>
    </row>
    <row r="9094" spans="5:10" x14ac:dyDescent="0.25">
      <c r="E9094"/>
      <c r="F9094"/>
      <c r="G9094" s="12"/>
      <c r="H9094" s="12"/>
      <c r="I9094" s="12"/>
      <c r="J9094" s="12"/>
    </row>
    <row r="9095" spans="5:10" x14ac:dyDescent="0.25">
      <c r="E9095"/>
      <c r="F9095"/>
      <c r="G9095" s="12"/>
      <c r="H9095" s="12"/>
      <c r="I9095" s="12"/>
      <c r="J9095" s="12"/>
    </row>
    <row r="9096" spans="5:10" x14ac:dyDescent="0.25">
      <c r="E9096"/>
      <c r="F9096"/>
      <c r="G9096" s="12"/>
      <c r="H9096" s="12"/>
      <c r="I9096" s="12"/>
      <c r="J9096" s="12"/>
    </row>
    <row r="9097" spans="5:10" x14ac:dyDescent="0.25">
      <c r="E9097"/>
      <c r="F9097"/>
      <c r="G9097" s="12"/>
      <c r="H9097" s="12"/>
      <c r="I9097" s="12"/>
      <c r="J9097" s="12"/>
    </row>
    <row r="9098" spans="5:10" x14ac:dyDescent="0.25">
      <c r="E9098"/>
      <c r="F9098"/>
      <c r="G9098" s="12"/>
      <c r="H9098" s="12"/>
      <c r="I9098" s="12"/>
      <c r="J9098" s="12"/>
    </row>
    <row r="9099" spans="5:10" x14ac:dyDescent="0.25">
      <c r="E9099"/>
      <c r="F9099"/>
      <c r="G9099" s="12"/>
      <c r="H9099" s="12"/>
      <c r="I9099" s="12"/>
      <c r="J9099" s="12"/>
    </row>
    <row r="9100" spans="5:10" x14ac:dyDescent="0.25">
      <c r="E9100"/>
      <c r="F9100"/>
      <c r="G9100" s="12"/>
      <c r="H9100" s="12"/>
      <c r="I9100" s="12"/>
      <c r="J9100" s="12"/>
    </row>
    <row r="9101" spans="5:10" x14ac:dyDescent="0.25">
      <c r="E9101"/>
      <c r="F9101"/>
      <c r="G9101" s="12"/>
      <c r="H9101" s="12"/>
      <c r="I9101" s="12"/>
      <c r="J9101" s="12"/>
    </row>
    <row r="9102" spans="5:10" x14ac:dyDescent="0.25">
      <c r="E9102"/>
      <c r="F9102"/>
      <c r="G9102" s="12"/>
      <c r="H9102" s="12"/>
      <c r="I9102" s="12"/>
      <c r="J9102" s="12"/>
    </row>
    <row r="9103" spans="5:10" x14ac:dyDescent="0.25">
      <c r="E9103"/>
      <c r="F9103"/>
      <c r="G9103" s="12"/>
      <c r="H9103" s="12"/>
      <c r="I9103" s="12"/>
      <c r="J9103" s="12"/>
    </row>
    <row r="9104" spans="5:10" x14ac:dyDescent="0.25">
      <c r="E9104"/>
      <c r="F9104"/>
      <c r="G9104" s="12"/>
      <c r="H9104" s="12"/>
      <c r="I9104" s="12"/>
      <c r="J9104" s="12"/>
    </row>
    <row r="9105" spans="5:10" x14ac:dyDescent="0.25">
      <c r="E9105"/>
      <c r="F9105"/>
      <c r="G9105" s="12"/>
      <c r="H9105" s="12"/>
      <c r="I9105" s="12"/>
      <c r="J9105" s="12"/>
    </row>
    <row r="9106" spans="5:10" x14ac:dyDescent="0.25">
      <c r="E9106"/>
      <c r="F9106"/>
      <c r="G9106" s="12"/>
      <c r="H9106" s="12"/>
      <c r="I9106" s="12"/>
      <c r="J9106" s="12"/>
    </row>
    <row r="9107" spans="5:10" x14ac:dyDescent="0.25">
      <c r="E9107"/>
      <c r="F9107"/>
      <c r="G9107" s="12"/>
      <c r="H9107" s="12"/>
      <c r="I9107" s="12"/>
      <c r="J9107" s="12"/>
    </row>
    <row r="9108" spans="5:10" x14ac:dyDescent="0.25">
      <c r="E9108"/>
      <c r="F9108"/>
      <c r="G9108" s="12"/>
      <c r="H9108" s="12"/>
      <c r="I9108" s="12"/>
      <c r="J9108" s="12"/>
    </row>
    <row r="9109" spans="5:10" x14ac:dyDescent="0.25">
      <c r="E9109"/>
      <c r="F9109"/>
      <c r="G9109" s="12"/>
      <c r="H9109" s="12"/>
      <c r="I9109" s="12"/>
      <c r="J9109" s="12"/>
    </row>
    <row r="9110" spans="5:10" x14ac:dyDescent="0.25">
      <c r="E9110"/>
      <c r="F9110"/>
      <c r="G9110" s="12"/>
      <c r="H9110" s="12"/>
      <c r="I9110" s="12"/>
      <c r="J9110" s="12"/>
    </row>
    <row r="9111" spans="5:10" x14ac:dyDescent="0.25">
      <c r="E9111"/>
      <c r="F9111"/>
      <c r="G9111" s="12"/>
      <c r="H9111" s="12"/>
      <c r="I9111" s="12"/>
      <c r="J9111" s="12"/>
    </row>
    <row r="9112" spans="5:10" x14ac:dyDescent="0.25">
      <c r="E9112"/>
      <c r="F9112"/>
      <c r="G9112" s="12"/>
      <c r="H9112" s="12"/>
      <c r="I9112" s="12"/>
      <c r="J9112" s="12"/>
    </row>
    <row r="9113" spans="5:10" x14ac:dyDescent="0.25">
      <c r="E9113"/>
      <c r="F9113"/>
      <c r="G9113" s="12"/>
      <c r="H9113" s="12"/>
      <c r="I9113" s="12"/>
      <c r="J9113" s="12"/>
    </row>
    <row r="9114" spans="5:10" x14ac:dyDescent="0.25">
      <c r="E9114"/>
      <c r="F9114"/>
      <c r="G9114" s="12"/>
      <c r="H9114" s="12"/>
      <c r="I9114" s="12"/>
      <c r="J9114" s="12"/>
    </row>
    <row r="9115" spans="5:10" x14ac:dyDescent="0.25">
      <c r="E9115"/>
      <c r="F9115"/>
      <c r="G9115" s="12"/>
      <c r="H9115" s="12"/>
      <c r="I9115" s="12"/>
      <c r="J9115" s="12"/>
    </row>
    <row r="9116" spans="5:10" x14ac:dyDescent="0.25">
      <c r="E9116"/>
      <c r="F9116"/>
      <c r="G9116" s="12"/>
      <c r="H9116" s="12"/>
      <c r="I9116" s="12"/>
      <c r="J9116" s="12"/>
    </row>
    <row r="9117" spans="5:10" x14ac:dyDescent="0.25">
      <c r="E9117"/>
      <c r="F9117"/>
      <c r="G9117" s="12"/>
      <c r="H9117" s="12"/>
      <c r="I9117" s="12"/>
      <c r="J9117" s="12"/>
    </row>
    <row r="9118" spans="5:10" x14ac:dyDescent="0.25">
      <c r="E9118"/>
      <c r="F9118"/>
      <c r="G9118" s="12"/>
      <c r="H9118" s="12"/>
      <c r="I9118" s="12"/>
      <c r="J9118" s="12"/>
    </row>
    <row r="9119" spans="5:10" x14ac:dyDescent="0.25">
      <c r="E9119"/>
      <c r="F9119"/>
      <c r="G9119" s="12"/>
      <c r="H9119" s="12"/>
      <c r="I9119" s="12"/>
      <c r="J9119" s="12"/>
    </row>
    <row r="9120" spans="5:10" x14ac:dyDescent="0.25">
      <c r="E9120"/>
      <c r="F9120"/>
      <c r="G9120" s="12"/>
      <c r="H9120" s="12"/>
      <c r="I9120" s="12"/>
      <c r="J9120" s="12"/>
    </row>
    <row r="9121" spans="5:10" x14ac:dyDescent="0.25">
      <c r="E9121"/>
      <c r="F9121"/>
      <c r="G9121" s="12"/>
      <c r="H9121" s="12"/>
      <c r="I9121" s="12"/>
      <c r="J9121" s="12"/>
    </row>
    <row r="9122" spans="5:10" x14ac:dyDescent="0.25">
      <c r="E9122"/>
      <c r="F9122"/>
      <c r="G9122" s="12"/>
      <c r="H9122" s="12"/>
      <c r="I9122" s="12"/>
      <c r="J9122" s="12"/>
    </row>
    <row r="9123" spans="5:10" x14ac:dyDescent="0.25">
      <c r="E9123"/>
      <c r="F9123"/>
      <c r="G9123" s="12"/>
      <c r="H9123" s="12"/>
      <c r="I9123" s="12"/>
      <c r="J9123" s="12"/>
    </row>
    <row r="9124" spans="5:10" x14ac:dyDescent="0.25">
      <c r="E9124"/>
      <c r="F9124"/>
      <c r="G9124" s="12"/>
      <c r="H9124" s="12"/>
      <c r="I9124" s="12"/>
      <c r="J9124" s="12"/>
    </row>
    <row r="9125" spans="5:10" x14ac:dyDescent="0.25">
      <c r="E9125"/>
      <c r="F9125"/>
      <c r="G9125" s="12"/>
      <c r="H9125" s="12"/>
      <c r="I9125" s="12"/>
      <c r="J9125" s="12"/>
    </row>
    <row r="9126" spans="5:10" x14ac:dyDescent="0.25">
      <c r="E9126"/>
      <c r="F9126"/>
      <c r="G9126" s="12"/>
      <c r="H9126" s="12"/>
      <c r="I9126" s="12"/>
      <c r="J9126" s="12"/>
    </row>
    <row r="9127" spans="5:10" x14ac:dyDescent="0.25">
      <c r="E9127"/>
      <c r="F9127"/>
      <c r="G9127" s="12"/>
      <c r="H9127" s="12"/>
      <c r="I9127" s="12"/>
      <c r="J9127" s="12"/>
    </row>
    <row r="9128" spans="5:10" x14ac:dyDescent="0.25">
      <c r="E9128"/>
      <c r="F9128"/>
      <c r="G9128" s="12"/>
      <c r="H9128" s="12"/>
      <c r="I9128" s="12"/>
      <c r="J9128" s="12"/>
    </row>
    <row r="9129" spans="5:10" x14ac:dyDescent="0.25">
      <c r="E9129"/>
      <c r="F9129"/>
      <c r="G9129" s="12"/>
      <c r="H9129" s="12"/>
      <c r="I9129" s="12"/>
      <c r="J9129" s="12"/>
    </row>
    <row r="9130" spans="5:10" x14ac:dyDescent="0.25">
      <c r="E9130"/>
      <c r="F9130"/>
      <c r="G9130" s="12"/>
      <c r="H9130" s="12"/>
      <c r="I9130" s="12"/>
      <c r="J9130" s="12"/>
    </row>
    <row r="9131" spans="5:10" x14ac:dyDescent="0.25">
      <c r="E9131"/>
      <c r="F9131"/>
      <c r="G9131" s="12"/>
      <c r="H9131" s="12"/>
      <c r="I9131" s="12"/>
      <c r="J9131" s="12"/>
    </row>
    <row r="9132" spans="5:10" x14ac:dyDescent="0.25">
      <c r="E9132"/>
      <c r="F9132"/>
      <c r="G9132" s="12"/>
      <c r="H9132" s="12"/>
      <c r="I9132" s="12"/>
      <c r="J9132" s="12"/>
    </row>
    <row r="9133" spans="5:10" x14ac:dyDescent="0.25">
      <c r="E9133"/>
      <c r="F9133"/>
      <c r="G9133" s="12"/>
      <c r="H9133" s="12"/>
      <c r="I9133" s="12"/>
      <c r="J9133" s="12"/>
    </row>
    <row r="9134" spans="5:10" x14ac:dyDescent="0.25">
      <c r="E9134"/>
      <c r="F9134"/>
      <c r="G9134" s="12"/>
      <c r="H9134" s="12"/>
      <c r="I9134" s="12"/>
      <c r="J9134" s="12"/>
    </row>
    <row r="9135" spans="5:10" x14ac:dyDescent="0.25">
      <c r="E9135"/>
      <c r="F9135"/>
      <c r="G9135" s="12"/>
      <c r="H9135" s="12"/>
      <c r="I9135" s="12"/>
      <c r="J9135" s="12"/>
    </row>
    <row r="9136" spans="5:10" x14ac:dyDescent="0.25">
      <c r="E9136"/>
      <c r="F9136"/>
      <c r="G9136" s="12"/>
      <c r="H9136" s="12"/>
      <c r="I9136" s="12"/>
      <c r="J9136" s="12"/>
    </row>
    <row r="9137" spans="5:10" x14ac:dyDescent="0.25">
      <c r="E9137"/>
      <c r="F9137"/>
      <c r="G9137" s="12"/>
      <c r="H9137" s="12"/>
      <c r="I9137" s="12"/>
      <c r="J9137" s="12"/>
    </row>
    <row r="9138" spans="5:10" x14ac:dyDescent="0.25">
      <c r="E9138"/>
      <c r="F9138"/>
      <c r="G9138" s="12"/>
      <c r="H9138" s="12"/>
      <c r="I9138" s="12"/>
      <c r="J9138" s="12"/>
    </row>
    <row r="9139" spans="5:10" x14ac:dyDescent="0.25">
      <c r="E9139"/>
      <c r="F9139"/>
      <c r="G9139" s="12"/>
      <c r="H9139" s="12"/>
      <c r="I9139" s="12"/>
      <c r="J9139" s="12"/>
    </row>
    <row r="9140" spans="5:10" x14ac:dyDescent="0.25">
      <c r="E9140"/>
      <c r="F9140"/>
      <c r="G9140" s="12"/>
      <c r="H9140" s="12"/>
      <c r="I9140" s="12"/>
      <c r="J9140" s="12"/>
    </row>
    <row r="9141" spans="5:10" x14ac:dyDescent="0.25">
      <c r="E9141"/>
      <c r="F9141"/>
      <c r="G9141" s="12"/>
      <c r="H9141" s="12"/>
      <c r="I9141" s="12"/>
      <c r="J9141" s="12"/>
    </row>
    <row r="9142" spans="5:10" x14ac:dyDescent="0.25">
      <c r="E9142"/>
      <c r="F9142"/>
      <c r="G9142" s="12"/>
      <c r="H9142" s="12"/>
      <c r="I9142" s="12"/>
      <c r="J9142" s="12"/>
    </row>
    <row r="9143" spans="5:10" x14ac:dyDescent="0.25">
      <c r="E9143"/>
      <c r="F9143"/>
      <c r="G9143" s="12"/>
      <c r="H9143" s="12"/>
      <c r="I9143" s="12"/>
      <c r="J9143" s="12"/>
    </row>
    <row r="9144" spans="5:10" x14ac:dyDescent="0.25">
      <c r="E9144"/>
      <c r="F9144"/>
      <c r="G9144" s="12"/>
      <c r="H9144" s="12"/>
      <c r="I9144" s="12"/>
      <c r="J9144" s="12"/>
    </row>
    <row r="9145" spans="5:10" x14ac:dyDescent="0.25">
      <c r="E9145"/>
      <c r="F9145"/>
      <c r="G9145" s="12"/>
      <c r="H9145" s="12"/>
      <c r="I9145" s="12"/>
      <c r="J9145" s="12"/>
    </row>
    <row r="9146" spans="5:10" x14ac:dyDescent="0.25">
      <c r="E9146"/>
      <c r="F9146"/>
      <c r="G9146" s="12"/>
      <c r="H9146" s="12"/>
      <c r="I9146" s="12"/>
      <c r="J9146" s="12"/>
    </row>
    <row r="9147" spans="5:10" x14ac:dyDescent="0.25">
      <c r="E9147"/>
      <c r="F9147"/>
      <c r="G9147" s="12"/>
      <c r="H9147" s="12"/>
      <c r="I9147" s="12"/>
      <c r="J9147" s="12"/>
    </row>
    <row r="9148" spans="5:10" x14ac:dyDescent="0.25">
      <c r="E9148"/>
      <c r="F9148"/>
      <c r="G9148" s="12"/>
      <c r="H9148" s="12"/>
      <c r="I9148" s="12"/>
      <c r="J9148" s="12"/>
    </row>
    <row r="9149" spans="5:10" x14ac:dyDescent="0.25">
      <c r="E9149"/>
      <c r="F9149"/>
      <c r="G9149" s="12"/>
      <c r="H9149" s="12"/>
      <c r="I9149" s="12"/>
      <c r="J9149" s="12"/>
    </row>
    <row r="9150" spans="5:10" x14ac:dyDescent="0.25">
      <c r="E9150"/>
      <c r="F9150"/>
      <c r="G9150" s="12"/>
      <c r="H9150" s="12"/>
      <c r="I9150" s="12"/>
      <c r="J9150" s="12"/>
    </row>
    <row r="9151" spans="5:10" x14ac:dyDescent="0.25">
      <c r="E9151"/>
      <c r="F9151"/>
      <c r="G9151" s="12"/>
      <c r="H9151" s="12"/>
      <c r="I9151" s="12"/>
      <c r="J9151" s="12"/>
    </row>
    <row r="9152" spans="5:10" x14ac:dyDescent="0.25">
      <c r="E9152"/>
      <c r="F9152"/>
      <c r="G9152" s="12"/>
      <c r="H9152" s="12"/>
      <c r="I9152" s="12"/>
      <c r="J9152" s="12"/>
    </row>
    <row r="9153" spans="5:10" x14ac:dyDescent="0.25">
      <c r="E9153"/>
      <c r="F9153"/>
      <c r="G9153" s="12"/>
      <c r="H9153" s="12"/>
      <c r="I9153" s="12"/>
      <c r="J9153" s="12"/>
    </row>
    <row r="9154" spans="5:10" x14ac:dyDescent="0.25">
      <c r="E9154"/>
      <c r="F9154"/>
      <c r="G9154" s="12"/>
      <c r="H9154" s="12"/>
      <c r="I9154" s="12"/>
      <c r="J9154" s="12"/>
    </row>
    <row r="9155" spans="5:10" x14ac:dyDescent="0.25">
      <c r="E9155"/>
      <c r="F9155"/>
      <c r="G9155" s="12"/>
      <c r="H9155" s="12"/>
      <c r="I9155" s="12"/>
      <c r="J9155" s="12"/>
    </row>
    <row r="9156" spans="5:10" x14ac:dyDescent="0.25">
      <c r="E9156"/>
      <c r="F9156"/>
      <c r="G9156" s="12"/>
      <c r="H9156" s="12"/>
      <c r="I9156" s="12"/>
      <c r="J9156" s="12"/>
    </row>
    <row r="9157" spans="5:10" x14ac:dyDescent="0.25">
      <c r="E9157"/>
      <c r="F9157"/>
      <c r="G9157" s="12"/>
      <c r="H9157" s="12"/>
      <c r="I9157" s="12"/>
      <c r="J9157" s="12"/>
    </row>
    <row r="9158" spans="5:10" x14ac:dyDescent="0.25">
      <c r="E9158"/>
      <c r="F9158"/>
      <c r="G9158" s="12"/>
      <c r="H9158" s="12"/>
      <c r="I9158" s="12"/>
      <c r="J9158" s="12"/>
    </row>
    <row r="9159" spans="5:10" x14ac:dyDescent="0.25">
      <c r="E9159"/>
      <c r="F9159"/>
      <c r="G9159" s="12"/>
      <c r="H9159" s="12"/>
      <c r="I9159" s="12"/>
      <c r="J9159" s="12"/>
    </row>
    <row r="9160" spans="5:10" x14ac:dyDescent="0.25">
      <c r="E9160"/>
      <c r="F9160"/>
      <c r="G9160" s="12"/>
      <c r="H9160" s="12"/>
      <c r="I9160" s="12"/>
      <c r="J9160" s="12"/>
    </row>
    <row r="9161" spans="5:10" x14ac:dyDescent="0.25">
      <c r="E9161"/>
      <c r="F9161"/>
      <c r="G9161" s="12"/>
      <c r="H9161" s="12"/>
      <c r="I9161" s="12"/>
      <c r="J9161" s="12"/>
    </row>
    <row r="9162" spans="5:10" x14ac:dyDescent="0.25">
      <c r="E9162"/>
      <c r="F9162"/>
      <c r="G9162" s="12"/>
      <c r="H9162" s="12"/>
      <c r="I9162" s="12"/>
      <c r="J9162" s="12"/>
    </row>
    <row r="9163" spans="5:10" x14ac:dyDescent="0.25">
      <c r="E9163"/>
      <c r="F9163"/>
      <c r="G9163" s="12"/>
      <c r="H9163" s="12"/>
      <c r="I9163" s="12"/>
      <c r="J9163" s="12"/>
    </row>
    <row r="9164" spans="5:10" x14ac:dyDescent="0.25">
      <c r="E9164"/>
      <c r="F9164"/>
      <c r="G9164" s="12"/>
      <c r="H9164" s="12"/>
      <c r="I9164" s="12"/>
      <c r="J9164" s="12"/>
    </row>
    <row r="9165" spans="5:10" x14ac:dyDescent="0.25">
      <c r="E9165"/>
      <c r="F9165"/>
      <c r="G9165" s="12"/>
      <c r="H9165" s="12"/>
      <c r="I9165" s="12"/>
      <c r="J9165" s="12"/>
    </row>
    <row r="9166" spans="5:10" x14ac:dyDescent="0.25">
      <c r="E9166"/>
      <c r="F9166"/>
      <c r="G9166" s="12"/>
      <c r="H9166" s="12"/>
      <c r="I9166" s="12"/>
      <c r="J9166" s="12"/>
    </row>
    <row r="9167" spans="5:10" x14ac:dyDescent="0.25">
      <c r="E9167"/>
      <c r="F9167"/>
      <c r="G9167" s="12"/>
      <c r="H9167" s="12"/>
      <c r="I9167" s="12"/>
      <c r="J9167" s="12"/>
    </row>
    <row r="9168" spans="5:10" x14ac:dyDescent="0.25">
      <c r="E9168"/>
      <c r="F9168"/>
      <c r="G9168" s="12"/>
      <c r="H9168" s="12"/>
      <c r="I9168" s="12"/>
      <c r="J9168" s="12"/>
    </row>
    <row r="9169" spans="5:10" x14ac:dyDescent="0.25">
      <c r="E9169"/>
      <c r="F9169"/>
      <c r="G9169" s="12"/>
      <c r="H9169" s="12"/>
      <c r="I9169" s="12"/>
      <c r="J9169" s="12"/>
    </row>
    <row r="9170" spans="5:10" x14ac:dyDescent="0.25">
      <c r="E9170"/>
      <c r="F9170"/>
      <c r="G9170" s="12"/>
      <c r="H9170" s="12"/>
      <c r="I9170" s="12"/>
      <c r="J9170" s="12"/>
    </row>
    <row r="9171" spans="5:10" x14ac:dyDescent="0.25">
      <c r="E9171"/>
      <c r="F9171"/>
      <c r="G9171" s="12"/>
      <c r="H9171" s="12"/>
      <c r="I9171" s="12"/>
      <c r="J9171" s="12"/>
    </row>
    <row r="9172" spans="5:10" x14ac:dyDescent="0.25">
      <c r="E9172"/>
      <c r="F9172"/>
      <c r="G9172" s="12"/>
      <c r="H9172" s="12"/>
      <c r="I9172" s="12"/>
      <c r="J9172" s="12"/>
    </row>
    <row r="9173" spans="5:10" x14ac:dyDescent="0.25">
      <c r="E9173"/>
      <c r="F9173"/>
      <c r="G9173" s="12"/>
      <c r="H9173" s="12"/>
      <c r="I9173" s="12"/>
      <c r="J9173" s="12"/>
    </row>
    <row r="9174" spans="5:10" x14ac:dyDescent="0.25">
      <c r="E9174"/>
      <c r="F9174"/>
      <c r="G9174" s="12"/>
      <c r="H9174" s="12"/>
      <c r="I9174" s="12"/>
      <c r="J9174" s="12"/>
    </row>
    <row r="9175" spans="5:10" x14ac:dyDescent="0.25">
      <c r="E9175"/>
      <c r="F9175"/>
      <c r="G9175" s="12"/>
      <c r="H9175" s="12"/>
      <c r="I9175" s="12"/>
      <c r="J9175" s="12"/>
    </row>
    <row r="9176" spans="5:10" x14ac:dyDescent="0.25">
      <c r="E9176"/>
      <c r="F9176"/>
      <c r="G9176" s="12"/>
      <c r="H9176" s="12"/>
      <c r="I9176" s="12"/>
      <c r="J9176" s="12"/>
    </row>
    <row r="9177" spans="5:10" x14ac:dyDescent="0.25">
      <c r="E9177"/>
      <c r="F9177"/>
      <c r="G9177" s="12"/>
      <c r="H9177" s="12"/>
      <c r="I9177" s="12"/>
      <c r="J9177" s="12"/>
    </row>
    <row r="9178" spans="5:10" x14ac:dyDescent="0.25">
      <c r="E9178"/>
      <c r="F9178"/>
      <c r="G9178" s="12"/>
      <c r="H9178" s="12"/>
      <c r="I9178" s="12"/>
      <c r="J9178" s="12"/>
    </row>
    <row r="9179" spans="5:10" x14ac:dyDescent="0.25">
      <c r="E9179"/>
      <c r="F9179"/>
      <c r="G9179" s="12"/>
      <c r="H9179" s="12"/>
      <c r="I9179" s="12"/>
      <c r="J9179" s="12"/>
    </row>
    <row r="9180" spans="5:10" x14ac:dyDescent="0.25">
      <c r="E9180"/>
      <c r="F9180"/>
      <c r="G9180" s="12"/>
      <c r="H9180" s="12"/>
      <c r="I9180" s="12"/>
      <c r="J9180" s="12"/>
    </row>
    <row r="9181" spans="5:10" x14ac:dyDescent="0.25">
      <c r="E9181"/>
      <c r="F9181"/>
      <c r="G9181" s="12"/>
      <c r="H9181" s="12"/>
      <c r="I9181" s="12"/>
      <c r="J9181" s="12"/>
    </row>
    <row r="9182" spans="5:10" x14ac:dyDescent="0.25">
      <c r="E9182"/>
      <c r="F9182"/>
      <c r="G9182" s="12"/>
      <c r="H9182" s="12"/>
      <c r="I9182" s="12"/>
      <c r="J9182" s="12"/>
    </row>
    <row r="9183" spans="5:10" x14ac:dyDescent="0.25">
      <c r="E9183"/>
      <c r="F9183"/>
      <c r="G9183" s="12"/>
      <c r="H9183" s="12"/>
      <c r="I9183" s="12"/>
      <c r="J9183" s="12"/>
    </row>
    <row r="9184" spans="5:10" x14ac:dyDescent="0.25">
      <c r="E9184"/>
      <c r="F9184"/>
      <c r="G9184" s="12"/>
      <c r="H9184" s="12"/>
      <c r="I9184" s="12"/>
      <c r="J9184" s="12"/>
    </row>
    <row r="9185" spans="5:10" x14ac:dyDescent="0.25">
      <c r="E9185"/>
      <c r="F9185"/>
      <c r="G9185" s="12"/>
      <c r="H9185" s="12"/>
      <c r="I9185" s="12"/>
      <c r="J9185" s="12"/>
    </row>
    <row r="9186" spans="5:10" x14ac:dyDescent="0.25">
      <c r="E9186"/>
      <c r="F9186"/>
      <c r="G9186" s="12"/>
      <c r="H9186" s="12"/>
      <c r="I9186" s="12"/>
      <c r="J9186" s="12"/>
    </row>
    <row r="9187" spans="5:10" x14ac:dyDescent="0.25">
      <c r="E9187"/>
      <c r="F9187"/>
      <c r="G9187" s="12"/>
      <c r="H9187" s="12"/>
      <c r="I9187" s="12"/>
      <c r="J9187" s="12"/>
    </row>
    <row r="9188" spans="5:10" x14ac:dyDescent="0.25">
      <c r="E9188"/>
      <c r="F9188"/>
      <c r="G9188" s="12"/>
      <c r="H9188" s="12"/>
      <c r="I9188" s="12"/>
      <c r="J9188" s="12"/>
    </row>
    <row r="9189" spans="5:10" x14ac:dyDescent="0.25">
      <c r="E9189"/>
      <c r="F9189"/>
      <c r="G9189" s="12"/>
      <c r="H9189" s="12"/>
      <c r="I9189" s="12"/>
      <c r="J9189" s="12"/>
    </row>
    <row r="9190" spans="5:10" x14ac:dyDescent="0.25">
      <c r="E9190"/>
      <c r="F9190"/>
      <c r="G9190" s="12"/>
      <c r="H9190" s="12"/>
      <c r="I9190" s="12"/>
      <c r="J9190" s="12"/>
    </row>
    <row r="9191" spans="5:10" x14ac:dyDescent="0.25">
      <c r="E9191"/>
      <c r="F9191"/>
      <c r="G9191" s="12"/>
      <c r="H9191" s="12"/>
      <c r="I9191" s="12"/>
      <c r="J9191" s="12"/>
    </row>
    <row r="9192" spans="5:10" x14ac:dyDescent="0.25">
      <c r="E9192"/>
      <c r="F9192"/>
      <c r="G9192" s="12"/>
      <c r="H9192" s="12"/>
      <c r="I9192" s="12"/>
      <c r="J9192" s="12"/>
    </row>
    <row r="9193" spans="5:10" x14ac:dyDescent="0.25">
      <c r="E9193"/>
      <c r="F9193"/>
      <c r="G9193" s="12"/>
      <c r="H9193" s="12"/>
      <c r="I9193" s="12"/>
      <c r="J9193" s="12"/>
    </row>
    <row r="9194" spans="5:10" x14ac:dyDescent="0.25">
      <c r="E9194"/>
      <c r="F9194"/>
      <c r="G9194" s="12"/>
      <c r="H9194" s="12"/>
      <c r="I9194" s="12"/>
      <c r="J9194" s="12"/>
    </row>
    <row r="9195" spans="5:10" x14ac:dyDescent="0.25">
      <c r="E9195"/>
      <c r="F9195"/>
      <c r="G9195" s="12"/>
      <c r="H9195" s="12"/>
      <c r="I9195" s="12"/>
      <c r="J9195" s="12"/>
    </row>
    <row r="9196" spans="5:10" x14ac:dyDescent="0.25">
      <c r="E9196"/>
      <c r="F9196"/>
      <c r="G9196" s="12"/>
      <c r="H9196" s="12"/>
      <c r="I9196" s="12"/>
      <c r="J9196" s="12"/>
    </row>
    <row r="9197" spans="5:10" x14ac:dyDescent="0.25">
      <c r="E9197"/>
      <c r="F9197"/>
      <c r="G9197" s="12"/>
      <c r="H9197" s="12"/>
      <c r="I9197" s="12"/>
      <c r="J9197" s="12"/>
    </row>
    <row r="9198" spans="5:10" x14ac:dyDescent="0.25">
      <c r="E9198"/>
      <c r="F9198"/>
      <c r="G9198" s="12"/>
      <c r="H9198" s="12"/>
      <c r="I9198" s="12"/>
      <c r="J9198" s="12"/>
    </row>
    <row r="9199" spans="5:10" x14ac:dyDescent="0.25">
      <c r="E9199"/>
      <c r="F9199"/>
      <c r="G9199" s="12"/>
      <c r="H9199" s="12"/>
      <c r="I9199" s="12"/>
      <c r="J9199" s="12"/>
    </row>
    <row r="9200" spans="5:10" x14ac:dyDescent="0.25">
      <c r="E9200"/>
      <c r="F9200"/>
      <c r="G9200" s="12"/>
      <c r="H9200" s="12"/>
      <c r="I9200" s="12"/>
      <c r="J9200" s="12"/>
    </row>
    <row r="9201" spans="5:10" x14ac:dyDescent="0.25">
      <c r="E9201"/>
      <c r="F9201"/>
      <c r="G9201" s="12"/>
      <c r="H9201" s="12"/>
      <c r="I9201" s="12"/>
      <c r="J9201" s="12"/>
    </row>
    <row r="9202" spans="5:10" x14ac:dyDescent="0.25">
      <c r="E9202"/>
      <c r="F9202"/>
      <c r="G9202" s="12"/>
      <c r="H9202" s="12"/>
      <c r="I9202" s="12"/>
      <c r="J9202" s="12"/>
    </row>
    <row r="9203" spans="5:10" x14ac:dyDescent="0.25">
      <c r="E9203"/>
      <c r="F9203"/>
      <c r="G9203" s="12"/>
      <c r="H9203" s="12"/>
      <c r="I9203" s="12"/>
      <c r="J9203" s="12"/>
    </row>
    <row r="9204" spans="5:10" x14ac:dyDescent="0.25">
      <c r="E9204"/>
      <c r="F9204"/>
      <c r="G9204" s="12"/>
      <c r="H9204" s="12"/>
      <c r="I9204" s="12"/>
      <c r="J9204" s="12"/>
    </row>
    <row r="9205" spans="5:10" x14ac:dyDescent="0.25">
      <c r="E9205"/>
      <c r="F9205"/>
      <c r="G9205" s="12"/>
      <c r="H9205" s="12"/>
      <c r="I9205" s="12"/>
      <c r="J9205" s="12"/>
    </row>
    <row r="9206" spans="5:10" x14ac:dyDescent="0.25">
      <c r="E9206"/>
      <c r="F9206"/>
      <c r="G9206" s="12"/>
      <c r="H9206" s="12"/>
      <c r="I9206" s="12"/>
      <c r="J9206" s="12"/>
    </row>
    <row r="9207" spans="5:10" x14ac:dyDescent="0.25">
      <c r="E9207"/>
      <c r="F9207"/>
      <c r="G9207" s="12"/>
      <c r="H9207" s="12"/>
      <c r="I9207" s="12"/>
      <c r="J9207" s="12"/>
    </row>
    <row r="9208" spans="5:10" x14ac:dyDescent="0.25">
      <c r="E9208"/>
      <c r="F9208"/>
      <c r="G9208" s="12"/>
      <c r="H9208" s="12"/>
      <c r="I9208" s="12"/>
      <c r="J9208" s="12"/>
    </row>
    <row r="9209" spans="5:10" x14ac:dyDescent="0.25">
      <c r="E9209"/>
      <c r="F9209"/>
      <c r="G9209" s="12"/>
      <c r="H9209" s="12"/>
      <c r="I9209" s="12"/>
      <c r="J9209" s="12"/>
    </row>
    <row r="9210" spans="5:10" x14ac:dyDescent="0.25">
      <c r="E9210"/>
      <c r="F9210"/>
      <c r="G9210" s="12"/>
      <c r="H9210" s="12"/>
      <c r="I9210" s="12"/>
      <c r="J9210" s="12"/>
    </row>
    <row r="9211" spans="5:10" x14ac:dyDescent="0.25">
      <c r="E9211"/>
      <c r="F9211"/>
      <c r="G9211" s="12"/>
      <c r="H9211" s="12"/>
      <c r="I9211" s="12"/>
      <c r="J9211" s="12"/>
    </row>
    <row r="9212" spans="5:10" x14ac:dyDescent="0.25">
      <c r="E9212"/>
      <c r="F9212"/>
      <c r="G9212" s="12"/>
      <c r="H9212" s="12"/>
      <c r="I9212" s="12"/>
      <c r="J9212" s="12"/>
    </row>
    <row r="9213" spans="5:10" x14ac:dyDescent="0.25">
      <c r="E9213"/>
      <c r="F9213"/>
      <c r="G9213" s="12"/>
      <c r="H9213" s="12"/>
      <c r="I9213" s="12"/>
      <c r="J9213" s="12"/>
    </row>
    <row r="9214" spans="5:10" x14ac:dyDescent="0.25">
      <c r="E9214"/>
      <c r="F9214"/>
      <c r="G9214" s="12"/>
      <c r="H9214" s="12"/>
      <c r="I9214" s="12"/>
      <c r="J9214" s="12"/>
    </row>
    <row r="9215" spans="5:10" x14ac:dyDescent="0.25">
      <c r="E9215"/>
      <c r="F9215"/>
      <c r="G9215" s="12"/>
      <c r="H9215" s="12"/>
      <c r="I9215" s="12"/>
      <c r="J9215" s="12"/>
    </row>
    <row r="9216" spans="5:10" x14ac:dyDescent="0.25">
      <c r="E9216"/>
      <c r="F9216"/>
      <c r="G9216" s="12"/>
      <c r="H9216" s="12"/>
      <c r="I9216" s="12"/>
      <c r="J9216" s="12"/>
    </row>
    <row r="9217" spans="5:10" x14ac:dyDescent="0.25">
      <c r="E9217"/>
      <c r="F9217"/>
      <c r="G9217" s="12"/>
      <c r="H9217" s="12"/>
      <c r="I9217" s="12"/>
      <c r="J9217" s="12"/>
    </row>
    <row r="9218" spans="5:10" x14ac:dyDescent="0.25">
      <c r="E9218"/>
      <c r="F9218"/>
      <c r="G9218" s="12"/>
      <c r="H9218" s="12"/>
      <c r="I9218" s="12"/>
      <c r="J9218" s="12"/>
    </row>
    <row r="9219" spans="5:10" x14ac:dyDescent="0.25">
      <c r="E9219"/>
      <c r="F9219"/>
      <c r="G9219" s="12"/>
      <c r="H9219" s="12"/>
      <c r="I9219" s="12"/>
      <c r="J9219" s="12"/>
    </row>
    <row r="9220" spans="5:10" x14ac:dyDescent="0.25">
      <c r="E9220"/>
      <c r="F9220"/>
      <c r="G9220" s="12"/>
      <c r="H9220" s="12"/>
      <c r="I9220" s="12"/>
      <c r="J9220" s="12"/>
    </row>
    <row r="9221" spans="5:10" x14ac:dyDescent="0.25">
      <c r="E9221"/>
      <c r="F9221"/>
      <c r="G9221" s="12"/>
      <c r="H9221" s="12"/>
      <c r="I9221" s="12"/>
      <c r="J9221" s="12"/>
    </row>
    <row r="9222" spans="5:10" x14ac:dyDescent="0.25">
      <c r="E9222"/>
      <c r="F9222"/>
      <c r="G9222" s="12"/>
      <c r="H9222" s="12"/>
      <c r="I9222" s="12"/>
      <c r="J9222" s="12"/>
    </row>
    <row r="9223" spans="5:10" x14ac:dyDescent="0.25">
      <c r="E9223"/>
      <c r="F9223"/>
      <c r="G9223" s="12"/>
      <c r="H9223" s="12"/>
      <c r="I9223" s="12"/>
      <c r="J9223" s="12"/>
    </row>
    <row r="9224" spans="5:10" x14ac:dyDescent="0.25">
      <c r="E9224"/>
      <c r="F9224"/>
      <c r="G9224" s="12"/>
      <c r="H9224" s="12"/>
      <c r="I9224" s="12"/>
      <c r="J9224" s="12"/>
    </row>
    <row r="9225" spans="5:10" x14ac:dyDescent="0.25">
      <c r="E9225"/>
      <c r="F9225"/>
      <c r="G9225" s="12"/>
      <c r="H9225" s="12"/>
      <c r="I9225" s="12"/>
      <c r="J9225" s="12"/>
    </row>
    <row r="9226" spans="5:10" x14ac:dyDescent="0.25">
      <c r="E9226"/>
      <c r="F9226"/>
      <c r="G9226" s="12"/>
      <c r="H9226" s="12"/>
      <c r="I9226" s="12"/>
      <c r="J9226" s="12"/>
    </row>
    <row r="9227" spans="5:10" x14ac:dyDescent="0.25">
      <c r="E9227"/>
      <c r="F9227"/>
      <c r="G9227" s="12"/>
      <c r="H9227" s="12"/>
      <c r="I9227" s="12"/>
      <c r="J9227" s="12"/>
    </row>
    <row r="9228" spans="5:10" x14ac:dyDescent="0.25">
      <c r="E9228"/>
      <c r="F9228"/>
      <c r="G9228" s="12"/>
      <c r="H9228" s="12"/>
      <c r="I9228" s="12"/>
      <c r="J9228" s="12"/>
    </row>
    <row r="9229" spans="5:10" x14ac:dyDescent="0.25">
      <c r="E9229"/>
      <c r="F9229"/>
      <c r="G9229" s="12"/>
      <c r="H9229" s="12"/>
      <c r="I9229" s="12"/>
      <c r="J9229" s="12"/>
    </row>
    <row r="9230" spans="5:10" x14ac:dyDescent="0.25">
      <c r="E9230"/>
      <c r="F9230"/>
      <c r="G9230" s="12"/>
      <c r="H9230" s="12"/>
      <c r="I9230" s="12"/>
      <c r="J9230" s="12"/>
    </row>
    <row r="9231" spans="5:10" x14ac:dyDescent="0.25">
      <c r="E9231"/>
      <c r="F9231"/>
      <c r="G9231" s="12"/>
      <c r="H9231" s="12"/>
      <c r="I9231" s="12"/>
      <c r="J9231" s="12"/>
    </row>
    <row r="9232" spans="5:10" x14ac:dyDescent="0.25">
      <c r="E9232"/>
      <c r="F9232"/>
      <c r="G9232" s="12"/>
      <c r="H9232" s="12"/>
      <c r="I9232" s="12"/>
      <c r="J9232" s="12"/>
    </row>
    <row r="9233" spans="5:10" x14ac:dyDescent="0.25">
      <c r="E9233"/>
      <c r="F9233"/>
      <c r="G9233" s="12"/>
      <c r="H9233" s="12"/>
      <c r="I9233" s="12"/>
      <c r="J9233" s="12"/>
    </row>
    <row r="9234" spans="5:10" x14ac:dyDescent="0.25">
      <c r="E9234"/>
      <c r="F9234"/>
      <c r="G9234" s="12"/>
      <c r="H9234" s="12"/>
      <c r="I9234" s="12"/>
      <c r="J9234" s="12"/>
    </row>
    <row r="9235" spans="5:10" x14ac:dyDescent="0.25">
      <c r="E9235"/>
      <c r="F9235"/>
      <c r="G9235" s="12"/>
      <c r="H9235" s="12"/>
      <c r="I9235" s="12"/>
      <c r="J9235" s="12"/>
    </row>
    <row r="9236" spans="5:10" x14ac:dyDescent="0.25">
      <c r="E9236"/>
      <c r="F9236"/>
      <c r="G9236" s="12"/>
      <c r="H9236" s="12"/>
      <c r="I9236" s="12"/>
      <c r="J9236" s="12"/>
    </row>
    <row r="9237" spans="5:10" x14ac:dyDescent="0.25">
      <c r="E9237"/>
      <c r="F9237"/>
      <c r="G9237" s="12"/>
      <c r="H9237" s="12"/>
      <c r="I9237" s="12"/>
      <c r="J9237" s="12"/>
    </row>
    <row r="9238" spans="5:10" x14ac:dyDescent="0.25">
      <c r="E9238"/>
      <c r="F9238"/>
      <c r="G9238" s="12"/>
      <c r="H9238" s="12"/>
      <c r="I9238" s="12"/>
      <c r="J9238" s="12"/>
    </row>
    <row r="9239" spans="5:10" x14ac:dyDescent="0.25">
      <c r="E9239"/>
      <c r="F9239"/>
      <c r="G9239" s="12"/>
      <c r="H9239" s="12"/>
      <c r="I9239" s="12"/>
      <c r="J9239" s="12"/>
    </row>
    <row r="9240" spans="5:10" x14ac:dyDescent="0.25">
      <c r="E9240"/>
      <c r="F9240"/>
      <c r="G9240" s="12"/>
      <c r="H9240" s="12"/>
      <c r="I9240" s="12"/>
      <c r="J9240" s="12"/>
    </row>
    <row r="9241" spans="5:10" x14ac:dyDescent="0.25">
      <c r="E9241"/>
      <c r="F9241"/>
      <c r="G9241" s="12"/>
      <c r="H9241" s="12"/>
      <c r="I9241" s="12"/>
      <c r="J9241" s="12"/>
    </row>
    <row r="9242" spans="5:10" x14ac:dyDescent="0.25">
      <c r="E9242"/>
      <c r="F9242"/>
      <c r="G9242" s="12"/>
      <c r="H9242" s="12"/>
      <c r="I9242" s="12"/>
      <c r="J9242" s="12"/>
    </row>
    <row r="9243" spans="5:10" x14ac:dyDescent="0.25">
      <c r="E9243"/>
      <c r="F9243"/>
      <c r="G9243" s="12"/>
      <c r="H9243" s="12"/>
      <c r="I9243" s="12"/>
      <c r="J9243" s="12"/>
    </row>
    <row r="9244" spans="5:10" x14ac:dyDescent="0.25">
      <c r="E9244"/>
      <c r="F9244"/>
      <c r="G9244" s="12"/>
      <c r="H9244" s="12"/>
      <c r="I9244" s="12"/>
      <c r="J9244" s="12"/>
    </row>
    <row r="9245" spans="5:10" x14ac:dyDescent="0.25">
      <c r="E9245"/>
      <c r="F9245"/>
      <c r="G9245" s="12"/>
      <c r="H9245" s="12"/>
      <c r="I9245" s="12"/>
      <c r="J9245" s="12"/>
    </row>
    <row r="9246" spans="5:10" x14ac:dyDescent="0.25">
      <c r="E9246"/>
      <c r="F9246"/>
      <c r="G9246" s="12"/>
      <c r="H9246" s="12"/>
      <c r="I9246" s="12"/>
      <c r="J9246" s="12"/>
    </row>
    <row r="9247" spans="5:10" x14ac:dyDescent="0.25">
      <c r="E9247"/>
      <c r="F9247"/>
      <c r="G9247" s="12"/>
      <c r="H9247" s="12"/>
      <c r="I9247" s="12"/>
      <c r="J9247" s="12"/>
    </row>
    <row r="9248" spans="5:10" x14ac:dyDescent="0.25">
      <c r="E9248"/>
      <c r="F9248"/>
      <c r="G9248" s="12"/>
      <c r="H9248" s="12"/>
      <c r="I9248" s="12"/>
      <c r="J9248" s="12"/>
    </row>
    <row r="9249" spans="5:10" x14ac:dyDescent="0.25">
      <c r="E9249"/>
      <c r="F9249"/>
      <c r="G9249" s="12"/>
      <c r="H9249" s="12"/>
      <c r="I9249" s="12"/>
      <c r="J9249" s="12"/>
    </row>
    <row r="9250" spans="5:10" x14ac:dyDescent="0.25">
      <c r="E9250"/>
      <c r="F9250"/>
      <c r="G9250" s="12"/>
      <c r="H9250" s="12"/>
      <c r="I9250" s="12"/>
      <c r="J9250" s="12"/>
    </row>
    <row r="9251" spans="5:10" x14ac:dyDescent="0.25">
      <c r="E9251"/>
      <c r="F9251"/>
      <c r="G9251" s="12"/>
      <c r="H9251" s="12"/>
      <c r="I9251" s="12"/>
      <c r="J9251" s="12"/>
    </row>
    <row r="9252" spans="5:10" x14ac:dyDescent="0.25">
      <c r="E9252"/>
      <c r="F9252"/>
      <c r="G9252" s="12"/>
      <c r="H9252" s="12"/>
      <c r="I9252" s="12"/>
      <c r="J9252" s="12"/>
    </row>
    <row r="9253" spans="5:10" x14ac:dyDescent="0.25">
      <c r="E9253"/>
      <c r="F9253"/>
      <c r="G9253" s="12"/>
      <c r="H9253" s="12"/>
      <c r="I9253" s="12"/>
      <c r="J9253" s="12"/>
    </row>
    <row r="9254" spans="5:10" x14ac:dyDescent="0.25">
      <c r="E9254"/>
      <c r="F9254"/>
      <c r="G9254" s="12"/>
      <c r="H9254" s="12"/>
      <c r="I9254" s="12"/>
      <c r="J9254" s="12"/>
    </row>
    <row r="9255" spans="5:10" x14ac:dyDescent="0.25">
      <c r="E9255"/>
      <c r="F9255"/>
      <c r="G9255" s="12"/>
      <c r="H9255" s="12"/>
      <c r="I9255" s="12"/>
      <c r="J9255" s="12"/>
    </row>
    <row r="9256" spans="5:10" x14ac:dyDescent="0.25">
      <c r="E9256"/>
      <c r="F9256"/>
      <c r="G9256" s="12"/>
      <c r="H9256" s="12"/>
      <c r="I9256" s="12"/>
      <c r="J9256" s="12"/>
    </row>
    <row r="9257" spans="5:10" x14ac:dyDescent="0.25">
      <c r="E9257"/>
      <c r="F9257"/>
      <c r="G9257" s="12"/>
      <c r="H9257" s="12"/>
      <c r="I9257" s="12"/>
      <c r="J9257" s="12"/>
    </row>
    <row r="9258" spans="5:10" x14ac:dyDescent="0.25">
      <c r="E9258"/>
      <c r="F9258"/>
      <c r="G9258" s="12"/>
      <c r="H9258" s="12"/>
      <c r="I9258" s="12"/>
      <c r="J9258" s="12"/>
    </row>
    <row r="9259" spans="5:10" x14ac:dyDescent="0.25">
      <c r="E9259"/>
      <c r="F9259"/>
      <c r="G9259" s="12"/>
      <c r="H9259" s="12"/>
      <c r="I9259" s="12"/>
      <c r="J9259" s="12"/>
    </row>
    <row r="9260" spans="5:10" x14ac:dyDescent="0.25">
      <c r="E9260"/>
      <c r="F9260"/>
      <c r="G9260" s="12"/>
      <c r="H9260" s="12"/>
      <c r="I9260" s="12"/>
      <c r="J9260" s="12"/>
    </row>
    <row r="9261" spans="5:10" x14ac:dyDescent="0.25">
      <c r="E9261"/>
      <c r="F9261"/>
      <c r="G9261" s="12"/>
      <c r="H9261" s="12"/>
      <c r="I9261" s="12"/>
      <c r="J9261" s="12"/>
    </row>
    <row r="9262" spans="5:10" x14ac:dyDescent="0.25">
      <c r="E9262"/>
      <c r="F9262"/>
      <c r="G9262" s="12"/>
      <c r="H9262" s="12"/>
      <c r="I9262" s="12"/>
      <c r="J9262" s="12"/>
    </row>
    <row r="9263" spans="5:10" x14ac:dyDescent="0.25">
      <c r="E9263"/>
      <c r="F9263"/>
      <c r="G9263" s="12"/>
      <c r="H9263" s="12"/>
      <c r="I9263" s="12"/>
      <c r="J9263" s="12"/>
    </row>
    <row r="9264" spans="5:10" x14ac:dyDescent="0.25">
      <c r="E9264"/>
      <c r="F9264"/>
      <c r="G9264" s="12"/>
      <c r="H9264" s="12"/>
      <c r="I9264" s="12"/>
      <c r="J9264" s="12"/>
    </row>
    <row r="9265" spans="5:10" x14ac:dyDescent="0.25">
      <c r="E9265"/>
      <c r="F9265"/>
      <c r="G9265" s="12"/>
      <c r="H9265" s="12"/>
      <c r="I9265" s="12"/>
      <c r="J9265" s="12"/>
    </row>
    <row r="9266" spans="5:10" x14ac:dyDescent="0.25">
      <c r="E9266"/>
      <c r="F9266"/>
      <c r="G9266" s="12"/>
      <c r="H9266" s="12"/>
      <c r="I9266" s="12"/>
      <c r="J9266" s="12"/>
    </row>
    <row r="9267" spans="5:10" x14ac:dyDescent="0.25">
      <c r="E9267"/>
      <c r="F9267"/>
      <c r="G9267" s="12"/>
      <c r="H9267" s="12"/>
      <c r="I9267" s="12"/>
      <c r="J9267" s="12"/>
    </row>
    <row r="9268" spans="5:10" x14ac:dyDescent="0.25">
      <c r="E9268"/>
      <c r="F9268"/>
      <c r="G9268" s="12"/>
      <c r="H9268" s="12"/>
      <c r="I9268" s="12"/>
      <c r="J9268" s="12"/>
    </row>
    <row r="9269" spans="5:10" x14ac:dyDescent="0.25">
      <c r="E9269"/>
      <c r="F9269"/>
      <c r="G9269" s="12"/>
      <c r="H9269" s="12"/>
      <c r="I9269" s="12"/>
      <c r="J9269" s="12"/>
    </row>
    <row r="9270" spans="5:10" x14ac:dyDescent="0.25">
      <c r="E9270"/>
      <c r="F9270"/>
      <c r="G9270" s="12"/>
      <c r="H9270" s="12"/>
      <c r="I9270" s="12"/>
      <c r="J9270" s="12"/>
    </row>
    <row r="9271" spans="5:10" x14ac:dyDescent="0.25">
      <c r="E9271"/>
      <c r="F9271"/>
      <c r="G9271" s="12"/>
      <c r="H9271" s="12"/>
      <c r="I9271" s="12"/>
      <c r="J9271" s="12"/>
    </row>
    <row r="9272" spans="5:10" x14ac:dyDescent="0.25">
      <c r="E9272"/>
      <c r="F9272"/>
      <c r="G9272" s="12"/>
      <c r="H9272" s="12"/>
      <c r="I9272" s="12"/>
      <c r="J9272" s="12"/>
    </row>
    <row r="9273" spans="5:10" x14ac:dyDescent="0.25">
      <c r="E9273"/>
      <c r="F9273"/>
      <c r="G9273" s="12"/>
      <c r="H9273" s="12"/>
      <c r="I9273" s="12"/>
      <c r="J9273" s="12"/>
    </row>
    <row r="9274" spans="5:10" x14ac:dyDescent="0.25">
      <c r="E9274"/>
      <c r="F9274"/>
      <c r="G9274" s="12"/>
      <c r="H9274" s="12"/>
      <c r="I9274" s="12"/>
      <c r="J9274" s="12"/>
    </row>
    <row r="9275" spans="5:10" x14ac:dyDescent="0.25">
      <c r="E9275"/>
      <c r="F9275"/>
      <c r="G9275" s="12"/>
      <c r="H9275" s="12"/>
      <c r="I9275" s="12"/>
      <c r="J9275" s="12"/>
    </row>
    <row r="9276" spans="5:10" x14ac:dyDescent="0.25">
      <c r="E9276"/>
      <c r="F9276"/>
      <c r="G9276" s="12"/>
      <c r="H9276" s="12"/>
      <c r="I9276" s="12"/>
      <c r="J9276" s="12"/>
    </row>
    <row r="9277" spans="5:10" x14ac:dyDescent="0.25">
      <c r="E9277"/>
      <c r="F9277"/>
      <c r="G9277" s="12"/>
      <c r="H9277" s="12"/>
      <c r="I9277" s="12"/>
      <c r="J9277" s="12"/>
    </row>
    <row r="9278" spans="5:10" x14ac:dyDescent="0.25">
      <c r="E9278"/>
      <c r="F9278"/>
      <c r="G9278" s="12"/>
      <c r="H9278" s="12"/>
      <c r="I9278" s="12"/>
      <c r="J9278" s="12"/>
    </row>
    <row r="9279" spans="5:10" x14ac:dyDescent="0.25">
      <c r="E9279"/>
      <c r="F9279"/>
      <c r="G9279" s="12"/>
      <c r="H9279" s="12"/>
      <c r="I9279" s="12"/>
      <c r="J9279" s="12"/>
    </row>
    <row r="9280" spans="5:10" x14ac:dyDescent="0.25">
      <c r="E9280"/>
      <c r="F9280"/>
      <c r="G9280" s="12"/>
      <c r="H9280" s="12"/>
      <c r="I9280" s="12"/>
      <c r="J9280" s="12"/>
    </row>
    <row r="9281" spans="5:10" x14ac:dyDescent="0.25">
      <c r="E9281"/>
      <c r="F9281"/>
      <c r="G9281" s="12"/>
      <c r="H9281" s="12"/>
      <c r="I9281" s="12"/>
      <c r="J9281" s="12"/>
    </row>
    <row r="9282" spans="5:10" x14ac:dyDescent="0.25">
      <c r="E9282"/>
      <c r="F9282"/>
      <c r="G9282" s="12"/>
      <c r="H9282" s="12"/>
      <c r="I9282" s="12"/>
      <c r="J9282" s="12"/>
    </row>
    <row r="9283" spans="5:10" x14ac:dyDescent="0.25">
      <c r="E9283"/>
      <c r="F9283"/>
      <c r="G9283" s="12"/>
      <c r="H9283" s="12"/>
      <c r="I9283" s="12"/>
      <c r="J9283" s="12"/>
    </row>
    <row r="9284" spans="5:10" x14ac:dyDescent="0.25">
      <c r="E9284"/>
      <c r="F9284"/>
      <c r="G9284" s="12"/>
      <c r="H9284" s="12"/>
      <c r="I9284" s="12"/>
      <c r="J9284" s="12"/>
    </row>
    <row r="9285" spans="5:10" x14ac:dyDescent="0.25">
      <c r="E9285"/>
      <c r="F9285"/>
      <c r="G9285" s="12"/>
      <c r="H9285" s="12"/>
      <c r="I9285" s="12"/>
      <c r="J9285" s="12"/>
    </row>
    <row r="9286" spans="5:10" x14ac:dyDescent="0.25">
      <c r="E9286"/>
      <c r="F9286"/>
      <c r="G9286" s="12"/>
      <c r="H9286" s="12"/>
      <c r="I9286" s="12"/>
      <c r="J9286" s="12"/>
    </row>
    <row r="9287" spans="5:10" x14ac:dyDescent="0.25">
      <c r="E9287"/>
      <c r="F9287"/>
      <c r="G9287" s="12"/>
      <c r="H9287" s="12"/>
      <c r="I9287" s="12"/>
      <c r="J9287" s="12"/>
    </row>
    <row r="9288" spans="5:10" x14ac:dyDescent="0.25">
      <c r="E9288"/>
      <c r="F9288"/>
      <c r="G9288" s="12"/>
      <c r="H9288" s="12"/>
      <c r="I9288" s="12"/>
      <c r="J9288" s="12"/>
    </row>
    <row r="9289" spans="5:10" x14ac:dyDescent="0.25">
      <c r="E9289"/>
      <c r="F9289"/>
      <c r="G9289" s="12"/>
      <c r="H9289" s="12"/>
      <c r="I9289" s="12"/>
      <c r="J9289" s="12"/>
    </row>
    <row r="9290" spans="5:10" x14ac:dyDescent="0.25">
      <c r="E9290"/>
      <c r="F9290"/>
      <c r="G9290" s="12"/>
      <c r="H9290" s="12"/>
      <c r="I9290" s="12"/>
      <c r="J9290" s="12"/>
    </row>
    <row r="9291" spans="5:10" x14ac:dyDescent="0.25">
      <c r="E9291"/>
      <c r="F9291"/>
      <c r="G9291" s="12"/>
      <c r="H9291" s="12"/>
      <c r="I9291" s="12"/>
      <c r="J9291" s="12"/>
    </row>
    <row r="9292" spans="5:10" x14ac:dyDescent="0.25">
      <c r="E9292"/>
      <c r="F9292"/>
      <c r="G9292" s="12"/>
      <c r="H9292" s="12"/>
      <c r="I9292" s="12"/>
      <c r="J9292" s="12"/>
    </row>
    <row r="9293" spans="5:10" x14ac:dyDescent="0.25">
      <c r="E9293"/>
      <c r="F9293"/>
      <c r="G9293" s="12"/>
      <c r="H9293" s="12"/>
      <c r="I9293" s="12"/>
      <c r="J9293" s="12"/>
    </row>
    <row r="9294" spans="5:10" x14ac:dyDescent="0.25">
      <c r="E9294"/>
      <c r="F9294"/>
      <c r="G9294" s="12"/>
      <c r="H9294" s="12"/>
      <c r="I9294" s="12"/>
      <c r="J9294" s="12"/>
    </row>
    <row r="9295" spans="5:10" x14ac:dyDescent="0.25">
      <c r="E9295"/>
      <c r="F9295"/>
      <c r="G9295" s="12"/>
      <c r="H9295" s="12"/>
      <c r="I9295" s="12"/>
      <c r="J9295" s="12"/>
    </row>
    <row r="9296" spans="5:10" x14ac:dyDescent="0.25">
      <c r="E9296"/>
      <c r="F9296"/>
      <c r="G9296" s="12"/>
      <c r="H9296" s="12"/>
      <c r="I9296" s="12"/>
      <c r="J9296" s="12"/>
    </row>
    <row r="9297" spans="5:10" x14ac:dyDescent="0.25">
      <c r="E9297"/>
      <c r="F9297"/>
      <c r="G9297" s="12"/>
      <c r="H9297" s="12"/>
      <c r="I9297" s="12"/>
      <c r="J9297" s="12"/>
    </row>
    <row r="9298" spans="5:10" x14ac:dyDescent="0.25">
      <c r="E9298"/>
      <c r="F9298"/>
      <c r="G9298" s="12"/>
      <c r="H9298" s="12"/>
      <c r="I9298" s="12"/>
      <c r="J9298" s="12"/>
    </row>
    <row r="9299" spans="5:10" x14ac:dyDescent="0.25">
      <c r="E9299"/>
      <c r="F9299"/>
      <c r="G9299" s="12"/>
      <c r="H9299" s="12"/>
      <c r="I9299" s="12"/>
      <c r="J9299" s="12"/>
    </row>
    <row r="9300" spans="5:10" x14ac:dyDescent="0.25">
      <c r="E9300"/>
      <c r="F9300"/>
      <c r="G9300" s="12"/>
      <c r="H9300" s="12"/>
      <c r="I9300" s="12"/>
      <c r="J9300" s="12"/>
    </row>
    <row r="9301" spans="5:10" x14ac:dyDescent="0.25">
      <c r="E9301"/>
      <c r="F9301"/>
      <c r="G9301" s="12"/>
      <c r="H9301" s="12"/>
      <c r="I9301" s="12"/>
      <c r="J9301" s="12"/>
    </row>
    <row r="9302" spans="5:10" x14ac:dyDescent="0.25">
      <c r="E9302"/>
      <c r="F9302"/>
      <c r="G9302" s="12"/>
      <c r="H9302" s="12"/>
      <c r="I9302" s="12"/>
      <c r="J9302" s="12"/>
    </row>
    <row r="9303" spans="5:10" x14ac:dyDescent="0.25">
      <c r="E9303"/>
      <c r="F9303"/>
      <c r="G9303" s="12"/>
      <c r="H9303" s="12"/>
      <c r="I9303" s="12"/>
      <c r="J9303" s="12"/>
    </row>
    <row r="9304" spans="5:10" x14ac:dyDescent="0.25">
      <c r="E9304"/>
      <c r="F9304"/>
      <c r="G9304" s="12"/>
      <c r="H9304" s="12"/>
      <c r="I9304" s="12"/>
      <c r="J9304" s="12"/>
    </row>
    <row r="9305" spans="5:10" x14ac:dyDescent="0.25">
      <c r="E9305"/>
      <c r="F9305"/>
      <c r="G9305" s="12"/>
      <c r="H9305" s="12"/>
      <c r="I9305" s="12"/>
      <c r="J9305" s="12"/>
    </row>
    <row r="9306" spans="5:10" x14ac:dyDescent="0.25">
      <c r="E9306"/>
      <c r="F9306"/>
      <c r="G9306" s="12"/>
      <c r="H9306" s="12"/>
      <c r="I9306" s="12"/>
      <c r="J9306" s="12"/>
    </row>
    <row r="9307" spans="5:10" x14ac:dyDescent="0.25">
      <c r="E9307"/>
      <c r="F9307"/>
      <c r="G9307" s="12"/>
      <c r="H9307" s="12"/>
      <c r="I9307" s="12"/>
      <c r="J9307" s="12"/>
    </row>
    <row r="9308" spans="5:10" x14ac:dyDescent="0.25">
      <c r="E9308"/>
      <c r="F9308"/>
      <c r="G9308" s="12"/>
      <c r="H9308" s="12"/>
      <c r="I9308" s="12"/>
      <c r="J9308" s="12"/>
    </row>
    <row r="9309" spans="5:10" x14ac:dyDescent="0.25">
      <c r="E9309"/>
      <c r="F9309"/>
      <c r="G9309" s="12"/>
      <c r="H9309" s="12"/>
      <c r="I9309" s="12"/>
      <c r="J9309" s="12"/>
    </row>
    <row r="9310" spans="5:10" x14ac:dyDescent="0.25">
      <c r="E9310"/>
      <c r="F9310"/>
      <c r="G9310" s="12"/>
      <c r="H9310" s="12"/>
      <c r="I9310" s="12"/>
      <c r="J9310" s="12"/>
    </row>
    <row r="9311" spans="5:10" x14ac:dyDescent="0.25">
      <c r="E9311"/>
      <c r="F9311"/>
      <c r="G9311" s="12"/>
      <c r="H9311" s="12"/>
      <c r="I9311" s="12"/>
      <c r="J9311" s="12"/>
    </row>
    <row r="9312" spans="5:10" x14ac:dyDescent="0.25">
      <c r="E9312"/>
      <c r="F9312"/>
      <c r="G9312" s="12"/>
      <c r="H9312" s="12"/>
      <c r="I9312" s="12"/>
      <c r="J9312" s="12"/>
    </row>
    <row r="9313" spans="5:10" x14ac:dyDescent="0.25">
      <c r="E9313"/>
      <c r="F9313"/>
      <c r="G9313" s="12"/>
      <c r="H9313" s="12"/>
      <c r="I9313" s="12"/>
      <c r="J9313" s="12"/>
    </row>
    <row r="9314" spans="5:10" x14ac:dyDescent="0.25">
      <c r="E9314"/>
      <c r="F9314"/>
      <c r="G9314" s="12"/>
      <c r="H9314" s="12"/>
      <c r="I9314" s="12"/>
      <c r="J9314" s="12"/>
    </row>
    <row r="9315" spans="5:10" x14ac:dyDescent="0.25">
      <c r="E9315"/>
      <c r="F9315"/>
      <c r="G9315" s="12"/>
      <c r="H9315" s="12"/>
      <c r="I9315" s="12"/>
      <c r="J9315" s="12"/>
    </row>
    <row r="9316" spans="5:10" x14ac:dyDescent="0.25">
      <c r="E9316"/>
      <c r="F9316"/>
      <c r="G9316" s="12"/>
      <c r="H9316" s="12"/>
      <c r="I9316" s="12"/>
      <c r="J9316" s="12"/>
    </row>
    <row r="9317" spans="5:10" x14ac:dyDescent="0.25">
      <c r="E9317"/>
      <c r="F9317"/>
      <c r="G9317" s="12"/>
      <c r="H9317" s="12"/>
      <c r="I9317" s="12"/>
      <c r="J9317" s="12"/>
    </row>
    <row r="9318" spans="5:10" x14ac:dyDescent="0.25">
      <c r="E9318"/>
      <c r="F9318"/>
      <c r="G9318" s="12"/>
      <c r="H9318" s="12"/>
      <c r="I9318" s="12"/>
      <c r="J9318" s="12"/>
    </row>
    <row r="9319" spans="5:10" x14ac:dyDescent="0.25">
      <c r="E9319"/>
      <c r="F9319"/>
      <c r="G9319" s="12"/>
      <c r="H9319" s="12"/>
      <c r="I9319" s="12"/>
      <c r="J9319" s="12"/>
    </row>
    <row r="9320" spans="5:10" x14ac:dyDescent="0.25">
      <c r="E9320"/>
      <c r="F9320"/>
      <c r="G9320" s="12"/>
      <c r="H9320" s="12"/>
      <c r="I9320" s="12"/>
      <c r="J9320" s="12"/>
    </row>
    <row r="9321" spans="5:10" x14ac:dyDescent="0.25">
      <c r="E9321"/>
      <c r="F9321"/>
      <c r="G9321" s="12"/>
      <c r="H9321" s="12"/>
      <c r="I9321" s="12"/>
      <c r="J9321" s="12"/>
    </row>
    <row r="9322" spans="5:10" x14ac:dyDescent="0.25">
      <c r="E9322"/>
      <c r="F9322"/>
      <c r="G9322" s="12"/>
      <c r="H9322" s="12"/>
      <c r="I9322" s="12"/>
      <c r="J9322" s="12"/>
    </row>
    <row r="9323" spans="5:10" x14ac:dyDescent="0.25">
      <c r="E9323"/>
      <c r="F9323"/>
      <c r="G9323" s="12"/>
      <c r="H9323" s="12"/>
      <c r="I9323" s="12"/>
      <c r="J9323" s="12"/>
    </row>
    <row r="9324" spans="5:10" x14ac:dyDescent="0.25">
      <c r="E9324"/>
      <c r="F9324"/>
      <c r="G9324" s="12"/>
      <c r="H9324" s="12"/>
      <c r="I9324" s="12"/>
      <c r="J9324" s="12"/>
    </row>
    <row r="9325" spans="5:10" x14ac:dyDescent="0.25">
      <c r="E9325"/>
      <c r="F9325"/>
      <c r="G9325" s="12"/>
      <c r="H9325" s="12"/>
      <c r="I9325" s="12"/>
      <c r="J9325" s="12"/>
    </row>
    <row r="9326" spans="5:10" x14ac:dyDescent="0.25">
      <c r="E9326"/>
      <c r="F9326"/>
      <c r="G9326" s="12"/>
      <c r="H9326" s="12"/>
      <c r="I9326" s="12"/>
      <c r="J9326" s="12"/>
    </row>
    <row r="9327" spans="5:10" x14ac:dyDescent="0.25">
      <c r="E9327"/>
      <c r="F9327"/>
      <c r="G9327" s="12"/>
      <c r="H9327" s="12"/>
      <c r="I9327" s="12"/>
      <c r="J9327" s="12"/>
    </row>
    <row r="9328" spans="5:10" x14ac:dyDescent="0.25">
      <c r="E9328"/>
      <c r="F9328"/>
      <c r="G9328" s="12"/>
      <c r="H9328" s="12"/>
      <c r="I9328" s="12"/>
      <c r="J9328" s="12"/>
    </row>
    <row r="9329" spans="5:10" x14ac:dyDescent="0.25">
      <c r="E9329"/>
      <c r="F9329"/>
      <c r="G9329" s="12"/>
      <c r="H9329" s="12"/>
      <c r="I9329" s="12"/>
      <c r="J9329" s="12"/>
    </row>
    <row r="9330" spans="5:10" x14ac:dyDescent="0.25">
      <c r="E9330"/>
      <c r="F9330"/>
      <c r="G9330" s="12"/>
      <c r="H9330" s="12"/>
      <c r="I9330" s="12"/>
      <c r="J9330" s="12"/>
    </row>
    <row r="9331" spans="5:10" x14ac:dyDescent="0.25">
      <c r="E9331"/>
      <c r="F9331"/>
      <c r="G9331" s="12"/>
      <c r="H9331" s="12"/>
      <c r="I9331" s="12"/>
      <c r="J9331" s="12"/>
    </row>
    <row r="9332" spans="5:10" x14ac:dyDescent="0.25">
      <c r="E9332"/>
      <c r="F9332"/>
      <c r="G9332" s="12"/>
      <c r="H9332" s="12"/>
      <c r="I9332" s="12"/>
      <c r="J9332" s="12"/>
    </row>
    <row r="9333" spans="5:10" x14ac:dyDescent="0.25">
      <c r="E9333"/>
      <c r="F9333"/>
      <c r="G9333" s="12"/>
      <c r="H9333" s="12"/>
      <c r="I9333" s="12"/>
      <c r="J9333" s="12"/>
    </row>
    <row r="9334" spans="5:10" x14ac:dyDescent="0.25">
      <c r="E9334"/>
      <c r="F9334"/>
      <c r="G9334" s="12"/>
      <c r="H9334" s="12"/>
      <c r="I9334" s="12"/>
      <c r="J9334" s="12"/>
    </row>
    <row r="9335" spans="5:10" x14ac:dyDescent="0.25">
      <c r="E9335"/>
      <c r="F9335"/>
      <c r="G9335" s="12"/>
      <c r="H9335" s="12"/>
      <c r="I9335" s="12"/>
      <c r="J9335" s="12"/>
    </row>
    <row r="9336" spans="5:10" x14ac:dyDescent="0.25">
      <c r="E9336"/>
      <c r="F9336"/>
      <c r="G9336" s="12"/>
      <c r="H9336" s="12"/>
      <c r="I9336" s="12"/>
      <c r="J9336" s="12"/>
    </row>
    <row r="9337" spans="5:10" x14ac:dyDescent="0.25">
      <c r="E9337"/>
      <c r="F9337"/>
      <c r="G9337" s="12"/>
      <c r="H9337" s="12"/>
      <c r="I9337" s="12"/>
      <c r="J9337" s="12"/>
    </row>
    <row r="9338" spans="5:10" x14ac:dyDescent="0.25">
      <c r="E9338"/>
      <c r="F9338"/>
      <c r="G9338" s="12"/>
      <c r="H9338" s="12"/>
      <c r="I9338" s="12"/>
      <c r="J9338" s="12"/>
    </row>
    <row r="9339" spans="5:10" x14ac:dyDescent="0.25">
      <c r="E9339"/>
      <c r="F9339"/>
      <c r="G9339" s="12"/>
      <c r="H9339" s="12"/>
      <c r="I9339" s="12"/>
      <c r="J9339" s="12"/>
    </row>
    <row r="9340" spans="5:10" x14ac:dyDescent="0.25">
      <c r="E9340"/>
      <c r="F9340"/>
      <c r="G9340" s="12"/>
      <c r="H9340" s="12"/>
      <c r="I9340" s="12"/>
      <c r="J9340" s="12"/>
    </row>
    <row r="9341" spans="5:10" x14ac:dyDescent="0.25">
      <c r="E9341"/>
      <c r="F9341"/>
      <c r="G9341" s="12"/>
      <c r="H9341" s="12"/>
      <c r="I9341" s="12"/>
      <c r="J9341" s="12"/>
    </row>
    <row r="9342" spans="5:10" x14ac:dyDescent="0.25">
      <c r="E9342"/>
      <c r="F9342"/>
      <c r="G9342" s="12"/>
      <c r="H9342" s="12"/>
      <c r="I9342" s="12"/>
      <c r="J9342" s="12"/>
    </row>
    <row r="9343" spans="5:10" x14ac:dyDescent="0.25">
      <c r="E9343"/>
      <c r="F9343"/>
      <c r="G9343" s="12"/>
      <c r="H9343" s="12"/>
      <c r="I9343" s="12"/>
      <c r="J9343" s="12"/>
    </row>
    <row r="9344" spans="5:10" x14ac:dyDescent="0.25">
      <c r="E9344"/>
      <c r="F9344"/>
      <c r="G9344" s="12"/>
      <c r="H9344" s="12"/>
      <c r="I9344" s="12"/>
      <c r="J9344" s="12"/>
    </row>
    <row r="9345" spans="5:10" x14ac:dyDescent="0.25">
      <c r="E9345"/>
      <c r="F9345"/>
      <c r="G9345" s="12"/>
      <c r="H9345" s="12"/>
      <c r="I9345" s="12"/>
      <c r="J9345" s="12"/>
    </row>
    <row r="9346" spans="5:10" x14ac:dyDescent="0.25">
      <c r="E9346"/>
      <c r="F9346"/>
      <c r="G9346" s="12"/>
      <c r="H9346" s="12"/>
      <c r="I9346" s="12"/>
      <c r="J9346" s="12"/>
    </row>
    <row r="9347" spans="5:10" x14ac:dyDescent="0.25">
      <c r="E9347"/>
      <c r="F9347"/>
      <c r="G9347" s="12"/>
      <c r="H9347" s="12"/>
      <c r="I9347" s="12"/>
      <c r="J9347" s="12"/>
    </row>
    <row r="9348" spans="5:10" x14ac:dyDescent="0.25">
      <c r="E9348"/>
      <c r="F9348"/>
      <c r="G9348" s="12"/>
      <c r="H9348" s="12"/>
      <c r="I9348" s="12"/>
      <c r="J9348" s="12"/>
    </row>
    <row r="9349" spans="5:10" x14ac:dyDescent="0.25">
      <c r="E9349"/>
      <c r="F9349"/>
      <c r="G9349" s="12"/>
      <c r="H9349" s="12"/>
      <c r="I9349" s="12"/>
      <c r="J9349" s="12"/>
    </row>
    <row r="9350" spans="5:10" x14ac:dyDescent="0.25">
      <c r="E9350"/>
      <c r="F9350"/>
      <c r="G9350" s="12"/>
      <c r="H9350" s="12"/>
      <c r="I9350" s="12"/>
      <c r="J9350" s="12"/>
    </row>
    <row r="9351" spans="5:10" x14ac:dyDescent="0.25">
      <c r="E9351"/>
      <c r="F9351"/>
      <c r="G9351" s="12"/>
      <c r="H9351" s="12"/>
      <c r="I9351" s="12"/>
      <c r="J9351" s="12"/>
    </row>
    <row r="9352" spans="5:10" x14ac:dyDescent="0.25">
      <c r="E9352"/>
      <c r="F9352"/>
      <c r="G9352" s="12"/>
      <c r="H9352" s="12"/>
      <c r="I9352" s="12"/>
      <c r="J9352" s="12"/>
    </row>
    <row r="9353" spans="5:10" x14ac:dyDescent="0.25">
      <c r="E9353"/>
      <c r="F9353"/>
      <c r="G9353" s="12"/>
      <c r="H9353" s="12"/>
      <c r="I9353" s="12"/>
      <c r="J9353" s="12"/>
    </row>
    <row r="9354" spans="5:10" x14ac:dyDescent="0.25">
      <c r="E9354"/>
      <c r="F9354"/>
      <c r="G9354" s="12"/>
      <c r="H9354" s="12"/>
      <c r="I9354" s="12"/>
      <c r="J9354" s="12"/>
    </row>
    <row r="9355" spans="5:10" x14ac:dyDescent="0.25">
      <c r="E9355"/>
      <c r="F9355"/>
      <c r="G9355" s="12"/>
      <c r="H9355" s="12"/>
      <c r="I9355" s="12"/>
      <c r="J9355" s="12"/>
    </row>
    <row r="9356" spans="5:10" x14ac:dyDescent="0.25">
      <c r="E9356"/>
      <c r="F9356"/>
      <c r="G9356" s="12"/>
      <c r="H9356" s="12"/>
      <c r="I9356" s="12"/>
      <c r="J9356" s="12"/>
    </row>
    <row r="9357" spans="5:10" x14ac:dyDescent="0.25">
      <c r="E9357"/>
      <c r="F9357"/>
      <c r="G9357" s="12"/>
      <c r="H9357" s="12"/>
      <c r="I9357" s="12"/>
      <c r="J9357" s="12"/>
    </row>
    <row r="9358" spans="5:10" x14ac:dyDescent="0.25">
      <c r="E9358"/>
      <c r="F9358"/>
      <c r="G9358" s="12"/>
      <c r="H9358" s="12"/>
      <c r="I9358" s="12"/>
      <c r="J9358" s="12"/>
    </row>
    <row r="9359" spans="5:10" x14ac:dyDescent="0.25">
      <c r="E9359"/>
      <c r="F9359"/>
      <c r="G9359" s="12"/>
      <c r="H9359" s="12"/>
      <c r="I9359" s="12"/>
      <c r="J9359" s="12"/>
    </row>
    <row r="9360" spans="5:10" x14ac:dyDescent="0.25">
      <c r="E9360"/>
      <c r="F9360"/>
      <c r="G9360" s="12"/>
      <c r="H9360" s="12"/>
      <c r="I9360" s="12"/>
      <c r="J9360" s="12"/>
    </row>
    <row r="9361" spans="5:10" x14ac:dyDescent="0.25">
      <c r="E9361"/>
      <c r="F9361"/>
      <c r="G9361" s="12"/>
      <c r="H9361" s="12"/>
      <c r="I9361" s="12"/>
      <c r="J9361" s="12"/>
    </row>
    <row r="9362" spans="5:10" x14ac:dyDescent="0.25">
      <c r="E9362"/>
      <c r="F9362"/>
      <c r="G9362" s="12"/>
      <c r="H9362" s="12"/>
      <c r="I9362" s="12"/>
      <c r="J9362" s="12"/>
    </row>
    <row r="9363" spans="5:10" x14ac:dyDescent="0.25">
      <c r="E9363"/>
      <c r="F9363"/>
      <c r="G9363" s="12"/>
      <c r="H9363" s="12"/>
      <c r="I9363" s="12"/>
      <c r="J9363" s="12"/>
    </row>
    <row r="9364" spans="5:10" x14ac:dyDescent="0.25">
      <c r="E9364"/>
      <c r="F9364"/>
      <c r="G9364" s="12"/>
      <c r="H9364" s="12"/>
      <c r="I9364" s="12"/>
      <c r="J9364" s="12"/>
    </row>
    <row r="9365" spans="5:10" x14ac:dyDescent="0.25">
      <c r="E9365"/>
      <c r="F9365"/>
      <c r="G9365" s="12"/>
      <c r="H9365" s="12"/>
      <c r="I9365" s="12"/>
      <c r="J9365" s="12"/>
    </row>
    <row r="9366" spans="5:10" x14ac:dyDescent="0.25">
      <c r="E9366"/>
      <c r="F9366"/>
      <c r="G9366" s="12"/>
      <c r="H9366" s="12"/>
      <c r="I9366" s="12"/>
      <c r="J9366" s="12"/>
    </row>
    <row r="9367" spans="5:10" x14ac:dyDescent="0.25">
      <c r="E9367"/>
      <c r="F9367"/>
      <c r="G9367" s="12"/>
      <c r="H9367" s="12"/>
      <c r="I9367" s="12"/>
      <c r="J9367" s="12"/>
    </row>
    <row r="9368" spans="5:10" x14ac:dyDescent="0.25">
      <c r="E9368"/>
      <c r="F9368"/>
      <c r="G9368" s="12"/>
      <c r="H9368" s="12"/>
      <c r="I9368" s="12"/>
      <c r="J9368" s="12"/>
    </row>
    <row r="9369" spans="5:10" x14ac:dyDescent="0.25">
      <c r="E9369"/>
      <c r="F9369"/>
      <c r="G9369" s="12"/>
      <c r="H9369" s="12"/>
      <c r="I9369" s="12"/>
      <c r="J9369" s="12"/>
    </row>
    <row r="9370" spans="5:10" x14ac:dyDescent="0.25">
      <c r="E9370"/>
      <c r="F9370"/>
      <c r="G9370" s="12"/>
      <c r="H9370" s="12"/>
      <c r="I9370" s="12"/>
      <c r="J9370" s="12"/>
    </row>
    <row r="9371" spans="5:10" x14ac:dyDescent="0.25">
      <c r="E9371"/>
      <c r="F9371"/>
      <c r="G9371" s="12"/>
      <c r="H9371" s="12"/>
      <c r="I9371" s="12"/>
      <c r="J9371" s="12"/>
    </row>
    <row r="9372" spans="5:10" x14ac:dyDescent="0.25">
      <c r="E9372"/>
      <c r="F9372"/>
      <c r="G9372" s="12"/>
      <c r="H9372" s="12"/>
      <c r="I9372" s="12"/>
      <c r="J9372" s="12"/>
    </row>
    <row r="9373" spans="5:10" x14ac:dyDescent="0.25">
      <c r="E9373"/>
      <c r="F9373"/>
      <c r="G9373" s="12"/>
      <c r="H9373" s="12"/>
      <c r="I9373" s="12"/>
      <c r="J9373" s="12"/>
    </row>
    <row r="9374" spans="5:10" x14ac:dyDescent="0.25">
      <c r="E9374"/>
      <c r="F9374"/>
      <c r="G9374" s="12"/>
      <c r="H9374" s="12"/>
      <c r="I9374" s="12"/>
      <c r="J9374" s="12"/>
    </row>
    <row r="9375" spans="5:10" x14ac:dyDescent="0.25">
      <c r="E9375"/>
      <c r="F9375"/>
      <c r="G9375" s="12"/>
      <c r="H9375" s="12"/>
      <c r="I9375" s="12"/>
      <c r="J9375" s="12"/>
    </row>
    <row r="9376" spans="5:10" x14ac:dyDescent="0.25">
      <c r="E9376"/>
      <c r="F9376"/>
      <c r="G9376" s="12"/>
      <c r="H9376" s="12"/>
      <c r="I9376" s="12"/>
      <c r="J9376" s="12"/>
    </row>
    <row r="9377" spans="5:10" x14ac:dyDescent="0.25">
      <c r="E9377"/>
      <c r="F9377"/>
      <c r="G9377" s="12"/>
      <c r="H9377" s="12"/>
      <c r="I9377" s="12"/>
      <c r="J9377" s="12"/>
    </row>
    <row r="9378" spans="5:10" x14ac:dyDescent="0.25">
      <c r="E9378"/>
      <c r="F9378"/>
      <c r="G9378" s="12"/>
      <c r="H9378" s="12"/>
      <c r="I9378" s="12"/>
      <c r="J9378" s="12"/>
    </row>
    <row r="9379" spans="5:10" x14ac:dyDescent="0.25">
      <c r="E9379"/>
      <c r="F9379"/>
      <c r="G9379" s="12"/>
      <c r="H9379" s="12"/>
      <c r="I9379" s="12"/>
      <c r="J9379" s="12"/>
    </row>
    <row r="9380" spans="5:10" x14ac:dyDescent="0.25">
      <c r="E9380"/>
      <c r="F9380"/>
      <c r="G9380" s="12"/>
      <c r="H9380" s="12"/>
      <c r="I9380" s="12"/>
      <c r="J9380" s="12"/>
    </row>
    <row r="9381" spans="5:10" x14ac:dyDescent="0.25">
      <c r="E9381"/>
      <c r="F9381"/>
      <c r="G9381" s="12"/>
      <c r="H9381" s="12"/>
      <c r="I9381" s="12"/>
      <c r="J9381" s="12"/>
    </row>
    <row r="9382" spans="5:10" x14ac:dyDescent="0.25">
      <c r="E9382"/>
      <c r="F9382"/>
      <c r="G9382" s="12"/>
      <c r="H9382" s="12"/>
      <c r="I9382" s="12"/>
      <c r="J9382" s="12"/>
    </row>
    <row r="9383" spans="5:10" x14ac:dyDescent="0.25">
      <c r="E9383"/>
      <c r="F9383"/>
      <c r="G9383" s="12"/>
      <c r="H9383" s="12"/>
      <c r="I9383" s="12"/>
      <c r="J9383" s="12"/>
    </row>
    <row r="9384" spans="5:10" x14ac:dyDescent="0.25">
      <c r="E9384"/>
      <c r="F9384"/>
      <c r="G9384" s="12"/>
      <c r="H9384" s="12"/>
      <c r="I9384" s="12"/>
      <c r="J9384" s="12"/>
    </row>
    <row r="9385" spans="5:10" x14ac:dyDescent="0.25">
      <c r="E9385"/>
      <c r="F9385"/>
      <c r="G9385" s="12"/>
      <c r="H9385" s="12"/>
      <c r="I9385" s="12"/>
      <c r="J9385" s="12"/>
    </row>
    <row r="9386" spans="5:10" x14ac:dyDescent="0.25">
      <c r="E9386"/>
      <c r="F9386"/>
      <c r="G9386" s="12"/>
      <c r="H9386" s="12"/>
      <c r="I9386" s="12"/>
      <c r="J9386" s="12"/>
    </row>
    <row r="9387" spans="5:10" x14ac:dyDescent="0.25">
      <c r="E9387"/>
      <c r="F9387"/>
      <c r="G9387" s="12"/>
      <c r="H9387" s="12"/>
      <c r="I9387" s="12"/>
      <c r="J9387" s="12"/>
    </row>
    <row r="9388" spans="5:10" x14ac:dyDescent="0.25">
      <c r="E9388"/>
      <c r="F9388"/>
      <c r="G9388" s="12"/>
      <c r="H9388" s="12"/>
      <c r="I9388" s="12"/>
      <c r="J9388" s="12"/>
    </row>
    <row r="9389" spans="5:10" x14ac:dyDescent="0.25">
      <c r="E9389"/>
      <c r="F9389"/>
      <c r="G9389" s="12"/>
      <c r="H9389" s="12"/>
      <c r="I9389" s="12"/>
      <c r="J9389" s="12"/>
    </row>
    <row r="9390" spans="5:10" x14ac:dyDescent="0.25">
      <c r="E9390"/>
      <c r="F9390"/>
      <c r="G9390" s="12"/>
      <c r="H9390" s="12"/>
      <c r="I9390" s="12"/>
      <c r="J9390" s="12"/>
    </row>
    <row r="9391" spans="5:10" x14ac:dyDescent="0.25">
      <c r="E9391"/>
      <c r="F9391"/>
      <c r="G9391" s="12"/>
      <c r="H9391" s="12"/>
      <c r="I9391" s="12"/>
      <c r="J9391" s="12"/>
    </row>
    <row r="9392" spans="5:10" x14ac:dyDescent="0.25">
      <c r="E9392"/>
      <c r="F9392"/>
      <c r="G9392" s="12"/>
      <c r="H9392" s="12"/>
      <c r="I9392" s="12"/>
      <c r="J9392" s="12"/>
    </row>
    <row r="9393" spans="5:10" x14ac:dyDescent="0.25">
      <c r="E9393"/>
      <c r="F9393"/>
      <c r="G9393" s="12"/>
      <c r="H9393" s="12"/>
      <c r="I9393" s="12"/>
      <c r="J9393" s="12"/>
    </row>
    <row r="9394" spans="5:10" x14ac:dyDescent="0.25">
      <c r="E9394"/>
      <c r="F9394"/>
      <c r="G9394" s="12"/>
      <c r="H9394" s="12"/>
      <c r="I9394" s="12"/>
      <c r="J9394" s="12"/>
    </row>
    <row r="9395" spans="5:10" x14ac:dyDescent="0.25">
      <c r="E9395"/>
      <c r="F9395"/>
      <c r="G9395" s="12"/>
      <c r="H9395" s="12"/>
      <c r="I9395" s="12"/>
      <c r="J9395" s="12"/>
    </row>
    <row r="9396" spans="5:10" x14ac:dyDescent="0.25">
      <c r="E9396"/>
      <c r="F9396"/>
      <c r="G9396" s="12"/>
      <c r="H9396" s="12"/>
      <c r="I9396" s="12"/>
      <c r="J9396" s="12"/>
    </row>
    <row r="9397" spans="5:10" x14ac:dyDescent="0.25">
      <c r="E9397"/>
      <c r="F9397"/>
      <c r="G9397" s="12"/>
      <c r="H9397" s="12"/>
      <c r="I9397" s="12"/>
      <c r="J9397" s="12"/>
    </row>
    <row r="9398" spans="5:10" x14ac:dyDescent="0.25">
      <c r="E9398"/>
      <c r="F9398"/>
      <c r="G9398" s="12"/>
      <c r="H9398" s="12"/>
      <c r="I9398" s="12"/>
      <c r="J9398" s="12"/>
    </row>
    <row r="9399" spans="5:10" x14ac:dyDescent="0.25">
      <c r="E9399"/>
      <c r="F9399"/>
      <c r="G9399" s="12"/>
      <c r="H9399" s="12"/>
      <c r="I9399" s="12"/>
      <c r="J9399" s="12"/>
    </row>
    <row r="9400" spans="5:10" x14ac:dyDescent="0.25">
      <c r="E9400"/>
      <c r="F9400"/>
      <c r="G9400" s="12"/>
      <c r="H9400" s="12"/>
      <c r="I9400" s="12"/>
      <c r="J9400" s="12"/>
    </row>
    <row r="9401" spans="5:10" x14ac:dyDescent="0.25">
      <c r="E9401"/>
      <c r="F9401"/>
      <c r="G9401" s="12"/>
      <c r="H9401" s="12"/>
      <c r="I9401" s="12"/>
      <c r="J9401" s="12"/>
    </row>
    <row r="9402" spans="5:10" x14ac:dyDescent="0.25">
      <c r="E9402"/>
      <c r="F9402"/>
      <c r="G9402" s="12"/>
      <c r="H9402" s="12"/>
      <c r="I9402" s="12"/>
      <c r="J9402" s="12"/>
    </row>
    <row r="9403" spans="5:10" x14ac:dyDescent="0.25">
      <c r="E9403"/>
      <c r="F9403"/>
      <c r="G9403" s="12"/>
      <c r="H9403" s="12"/>
      <c r="I9403" s="12"/>
      <c r="J9403" s="12"/>
    </row>
    <row r="9404" spans="5:10" x14ac:dyDescent="0.25">
      <c r="E9404"/>
      <c r="F9404"/>
      <c r="G9404" s="12"/>
      <c r="H9404" s="12"/>
      <c r="I9404" s="12"/>
      <c r="J9404" s="12"/>
    </row>
    <row r="9405" spans="5:10" x14ac:dyDescent="0.25">
      <c r="E9405"/>
      <c r="F9405"/>
      <c r="G9405" s="12"/>
      <c r="H9405" s="12"/>
      <c r="I9405" s="12"/>
      <c r="J9405" s="12"/>
    </row>
    <row r="9406" spans="5:10" x14ac:dyDescent="0.25">
      <c r="E9406"/>
      <c r="F9406"/>
      <c r="G9406" s="12"/>
      <c r="H9406" s="12"/>
      <c r="I9406" s="12"/>
      <c r="J9406" s="12"/>
    </row>
    <row r="9407" spans="5:10" x14ac:dyDescent="0.25">
      <c r="E9407"/>
      <c r="F9407"/>
      <c r="G9407" s="12"/>
      <c r="H9407" s="12"/>
      <c r="I9407" s="12"/>
      <c r="J9407" s="12"/>
    </row>
    <row r="9408" spans="5:10" x14ac:dyDescent="0.25">
      <c r="E9408"/>
      <c r="F9408"/>
      <c r="G9408" s="12"/>
      <c r="H9408" s="12"/>
      <c r="I9408" s="12"/>
      <c r="J9408" s="12"/>
    </row>
    <row r="9409" spans="5:10" x14ac:dyDescent="0.25">
      <c r="E9409"/>
      <c r="F9409"/>
      <c r="G9409" s="12"/>
      <c r="H9409" s="12"/>
      <c r="I9409" s="12"/>
      <c r="J9409" s="12"/>
    </row>
    <row r="9410" spans="5:10" x14ac:dyDescent="0.25">
      <c r="E9410"/>
      <c r="F9410"/>
      <c r="G9410" s="12"/>
      <c r="H9410" s="12"/>
      <c r="I9410" s="12"/>
      <c r="J9410" s="12"/>
    </row>
    <row r="9411" spans="5:10" x14ac:dyDescent="0.25">
      <c r="E9411"/>
      <c r="F9411"/>
      <c r="G9411" s="12"/>
      <c r="H9411" s="12"/>
      <c r="I9411" s="12"/>
      <c r="J9411" s="12"/>
    </row>
    <row r="9412" spans="5:10" x14ac:dyDescent="0.25">
      <c r="E9412"/>
      <c r="F9412"/>
      <c r="G9412" s="12"/>
      <c r="H9412" s="12"/>
      <c r="I9412" s="12"/>
      <c r="J9412" s="12"/>
    </row>
    <row r="9413" spans="5:10" x14ac:dyDescent="0.25">
      <c r="E9413"/>
      <c r="F9413"/>
      <c r="G9413" s="12"/>
      <c r="H9413" s="12"/>
      <c r="I9413" s="12"/>
      <c r="J9413" s="12"/>
    </row>
    <row r="9414" spans="5:10" x14ac:dyDescent="0.25">
      <c r="E9414"/>
      <c r="F9414"/>
      <c r="G9414" s="12"/>
      <c r="H9414" s="12"/>
      <c r="I9414" s="12"/>
      <c r="J9414" s="12"/>
    </row>
    <row r="9415" spans="5:10" x14ac:dyDescent="0.25">
      <c r="E9415"/>
      <c r="F9415"/>
      <c r="G9415" s="12"/>
      <c r="H9415" s="12"/>
      <c r="I9415" s="12"/>
      <c r="J9415" s="12"/>
    </row>
    <row r="9416" spans="5:10" x14ac:dyDescent="0.25">
      <c r="E9416"/>
      <c r="F9416"/>
      <c r="G9416" s="12"/>
      <c r="H9416" s="12"/>
      <c r="I9416" s="12"/>
      <c r="J9416" s="12"/>
    </row>
    <row r="9417" spans="5:10" x14ac:dyDescent="0.25">
      <c r="E9417"/>
      <c r="F9417"/>
      <c r="G9417" s="12"/>
      <c r="H9417" s="12"/>
      <c r="I9417" s="12"/>
      <c r="J9417" s="12"/>
    </row>
    <row r="9418" spans="5:10" x14ac:dyDescent="0.25">
      <c r="E9418"/>
      <c r="F9418"/>
      <c r="G9418" s="12"/>
      <c r="H9418" s="12"/>
      <c r="I9418" s="12"/>
      <c r="J9418" s="12"/>
    </row>
    <row r="9419" spans="5:10" x14ac:dyDescent="0.25">
      <c r="E9419"/>
      <c r="F9419"/>
      <c r="G9419" s="12"/>
      <c r="H9419" s="12"/>
      <c r="I9419" s="12"/>
      <c r="J9419" s="12"/>
    </row>
    <row r="9420" spans="5:10" x14ac:dyDescent="0.25">
      <c r="E9420"/>
      <c r="F9420"/>
      <c r="G9420" s="12"/>
      <c r="H9420" s="12"/>
      <c r="I9420" s="12"/>
      <c r="J9420" s="12"/>
    </row>
    <row r="9421" spans="5:10" x14ac:dyDescent="0.25">
      <c r="E9421"/>
      <c r="F9421"/>
      <c r="G9421" s="12"/>
      <c r="H9421" s="12"/>
      <c r="I9421" s="12"/>
      <c r="J9421" s="12"/>
    </row>
    <row r="9422" spans="5:10" x14ac:dyDescent="0.25">
      <c r="E9422"/>
      <c r="F9422"/>
      <c r="G9422" s="12"/>
      <c r="H9422" s="12"/>
      <c r="I9422" s="12"/>
      <c r="J9422" s="12"/>
    </row>
    <row r="9423" spans="5:10" x14ac:dyDescent="0.25">
      <c r="E9423"/>
      <c r="F9423"/>
      <c r="G9423" s="12"/>
      <c r="H9423" s="12"/>
      <c r="I9423" s="12"/>
      <c r="J9423" s="12"/>
    </row>
    <row r="9424" spans="5:10" x14ac:dyDescent="0.25">
      <c r="E9424"/>
      <c r="F9424"/>
      <c r="G9424" s="12"/>
      <c r="H9424" s="12"/>
      <c r="I9424" s="12"/>
      <c r="J9424" s="12"/>
    </row>
    <row r="9425" spans="5:10" x14ac:dyDescent="0.25">
      <c r="E9425"/>
      <c r="F9425"/>
      <c r="G9425" s="12"/>
      <c r="H9425" s="12"/>
      <c r="I9425" s="12"/>
      <c r="J9425" s="12"/>
    </row>
    <row r="9426" spans="5:10" x14ac:dyDescent="0.25">
      <c r="E9426"/>
      <c r="F9426"/>
      <c r="G9426" s="12"/>
      <c r="H9426" s="12"/>
      <c r="I9426" s="12"/>
      <c r="J9426" s="12"/>
    </row>
    <row r="9427" spans="5:10" x14ac:dyDescent="0.25">
      <c r="E9427"/>
      <c r="F9427"/>
      <c r="G9427" s="12"/>
      <c r="H9427" s="12"/>
      <c r="I9427" s="12"/>
      <c r="J9427" s="12"/>
    </row>
    <row r="9428" spans="5:10" x14ac:dyDescent="0.25">
      <c r="E9428"/>
      <c r="F9428"/>
      <c r="G9428" s="12"/>
      <c r="H9428" s="12"/>
      <c r="I9428" s="12"/>
      <c r="J9428" s="12"/>
    </row>
    <row r="9429" spans="5:10" x14ac:dyDescent="0.25">
      <c r="E9429"/>
      <c r="F9429"/>
      <c r="G9429" s="12"/>
      <c r="H9429" s="12"/>
      <c r="I9429" s="12"/>
      <c r="J9429" s="12"/>
    </row>
    <row r="9430" spans="5:10" x14ac:dyDescent="0.25">
      <c r="E9430"/>
      <c r="F9430"/>
      <c r="G9430" s="12"/>
      <c r="H9430" s="12"/>
      <c r="I9430" s="12"/>
      <c r="J9430" s="12"/>
    </row>
    <row r="9431" spans="5:10" x14ac:dyDescent="0.25">
      <c r="E9431"/>
      <c r="F9431"/>
      <c r="G9431" s="12"/>
      <c r="H9431" s="12"/>
      <c r="I9431" s="12"/>
      <c r="J9431" s="12"/>
    </row>
    <row r="9432" spans="5:10" x14ac:dyDescent="0.25">
      <c r="E9432"/>
      <c r="F9432"/>
      <c r="G9432" s="12"/>
      <c r="H9432" s="12"/>
      <c r="I9432" s="12"/>
      <c r="J9432" s="12"/>
    </row>
    <row r="9433" spans="5:10" x14ac:dyDescent="0.25">
      <c r="E9433"/>
      <c r="F9433"/>
      <c r="G9433" s="12"/>
      <c r="H9433" s="12"/>
      <c r="I9433" s="12"/>
      <c r="J9433" s="12"/>
    </row>
    <row r="9434" spans="5:10" x14ac:dyDescent="0.25">
      <c r="E9434"/>
      <c r="F9434"/>
      <c r="G9434" s="12"/>
      <c r="H9434" s="12"/>
      <c r="I9434" s="12"/>
      <c r="J9434" s="12"/>
    </row>
    <row r="9435" spans="5:10" x14ac:dyDescent="0.25">
      <c r="E9435"/>
      <c r="F9435"/>
      <c r="G9435" s="12"/>
      <c r="H9435" s="12"/>
      <c r="I9435" s="12"/>
      <c r="J9435" s="12"/>
    </row>
    <row r="9436" spans="5:10" x14ac:dyDescent="0.25">
      <c r="E9436"/>
      <c r="F9436"/>
      <c r="G9436" s="12"/>
      <c r="H9436" s="12"/>
      <c r="I9436" s="12"/>
      <c r="J9436" s="12"/>
    </row>
    <row r="9437" spans="5:10" x14ac:dyDescent="0.25">
      <c r="E9437"/>
      <c r="F9437"/>
      <c r="G9437" s="12"/>
      <c r="H9437" s="12"/>
      <c r="I9437" s="12"/>
      <c r="J9437" s="12"/>
    </row>
    <row r="9438" spans="5:10" x14ac:dyDescent="0.25">
      <c r="E9438"/>
      <c r="F9438"/>
      <c r="G9438" s="12"/>
      <c r="H9438" s="12"/>
      <c r="I9438" s="12"/>
      <c r="J9438" s="12"/>
    </row>
    <row r="9439" spans="5:10" x14ac:dyDescent="0.25">
      <c r="E9439"/>
      <c r="F9439"/>
      <c r="G9439" s="12"/>
      <c r="H9439" s="12"/>
      <c r="I9439" s="12"/>
      <c r="J9439" s="12"/>
    </row>
    <row r="9440" spans="5:10" x14ac:dyDescent="0.25">
      <c r="E9440"/>
      <c r="F9440"/>
      <c r="G9440" s="12"/>
      <c r="H9440" s="12"/>
      <c r="I9440" s="12"/>
      <c r="J9440" s="12"/>
    </row>
    <row r="9441" spans="5:10" x14ac:dyDescent="0.25">
      <c r="E9441"/>
      <c r="F9441"/>
      <c r="G9441" s="12"/>
      <c r="H9441" s="12"/>
      <c r="I9441" s="12"/>
      <c r="J9441" s="12"/>
    </row>
    <row r="9442" spans="5:10" x14ac:dyDescent="0.25">
      <c r="E9442"/>
      <c r="F9442"/>
      <c r="G9442" s="12"/>
      <c r="H9442" s="12"/>
      <c r="I9442" s="12"/>
      <c r="J9442" s="12"/>
    </row>
    <row r="9443" spans="5:10" x14ac:dyDescent="0.25">
      <c r="E9443"/>
      <c r="F9443"/>
      <c r="G9443" s="12"/>
      <c r="H9443" s="12"/>
      <c r="I9443" s="12"/>
      <c r="J9443" s="12"/>
    </row>
    <row r="9444" spans="5:10" x14ac:dyDescent="0.25">
      <c r="E9444"/>
      <c r="F9444"/>
      <c r="G9444" s="12"/>
      <c r="H9444" s="12"/>
      <c r="I9444" s="12"/>
      <c r="J9444" s="12"/>
    </row>
    <row r="9445" spans="5:10" x14ac:dyDescent="0.25">
      <c r="E9445"/>
      <c r="F9445"/>
      <c r="G9445" s="12"/>
      <c r="H9445" s="12"/>
      <c r="I9445" s="12"/>
      <c r="J9445" s="12"/>
    </row>
    <row r="9446" spans="5:10" x14ac:dyDescent="0.25">
      <c r="E9446"/>
      <c r="F9446"/>
      <c r="G9446" s="12"/>
      <c r="H9446" s="12"/>
      <c r="I9446" s="12"/>
      <c r="J9446" s="12"/>
    </row>
    <row r="9447" spans="5:10" x14ac:dyDescent="0.25">
      <c r="E9447"/>
      <c r="F9447"/>
      <c r="G9447" s="12"/>
      <c r="H9447" s="12"/>
      <c r="I9447" s="12"/>
      <c r="J9447" s="12"/>
    </row>
    <row r="9448" spans="5:10" x14ac:dyDescent="0.25">
      <c r="E9448"/>
      <c r="F9448"/>
      <c r="G9448" s="12"/>
      <c r="H9448" s="12"/>
      <c r="I9448" s="12"/>
      <c r="J9448" s="12"/>
    </row>
    <row r="9449" spans="5:10" x14ac:dyDescent="0.25">
      <c r="E9449"/>
      <c r="F9449"/>
      <c r="G9449" s="12"/>
      <c r="H9449" s="12"/>
      <c r="I9449" s="12"/>
      <c r="J9449" s="12"/>
    </row>
    <row r="9450" spans="5:10" x14ac:dyDescent="0.25">
      <c r="E9450"/>
      <c r="F9450"/>
      <c r="G9450" s="12"/>
      <c r="H9450" s="12"/>
      <c r="I9450" s="12"/>
      <c r="J9450" s="12"/>
    </row>
    <row r="9451" spans="5:10" x14ac:dyDescent="0.25">
      <c r="E9451"/>
      <c r="F9451"/>
      <c r="G9451" s="12"/>
      <c r="H9451" s="12"/>
      <c r="I9451" s="12"/>
      <c r="J9451" s="12"/>
    </row>
    <row r="9452" spans="5:10" x14ac:dyDescent="0.25">
      <c r="E9452"/>
      <c r="F9452"/>
      <c r="G9452" s="12"/>
      <c r="H9452" s="12"/>
      <c r="I9452" s="12"/>
      <c r="J9452" s="12"/>
    </row>
    <row r="9453" spans="5:10" x14ac:dyDescent="0.25">
      <c r="E9453"/>
      <c r="F9453"/>
      <c r="G9453" s="12"/>
      <c r="H9453" s="12"/>
      <c r="I9453" s="12"/>
      <c r="J9453" s="12"/>
    </row>
    <row r="9454" spans="5:10" x14ac:dyDescent="0.25">
      <c r="E9454"/>
      <c r="F9454"/>
      <c r="G9454" s="12"/>
      <c r="H9454" s="12"/>
      <c r="I9454" s="12"/>
      <c r="J9454" s="12"/>
    </row>
    <row r="9455" spans="5:10" x14ac:dyDescent="0.25">
      <c r="E9455"/>
      <c r="F9455"/>
      <c r="G9455" s="12"/>
      <c r="H9455" s="12"/>
      <c r="I9455" s="12"/>
      <c r="J9455" s="12"/>
    </row>
    <row r="9456" spans="5:10" x14ac:dyDescent="0.25">
      <c r="E9456"/>
      <c r="F9456"/>
      <c r="G9456" s="12"/>
      <c r="H9456" s="12"/>
      <c r="I9456" s="12"/>
      <c r="J9456" s="12"/>
    </row>
    <row r="9457" spans="5:10" x14ac:dyDescent="0.25">
      <c r="E9457"/>
      <c r="F9457"/>
      <c r="G9457" s="12"/>
      <c r="H9457" s="12"/>
      <c r="I9457" s="12"/>
      <c r="J9457" s="12"/>
    </row>
    <row r="9458" spans="5:10" x14ac:dyDescent="0.25">
      <c r="E9458"/>
      <c r="F9458"/>
      <c r="G9458" s="12"/>
      <c r="H9458" s="12"/>
      <c r="I9458" s="12"/>
      <c r="J9458" s="12"/>
    </row>
    <row r="9459" spans="5:10" x14ac:dyDescent="0.25">
      <c r="E9459"/>
      <c r="F9459"/>
      <c r="G9459" s="12"/>
      <c r="H9459" s="12"/>
      <c r="I9459" s="12"/>
      <c r="J9459" s="12"/>
    </row>
    <row r="9460" spans="5:10" x14ac:dyDescent="0.25">
      <c r="E9460"/>
      <c r="F9460"/>
      <c r="G9460" s="12"/>
      <c r="H9460" s="12"/>
      <c r="I9460" s="12"/>
      <c r="J9460" s="12"/>
    </row>
    <row r="9461" spans="5:10" x14ac:dyDescent="0.25">
      <c r="E9461"/>
      <c r="F9461"/>
      <c r="G9461" s="12"/>
      <c r="H9461" s="12"/>
      <c r="I9461" s="12"/>
      <c r="J9461" s="12"/>
    </row>
    <row r="9462" spans="5:10" x14ac:dyDescent="0.25">
      <c r="E9462"/>
      <c r="F9462"/>
      <c r="G9462" s="12"/>
      <c r="H9462" s="12"/>
      <c r="I9462" s="12"/>
      <c r="J9462" s="12"/>
    </row>
    <row r="9463" spans="5:10" x14ac:dyDescent="0.25">
      <c r="E9463"/>
      <c r="F9463"/>
      <c r="G9463" s="12"/>
      <c r="H9463" s="12"/>
      <c r="I9463" s="12"/>
      <c r="J9463" s="12"/>
    </row>
    <row r="9464" spans="5:10" x14ac:dyDescent="0.25">
      <c r="E9464"/>
      <c r="F9464"/>
      <c r="G9464" s="12"/>
      <c r="H9464" s="12"/>
      <c r="I9464" s="12"/>
      <c r="J9464" s="12"/>
    </row>
    <row r="9465" spans="5:10" x14ac:dyDescent="0.25">
      <c r="E9465"/>
      <c r="F9465"/>
      <c r="G9465" s="12"/>
      <c r="H9465" s="12"/>
      <c r="I9465" s="12"/>
      <c r="J9465" s="12"/>
    </row>
    <row r="9466" spans="5:10" x14ac:dyDescent="0.25">
      <c r="E9466"/>
      <c r="F9466"/>
      <c r="G9466" s="12"/>
      <c r="H9466" s="12"/>
      <c r="I9466" s="12"/>
      <c r="J9466" s="12"/>
    </row>
    <row r="9467" spans="5:10" x14ac:dyDescent="0.25">
      <c r="E9467"/>
      <c r="F9467"/>
      <c r="G9467" s="12"/>
      <c r="H9467" s="12"/>
      <c r="I9467" s="12"/>
      <c r="J9467" s="12"/>
    </row>
    <row r="9468" spans="5:10" x14ac:dyDescent="0.25">
      <c r="E9468"/>
      <c r="F9468"/>
      <c r="G9468" s="12"/>
      <c r="H9468" s="12"/>
      <c r="I9468" s="12"/>
      <c r="J9468" s="12"/>
    </row>
    <row r="9469" spans="5:10" x14ac:dyDescent="0.25">
      <c r="E9469"/>
      <c r="F9469"/>
      <c r="G9469" s="12"/>
      <c r="H9469" s="12"/>
      <c r="I9469" s="12"/>
      <c r="J9469" s="12"/>
    </row>
    <row r="9470" spans="5:10" x14ac:dyDescent="0.25">
      <c r="E9470"/>
      <c r="F9470"/>
      <c r="G9470" s="12"/>
      <c r="H9470" s="12"/>
      <c r="I9470" s="12"/>
      <c r="J9470" s="12"/>
    </row>
    <row r="9471" spans="5:10" x14ac:dyDescent="0.25">
      <c r="E9471"/>
      <c r="F9471"/>
      <c r="G9471" s="12"/>
      <c r="H9471" s="12"/>
      <c r="I9471" s="12"/>
      <c r="J9471" s="12"/>
    </row>
    <row r="9472" spans="5:10" x14ac:dyDescent="0.25">
      <c r="E9472"/>
      <c r="F9472"/>
      <c r="G9472" s="12"/>
      <c r="H9472" s="12"/>
      <c r="I9472" s="12"/>
      <c r="J9472" s="12"/>
    </row>
    <row r="9473" spans="5:10" x14ac:dyDescent="0.25">
      <c r="E9473"/>
      <c r="F9473"/>
      <c r="G9473" s="12"/>
      <c r="H9473" s="12"/>
      <c r="I9473" s="12"/>
      <c r="J9473" s="12"/>
    </row>
    <row r="9474" spans="5:10" x14ac:dyDescent="0.25">
      <c r="E9474"/>
      <c r="F9474"/>
      <c r="G9474" s="12"/>
      <c r="H9474" s="12"/>
      <c r="I9474" s="12"/>
      <c r="J9474" s="12"/>
    </row>
    <row r="9475" spans="5:10" x14ac:dyDescent="0.25">
      <c r="E9475"/>
      <c r="F9475"/>
      <c r="G9475" s="12"/>
      <c r="H9475" s="12"/>
      <c r="I9475" s="12"/>
      <c r="J9475" s="12"/>
    </row>
    <row r="9476" spans="5:10" x14ac:dyDescent="0.25">
      <c r="E9476"/>
      <c r="F9476"/>
      <c r="G9476" s="12"/>
      <c r="H9476" s="12"/>
      <c r="I9476" s="12"/>
      <c r="J9476" s="12"/>
    </row>
    <row r="9477" spans="5:10" x14ac:dyDescent="0.25">
      <c r="E9477"/>
      <c r="F9477"/>
      <c r="G9477" s="12"/>
      <c r="H9477" s="12"/>
      <c r="I9477" s="12"/>
      <c r="J9477" s="12"/>
    </row>
    <row r="9478" spans="5:10" x14ac:dyDescent="0.25">
      <c r="E9478"/>
      <c r="F9478"/>
      <c r="G9478" s="12"/>
      <c r="H9478" s="12"/>
      <c r="I9478" s="12"/>
      <c r="J9478" s="12"/>
    </row>
    <row r="9479" spans="5:10" x14ac:dyDescent="0.25">
      <c r="E9479"/>
      <c r="F9479"/>
      <c r="G9479" s="12"/>
      <c r="H9479" s="12"/>
      <c r="I9479" s="12"/>
      <c r="J9479" s="12"/>
    </row>
    <row r="9480" spans="5:10" x14ac:dyDescent="0.25">
      <c r="E9480"/>
      <c r="F9480"/>
      <c r="G9480" s="12"/>
      <c r="H9480" s="12"/>
      <c r="I9480" s="12"/>
      <c r="J9480" s="12"/>
    </row>
    <row r="9481" spans="5:10" x14ac:dyDescent="0.25">
      <c r="E9481"/>
      <c r="F9481"/>
      <c r="G9481" s="12"/>
      <c r="H9481" s="12"/>
      <c r="I9481" s="12"/>
      <c r="J9481" s="12"/>
    </row>
    <row r="9482" spans="5:10" x14ac:dyDescent="0.25">
      <c r="E9482"/>
      <c r="F9482"/>
      <c r="G9482" s="12"/>
      <c r="H9482" s="12"/>
      <c r="I9482" s="12"/>
      <c r="J9482" s="12"/>
    </row>
    <row r="9483" spans="5:10" x14ac:dyDescent="0.25">
      <c r="E9483"/>
      <c r="F9483"/>
      <c r="G9483" s="12"/>
      <c r="H9483" s="12"/>
      <c r="I9483" s="12"/>
      <c r="J9483" s="12"/>
    </row>
    <row r="9484" spans="5:10" x14ac:dyDescent="0.25">
      <c r="E9484"/>
      <c r="F9484"/>
      <c r="G9484" s="12"/>
      <c r="H9484" s="12"/>
      <c r="I9484" s="12"/>
      <c r="J9484" s="12"/>
    </row>
    <row r="9485" spans="5:10" x14ac:dyDescent="0.25">
      <c r="E9485"/>
      <c r="F9485"/>
      <c r="G9485" s="12"/>
      <c r="H9485" s="12"/>
      <c r="I9485" s="12"/>
      <c r="J9485" s="12"/>
    </row>
    <row r="9486" spans="5:10" x14ac:dyDescent="0.25">
      <c r="E9486"/>
      <c r="F9486"/>
      <c r="G9486" s="12"/>
      <c r="H9486" s="12"/>
      <c r="I9486" s="12"/>
      <c r="J9486" s="12"/>
    </row>
    <row r="9487" spans="5:10" x14ac:dyDescent="0.25">
      <c r="E9487"/>
      <c r="F9487"/>
      <c r="G9487" s="12"/>
      <c r="H9487" s="12"/>
      <c r="I9487" s="12"/>
      <c r="J9487" s="12"/>
    </row>
    <row r="9488" spans="5:10" x14ac:dyDescent="0.25">
      <c r="E9488"/>
      <c r="F9488"/>
      <c r="G9488" s="12"/>
      <c r="H9488" s="12"/>
      <c r="I9488" s="12"/>
      <c r="J9488" s="12"/>
    </row>
    <row r="9489" spans="5:10" x14ac:dyDescent="0.25">
      <c r="E9489"/>
      <c r="F9489"/>
      <c r="G9489" s="12"/>
      <c r="H9489" s="12"/>
      <c r="I9489" s="12"/>
      <c r="J9489" s="12"/>
    </row>
    <row r="9490" spans="5:10" x14ac:dyDescent="0.25">
      <c r="E9490"/>
      <c r="F9490"/>
      <c r="G9490" s="12"/>
      <c r="H9490" s="12"/>
      <c r="I9490" s="12"/>
      <c r="J9490" s="12"/>
    </row>
    <row r="9491" spans="5:10" x14ac:dyDescent="0.25">
      <c r="E9491"/>
      <c r="F9491"/>
      <c r="G9491" s="12"/>
      <c r="H9491" s="12"/>
      <c r="I9491" s="12"/>
      <c r="J9491" s="12"/>
    </row>
    <row r="9492" spans="5:10" x14ac:dyDescent="0.25">
      <c r="E9492"/>
      <c r="F9492"/>
      <c r="G9492" s="12"/>
      <c r="H9492" s="12"/>
      <c r="I9492" s="12"/>
      <c r="J9492" s="12"/>
    </row>
    <row r="9493" spans="5:10" x14ac:dyDescent="0.25">
      <c r="E9493"/>
      <c r="F9493"/>
      <c r="G9493" s="12"/>
      <c r="H9493" s="12"/>
      <c r="I9493" s="12"/>
      <c r="J9493" s="12"/>
    </row>
    <row r="9494" spans="5:10" x14ac:dyDescent="0.25">
      <c r="E9494"/>
      <c r="F9494"/>
      <c r="G9494" s="12"/>
      <c r="H9494" s="12"/>
      <c r="I9494" s="12"/>
      <c r="J9494" s="12"/>
    </row>
    <row r="9495" spans="5:10" x14ac:dyDescent="0.25">
      <c r="E9495"/>
      <c r="F9495"/>
      <c r="G9495" s="12"/>
      <c r="H9495" s="12"/>
      <c r="I9495" s="12"/>
      <c r="J9495" s="12"/>
    </row>
    <row r="9496" spans="5:10" x14ac:dyDescent="0.25">
      <c r="E9496"/>
      <c r="F9496"/>
      <c r="G9496" s="12"/>
      <c r="H9496" s="12"/>
      <c r="I9496" s="12"/>
      <c r="J9496" s="12"/>
    </row>
    <row r="9497" spans="5:10" x14ac:dyDescent="0.25">
      <c r="E9497"/>
      <c r="F9497"/>
      <c r="G9497" s="12"/>
      <c r="H9497" s="12"/>
      <c r="I9497" s="12"/>
      <c r="J9497" s="12"/>
    </row>
    <row r="9498" spans="5:10" x14ac:dyDescent="0.25">
      <c r="E9498"/>
      <c r="F9498"/>
      <c r="G9498" s="12"/>
      <c r="H9498" s="12"/>
      <c r="I9498" s="12"/>
      <c r="J9498" s="12"/>
    </row>
    <row r="9499" spans="5:10" x14ac:dyDescent="0.25">
      <c r="E9499"/>
      <c r="F9499"/>
      <c r="G9499" s="12"/>
      <c r="H9499" s="12"/>
      <c r="I9499" s="12"/>
      <c r="J9499" s="12"/>
    </row>
    <row r="9500" spans="5:10" x14ac:dyDescent="0.25">
      <c r="E9500"/>
      <c r="F9500"/>
      <c r="G9500" s="12"/>
      <c r="H9500" s="12"/>
      <c r="I9500" s="12"/>
      <c r="J9500" s="12"/>
    </row>
    <row r="9501" spans="5:10" x14ac:dyDescent="0.25">
      <c r="E9501"/>
      <c r="F9501"/>
      <c r="G9501" s="12"/>
      <c r="H9501" s="12"/>
      <c r="I9501" s="12"/>
      <c r="J9501" s="12"/>
    </row>
    <row r="9502" spans="5:10" x14ac:dyDescent="0.25">
      <c r="E9502"/>
      <c r="F9502"/>
      <c r="G9502" s="12"/>
      <c r="H9502" s="12"/>
      <c r="I9502" s="12"/>
      <c r="J9502" s="12"/>
    </row>
    <row r="9503" spans="5:10" x14ac:dyDescent="0.25">
      <c r="E9503"/>
      <c r="F9503"/>
      <c r="G9503" s="12"/>
      <c r="H9503" s="12"/>
      <c r="I9503" s="12"/>
      <c r="J9503" s="12"/>
    </row>
    <row r="9504" spans="5:10" x14ac:dyDescent="0.25">
      <c r="E9504"/>
      <c r="F9504"/>
      <c r="G9504" s="12"/>
      <c r="H9504" s="12"/>
      <c r="I9504" s="12"/>
      <c r="J9504" s="12"/>
    </row>
    <row r="9505" spans="5:10" x14ac:dyDescent="0.25">
      <c r="E9505"/>
      <c r="F9505"/>
      <c r="G9505" s="12"/>
      <c r="H9505" s="12"/>
      <c r="I9505" s="12"/>
      <c r="J9505" s="12"/>
    </row>
    <row r="9506" spans="5:10" x14ac:dyDescent="0.25">
      <c r="E9506"/>
      <c r="F9506"/>
      <c r="G9506" s="12"/>
      <c r="H9506" s="12"/>
      <c r="I9506" s="12"/>
      <c r="J9506" s="12"/>
    </row>
    <row r="9507" spans="5:10" x14ac:dyDescent="0.25">
      <c r="E9507"/>
      <c r="F9507"/>
      <c r="G9507" s="12"/>
      <c r="H9507" s="12"/>
      <c r="I9507" s="12"/>
      <c r="J9507" s="12"/>
    </row>
    <row r="9508" spans="5:10" x14ac:dyDescent="0.25">
      <c r="E9508"/>
      <c r="F9508"/>
      <c r="G9508" s="12"/>
      <c r="H9508" s="12"/>
      <c r="I9508" s="12"/>
      <c r="J9508" s="12"/>
    </row>
    <row r="9509" spans="5:10" x14ac:dyDescent="0.25">
      <c r="E9509"/>
      <c r="F9509"/>
      <c r="G9509" s="12"/>
      <c r="H9509" s="12"/>
      <c r="I9509" s="12"/>
      <c r="J9509" s="12"/>
    </row>
    <row r="9510" spans="5:10" x14ac:dyDescent="0.25">
      <c r="E9510"/>
      <c r="F9510"/>
      <c r="G9510" s="12"/>
      <c r="H9510" s="12"/>
      <c r="I9510" s="12"/>
      <c r="J9510" s="12"/>
    </row>
    <row r="9511" spans="5:10" x14ac:dyDescent="0.25">
      <c r="E9511"/>
      <c r="F9511"/>
      <c r="G9511" s="12"/>
      <c r="H9511" s="12"/>
      <c r="I9511" s="12"/>
      <c r="J9511" s="12"/>
    </row>
    <row r="9512" spans="5:10" x14ac:dyDescent="0.25">
      <c r="E9512"/>
      <c r="F9512"/>
      <c r="G9512" s="12"/>
      <c r="H9512" s="12"/>
      <c r="I9512" s="12"/>
      <c r="J9512" s="12"/>
    </row>
    <row r="9513" spans="5:10" x14ac:dyDescent="0.25">
      <c r="E9513"/>
      <c r="F9513"/>
      <c r="G9513" s="12"/>
      <c r="H9513" s="12"/>
      <c r="I9513" s="12"/>
      <c r="J9513" s="12"/>
    </row>
    <row r="9514" spans="5:10" x14ac:dyDescent="0.25">
      <c r="E9514"/>
      <c r="F9514"/>
      <c r="G9514" s="12"/>
      <c r="H9514" s="12"/>
      <c r="I9514" s="12"/>
      <c r="J9514" s="12"/>
    </row>
    <row r="9515" spans="5:10" x14ac:dyDescent="0.25">
      <c r="E9515"/>
      <c r="F9515"/>
      <c r="G9515" s="12"/>
      <c r="H9515" s="12"/>
      <c r="I9515" s="12"/>
      <c r="J9515" s="12"/>
    </row>
    <row r="9516" spans="5:10" x14ac:dyDescent="0.25">
      <c r="E9516"/>
      <c r="F9516"/>
      <c r="G9516" s="12"/>
      <c r="H9516" s="12"/>
      <c r="I9516" s="12"/>
      <c r="J9516" s="12"/>
    </row>
    <row r="9517" spans="5:10" x14ac:dyDescent="0.25">
      <c r="E9517"/>
      <c r="F9517"/>
      <c r="G9517" s="12"/>
      <c r="H9517" s="12"/>
      <c r="I9517" s="12"/>
      <c r="J9517" s="12"/>
    </row>
    <row r="9518" spans="5:10" x14ac:dyDescent="0.25">
      <c r="E9518"/>
      <c r="F9518"/>
      <c r="G9518" s="12"/>
      <c r="H9518" s="12"/>
      <c r="I9518" s="12"/>
      <c r="J9518" s="12"/>
    </row>
    <row r="9519" spans="5:10" x14ac:dyDescent="0.25">
      <c r="E9519"/>
      <c r="F9519"/>
      <c r="G9519" s="12"/>
      <c r="H9519" s="12"/>
      <c r="I9519" s="12"/>
      <c r="J9519" s="12"/>
    </row>
    <row r="9520" spans="5:10" x14ac:dyDescent="0.25">
      <c r="E9520"/>
      <c r="F9520"/>
      <c r="G9520" s="12"/>
      <c r="H9520" s="12"/>
      <c r="I9520" s="12"/>
      <c r="J9520" s="12"/>
    </row>
    <row r="9521" spans="5:10" x14ac:dyDescent="0.25">
      <c r="E9521"/>
      <c r="F9521"/>
      <c r="G9521" s="12"/>
      <c r="H9521" s="12"/>
      <c r="I9521" s="12"/>
      <c r="J9521" s="12"/>
    </row>
    <row r="9522" spans="5:10" x14ac:dyDescent="0.25">
      <c r="E9522"/>
      <c r="F9522"/>
      <c r="G9522" s="12"/>
      <c r="H9522" s="12"/>
      <c r="I9522" s="12"/>
      <c r="J9522" s="12"/>
    </row>
    <row r="9523" spans="5:10" x14ac:dyDescent="0.25">
      <c r="E9523"/>
      <c r="F9523"/>
      <c r="G9523" s="12"/>
      <c r="H9523" s="12"/>
      <c r="I9523" s="12"/>
      <c r="J9523" s="12"/>
    </row>
    <row r="9524" spans="5:10" x14ac:dyDescent="0.25">
      <c r="E9524"/>
      <c r="F9524"/>
      <c r="G9524" s="12"/>
      <c r="H9524" s="12"/>
      <c r="I9524" s="12"/>
      <c r="J9524" s="12"/>
    </row>
    <row r="9525" spans="5:10" x14ac:dyDescent="0.25">
      <c r="E9525"/>
      <c r="F9525"/>
      <c r="G9525" s="12"/>
      <c r="H9525" s="12"/>
      <c r="I9525" s="12"/>
      <c r="J9525" s="12"/>
    </row>
    <row r="9526" spans="5:10" x14ac:dyDescent="0.25">
      <c r="E9526"/>
      <c r="F9526"/>
      <c r="G9526" s="12"/>
      <c r="H9526" s="12"/>
      <c r="I9526" s="12"/>
      <c r="J9526" s="12"/>
    </row>
    <row r="9527" spans="5:10" x14ac:dyDescent="0.25">
      <c r="E9527"/>
      <c r="F9527"/>
      <c r="G9527" s="12"/>
      <c r="H9527" s="12"/>
      <c r="I9527" s="12"/>
      <c r="J9527" s="12"/>
    </row>
    <row r="9528" spans="5:10" x14ac:dyDescent="0.25">
      <c r="E9528"/>
      <c r="F9528"/>
      <c r="G9528" s="12"/>
      <c r="H9528" s="12"/>
      <c r="I9528" s="12"/>
      <c r="J9528" s="12"/>
    </row>
    <row r="9529" spans="5:10" x14ac:dyDescent="0.25">
      <c r="E9529"/>
      <c r="F9529"/>
      <c r="G9529" s="12"/>
      <c r="H9529" s="12"/>
      <c r="I9529" s="12"/>
      <c r="J9529" s="12"/>
    </row>
    <row r="9530" spans="5:10" x14ac:dyDescent="0.25">
      <c r="E9530"/>
      <c r="F9530"/>
      <c r="G9530" s="12"/>
      <c r="H9530" s="12"/>
      <c r="I9530" s="12"/>
      <c r="J9530" s="12"/>
    </row>
    <row r="9531" spans="5:10" x14ac:dyDescent="0.25">
      <c r="E9531"/>
      <c r="F9531"/>
      <c r="G9531" s="12"/>
      <c r="H9531" s="12"/>
      <c r="I9531" s="12"/>
      <c r="J9531" s="12"/>
    </row>
    <row r="9532" spans="5:10" x14ac:dyDescent="0.25">
      <c r="E9532"/>
      <c r="F9532"/>
      <c r="G9532" s="12"/>
      <c r="H9532" s="12"/>
      <c r="I9532" s="12"/>
      <c r="J9532" s="12"/>
    </row>
    <row r="9533" spans="5:10" x14ac:dyDescent="0.25">
      <c r="E9533"/>
      <c r="F9533"/>
      <c r="G9533" s="12"/>
      <c r="H9533" s="12"/>
      <c r="I9533" s="12"/>
      <c r="J9533" s="12"/>
    </row>
    <row r="9534" spans="5:10" x14ac:dyDescent="0.25">
      <c r="E9534"/>
      <c r="F9534"/>
      <c r="G9534" s="12"/>
      <c r="H9534" s="12"/>
      <c r="I9534" s="12"/>
      <c r="J9534" s="12"/>
    </row>
    <row r="9535" spans="5:10" x14ac:dyDescent="0.25">
      <c r="E9535"/>
      <c r="F9535"/>
      <c r="G9535" s="12"/>
      <c r="H9535" s="12"/>
      <c r="I9535" s="12"/>
      <c r="J9535" s="12"/>
    </row>
    <row r="9536" spans="5:10" x14ac:dyDescent="0.25">
      <c r="E9536"/>
      <c r="F9536"/>
      <c r="G9536" s="12"/>
      <c r="H9536" s="12"/>
      <c r="I9536" s="12"/>
      <c r="J9536" s="12"/>
    </row>
    <row r="9537" spans="5:10" x14ac:dyDescent="0.25">
      <c r="E9537"/>
      <c r="F9537"/>
      <c r="G9537" s="12"/>
      <c r="H9537" s="12"/>
      <c r="I9537" s="12"/>
      <c r="J9537" s="12"/>
    </row>
    <row r="9538" spans="5:10" x14ac:dyDescent="0.25">
      <c r="E9538"/>
      <c r="F9538"/>
      <c r="G9538" s="12"/>
      <c r="H9538" s="12"/>
      <c r="I9538" s="12"/>
      <c r="J9538" s="12"/>
    </row>
    <row r="9539" spans="5:10" x14ac:dyDescent="0.25">
      <c r="E9539"/>
      <c r="F9539"/>
      <c r="G9539" s="12"/>
      <c r="H9539" s="12"/>
      <c r="I9539" s="12"/>
      <c r="J9539" s="12"/>
    </row>
    <row r="9540" spans="5:10" x14ac:dyDescent="0.25">
      <c r="E9540"/>
      <c r="F9540"/>
      <c r="G9540" s="12"/>
      <c r="H9540" s="12"/>
      <c r="I9540" s="12"/>
      <c r="J9540" s="12"/>
    </row>
    <row r="9541" spans="5:10" x14ac:dyDescent="0.25">
      <c r="E9541"/>
      <c r="F9541"/>
      <c r="G9541" s="12"/>
      <c r="H9541" s="12"/>
      <c r="I9541" s="12"/>
      <c r="J9541" s="12"/>
    </row>
    <row r="9542" spans="5:10" x14ac:dyDescent="0.25">
      <c r="E9542"/>
      <c r="F9542"/>
      <c r="G9542" s="12"/>
      <c r="H9542" s="12"/>
      <c r="I9542" s="12"/>
      <c r="J9542" s="12"/>
    </row>
    <row r="9543" spans="5:10" x14ac:dyDescent="0.25">
      <c r="E9543"/>
      <c r="F9543"/>
      <c r="G9543" s="12"/>
      <c r="H9543" s="12"/>
      <c r="I9543" s="12"/>
      <c r="J9543" s="12"/>
    </row>
    <row r="9544" spans="5:10" x14ac:dyDescent="0.25">
      <c r="E9544"/>
      <c r="F9544"/>
      <c r="G9544" s="12"/>
      <c r="H9544" s="12"/>
      <c r="I9544" s="12"/>
      <c r="J9544" s="12"/>
    </row>
    <row r="9545" spans="5:10" x14ac:dyDescent="0.25">
      <c r="E9545"/>
      <c r="F9545"/>
      <c r="G9545" s="12"/>
      <c r="H9545" s="12"/>
      <c r="I9545" s="12"/>
      <c r="J9545" s="12"/>
    </row>
    <row r="9546" spans="5:10" x14ac:dyDescent="0.25">
      <c r="E9546"/>
      <c r="F9546"/>
      <c r="G9546" s="12"/>
      <c r="H9546" s="12"/>
      <c r="I9546" s="12"/>
      <c r="J9546" s="12"/>
    </row>
    <row r="9547" spans="5:10" x14ac:dyDescent="0.25">
      <c r="E9547"/>
      <c r="F9547"/>
      <c r="G9547" s="12"/>
      <c r="H9547" s="12"/>
      <c r="I9547" s="12"/>
      <c r="J9547" s="12"/>
    </row>
    <row r="9548" spans="5:10" x14ac:dyDescent="0.25">
      <c r="E9548"/>
      <c r="F9548"/>
      <c r="G9548" s="12"/>
      <c r="H9548" s="12"/>
      <c r="I9548" s="12"/>
      <c r="J9548" s="12"/>
    </row>
    <row r="9549" spans="5:10" x14ac:dyDescent="0.25">
      <c r="E9549"/>
      <c r="F9549"/>
      <c r="G9549" s="12"/>
      <c r="H9549" s="12"/>
      <c r="I9549" s="12"/>
      <c r="J9549" s="12"/>
    </row>
    <row r="9550" spans="5:10" x14ac:dyDescent="0.25">
      <c r="E9550"/>
      <c r="F9550"/>
      <c r="G9550" s="12"/>
      <c r="H9550" s="12"/>
      <c r="I9550" s="12"/>
      <c r="J9550" s="12"/>
    </row>
    <row r="9551" spans="5:10" x14ac:dyDescent="0.25">
      <c r="E9551"/>
      <c r="F9551"/>
      <c r="G9551" s="12"/>
      <c r="H9551" s="12"/>
      <c r="I9551" s="12"/>
      <c r="J9551" s="12"/>
    </row>
    <row r="9552" spans="5:10" x14ac:dyDescent="0.25">
      <c r="E9552"/>
      <c r="F9552"/>
      <c r="G9552" s="12"/>
      <c r="H9552" s="12"/>
      <c r="I9552" s="12"/>
      <c r="J9552" s="12"/>
    </row>
    <row r="9553" spans="5:10" x14ac:dyDescent="0.25">
      <c r="E9553"/>
      <c r="F9553"/>
      <c r="G9553" s="12"/>
      <c r="H9553" s="12"/>
      <c r="I9553" s="12"/>
      <c r="J9553" s="12"/>
    </row>
    <row r="9554" spans="5:10" x14ac:dyDescent="0.25">
      <c r="E9554"/>
      <c r="F9554"/>
      <c r="G9554" s="12"/>
      <c r="H9554" s="12"/>
      <c r="I9554" s="12"/>
      <c r="J9554" s="12"/>
    </row>
    <row r="9555" spans="5:10" x14ac:dyDescent="0.25">
      <c r="E9555"/>
      <c r="F9555"/>
      <c r="G9555" s="12"/>
      <c r="H9555" s="12"/>
      <c r="I9555" s="12"/>
      <c r="J9555" s="12"/>
    </row>
    <row r="9556" spans="5:10" x14ac:dyDescent="0.25">
      <c r="E9556"/>
      <c r="F9556"/>
      <c r="G9556" s="12"/>
      <c r="H9556" s="12"/>
      <c r="I9556" s="12"/>
      <c r="J9556" s="12"/>
    </row>
    <row r="9557" spans="5:10" x14ac:dyDescent="0.25">
      <c r="E9557"/>
      <c r="F9557"/>
      <c r="G9557" s="12"/>
      <c r="H9557" s="12"/>
      <c r="I9557" s="12"/>
      <c r="J9557" s="12"/>
    </row>
    <row r="9558" spans="5:10" x14ac:dyDescent="0.25">
      <c r="E9558"/>
      <c r="F9558"/>
      <c r="G9558" s="12"/>
      <c r="H9558" s="12"/>
      <c r="I9558" s="12"/>
      <c r="J9558" s="12"/>
    </row>
    <row r="9559" spans="5:10" x14ac:dyDescent="0.25">
      <c r="E9559"/>
      <c r="F9559"/>
      <c r="G9559" s="12"/>
      <c r="H9559" s="12"/>
      <c r="I9559" s="12"/>
      <c r="J9559" s="12"/>
    </row>
    <row r="9560" spans="5:10" x14ac:dyDescent="0.25">
      <c r="E9560"/>
      <c r="F9560"/>
      <c r="G9560" s="12"/>
      <c r="H9560" s="12"/>
      <c r="I9560" s="12"/>
      <c r="J9560" s="12"/>
    </row>
    <row r="9561" spans="5:10" x14ac:dyDescent="0.25">
      <c r="E9561"/>
      <c r="F9561"/>
      <c r="G9561" s="12"/>
      <c r="H9561" s="12"/>
      <c r="I9561" s="12"/>
      <c r="J9561" s="12"/>
    </row>
    <row r="9562" spans="5:10" x14ac:dyDescent="0.25">
      <c r="E9562"/>
      <c r="F9562"/>
      <c r="G9562" s="12"/>
      <c r="H9562" s="12"/>
      <c r="I9562" s="12"/>
      <c r="J9562" s="12"/>
    </row>
    <row r="9563" spans="5:10" x14ac:dyDescent="0.25">
      <c r="E9563"/>
      <c r="F9563"/>
      <c r="G9563" s="12"/>
      <c r="H9563" s="12"/>
      <c r="I9563" s="12"/>
      <c r="J9563" s="12"/>
    </row>
    <row r="9564" spans="5:10" x14ac:dyDescent="0.25">
      <c r="E9564"/>
      <c r="F9564"/>
      <c r="G9564" s="12"/>
      <c r="H9564" s="12"/>
      <c r="I9564" s="12"/>
      <c r="J9564" s="12"/>
    </row>
    <row r="9565" spans="5:10" x14ac:dyDescent="0.25">
      <c r="E9565"/>
      <c r="F9565"/>
      <c r="G9565" s="12"/>
      <c r="H9565" s="12"/>
      <c r="I9565" s="12"/>
      <c r="J9565" s="12"/>
    </row>
    <row r="9566" spans="5:10" x14ac:dyDescent="0.25">
      <c r="E9566"/>
      <c r="F9566"/>
      <c r="G9566" s="12"/>
      <c r="H9566" s="12"/>
      <c r="I9566" s="12"/>
      <c r="J9566" s="12"/>
    </row>
    <row r="9567" spans="5:10" x14ac:dyDescent="0.25">
      <c r="E9567"/>
      <c r="F9567"/>
      <c r="G9567" s="12"/>
      <c r="H9567" s="12"/>
      <c r="I9567" s="12"/>
      <c r="J9567" s="12"/>
    </row>
    <row r="9568" spans="5:10" x14ac:dyDescent="0.25">
      <c r="E9568"/>
      <c r="F9568"/>
      <c r="G9568" s="12"/>
      <c r="H9568" s="12"/>
      <c r="I9568" s="12"/>
      <c r="J9568" s="12"/>
    </row>
    <row r="9569" spans="5:10" x14ac:dyDescent="0.25">
      <c r="E9569"/>
      <c r="F9569"/>
      <c r="G9569" s="12"/>
      <c r="H9569" s="12"/>
      <c r="I9569" s="12"/>
      <c r="J9569" s="12"/>
    </row>
    <row r="9570" spans="5:10" x14ac:dyDescent="0.25">
      <c r="E9570"/>
      <c r="F9570"/>
      <c r="G9570" s="12"/>
      <c r="H9570" s="12"/>
      <c r="I9570" s="12"/>
      <c r="J9570" s="12"/>
    </row>
    <row r="9571" spans="5:10" x14ac:dyDescent="0.25">
      <c r="E9571"/>
      <c r="F9571"/>
      <c r="G9571" s="12"/>
      <c r="H9571" s="12"/>
      <c r="I9571" s="12"/>
      <c r="J9571" s="12"/>
    </row>
    <row r="9572" spans="5:10" x14ac:dyDescent="0.25">
      <c r="E9572"/>
      <c r="F9572"/>
      <c r="G9572" s="12"/>
      <c r="H9572" s="12"/>
      <c r="I9572" s="12"/>
      <c r="J9572" s="12"/>
    </row>
    <row r="9573" spans="5:10" x14ac:dyDescent="0.25">
      <c r="E9573"/>
      <c r="F9573"/>
      <c r="G9573" s="12"/>
      <c r="H9573" s="12"/>
      <c r="I9573" s="12"/>
      <c r="J9573" s="12"/>
    </row>
    <row r="9574" spans="5:10" x14ac:dyDescent="0.25">
      <c r="E9574"/>
      <c r="F9574"/>
      <c r="G9574" s="12"/>
      <c r="H9574" s="12"/>
      <c r="I9574" s="12"/>
      <c r="J9574" s="12"/>
    </row>
    <row r="9575" spans="5:10" x14ac:dyDescent="0.25">
      <c r="E9575"/>
      <c r="F9575"/>
      <c r="G9575" s="12"/>
      <c r="H9575" s="12"/>
      <c r="I9575" s="12"/>
      <c r="J9575" s="12"/>
    </row>
    <row r="9576" spans="5:10" x14ac:dyDescent="0.25">
      <c r="E9576"/>
      <c r="F9576"/>
      <c r="G9576" s="12"/>
      <c r="H9576" s="12"/>
      <c r="I9576" s="12"/>
      <c r="J9576" s="12"/>
    </row>
    <row r="9577" spans="5:10" x14ac:dyDescent="0.25">
      <c r="E9577"/>
      <c r="F9577"/>
      <c r="G9577" s="12"/>
      <c r="H9577" s="12"/>
      <c r="I9577" s="12"/>
      <c r="J9577" s="12"/>
    </row>
    <row r="9578" spans="5:10" x14ac:dyDescent="0.25">
      <c r="E9578"/>
      <c r="F9578"/>
      <c r="G9578" s="12"/>
      <c r="H9578" s="12"/>
      <c r="I9578" s="12"/>
      <c r="J9578" s="12"/>
    </row>
    <row r="9579" spans="5:10" x14ac:dyDescent="0.25">
      <c r="E9579"/>
      <c r="F9579"/>
      <c r="G9579" s="12"/>
      <c r="H9579" s="12"/>
      <c r="I9579" s="12"/>
      <c r="J9579" s="12"/>
    </row>
    <row r="9580" spans="5:10" x14ac:dyDescent="0.25">
      <c r="E9580"/>
      <c r="F9580"/>
      <c r="G9580" s="12"/>
      <c r="H9580" s="12"/>
      <c r="I9580" s="12"/>
      <c r="J9580" s="12"/>
    </row>
    <row r="9581" spans="5:10" x14ac:dyDescent="0.25">
      <c r="E9581"/>
      <c r="F9581"/>
      <c r="G9581" s="12"/>
      <c r="H9581" s="12"/>
      <c r="I9581" s="12"/>
      <c r="J9581" s="12"/>
    </row>
    <row r="9582" spans="5:10" x14ac:dyDescent="0.25">
      <c r="E9582"/>
      <c r="F9582"/>
      <c r="G9582" s="12"/>
      <c r="H9582" s="12"/>
      <c r="I9582" s="12"/>
      <c r="J9582" s="12"/>
    </row>
    <row r="9583" spans="5:10" x14ac:dyDescent="0.25">
      <c r="E9583"/>
      <c r="F9583"/>
      <c r="G9583" s="12"/>
      <c r="H9583" s="12"/>
      <c r="I9583" s="12"/>
      <c r="J9583" s="12"/>
    </row>
    <row r="9584" spans="5:10" x14ac:dyDescent="0.25">
      <c r="E9584"/>
      <c r="F9584"/>
      <c r="G9584" s="12"/>
      <c r="H9584" s="12"/>
      <c r="I9584" s="12"/>
      <c r="J9584" s="12"/>
    </row>
    <row r="9585" spans="5:10" x14ac:dyDescent="0.25">
      <c r="E9585"/>
      <c r="F9585"/>
      <c r="G9585" s="12"/>
      <c r="H9585" s="12"/>
      <c r="I9585" s="12"/>
      <c r="J9585" s="12"/>
    </row>
    <row r="9586" spans="5:10" x14ac:dyDescent="0.25">
      <c r="E9586"/>
      <c r="F9586"/>
      <c r="G9586" s="12"/>
      <c r="H9586" s="12"/>
      <c r="I9586" s="12"/>
      <c r="J9586" s="12"/>
    </row>
    <row r="9587" spans="5:10" x14ac:dyDescent="0.25">
      <c r="E9587"/>
      <c r="F9587"/>
      <c r="G9587" s="12"/>
      <c r="H9587" s="12"/>
      <c r="I9587" s="12"/>
      <c r="J9587" s="12"/>
    </row>
    <row r="9588" spans="5:10" x14ac:dyDescent="0.25">
      <c r="E9588"/>
      <c r="F9588"/>
      <c r="G9588" s="12"/>
      <c r="H9588" s="12"/>
      <c r="I9588" s="12"/>
      <c r="J9588" s="12"/>
    </row>
    <row r="9589" spans="5:10" x14ac:dyDescent="0.25">
      <c r="E9589"/>
      <c r="F9589"/>
      <c r="G9589" s="12"/>
      <c r="H9589" s="12"/>
      <c r="I9589" s="12"/>
      <c r="J9589" s="12"/>
    </row>
    <row r="9590" spans="5:10" x14ac:dyDescent="0.25">
      <c r="E9590"/>
      <c r="F9590"/>
      <c r="G9590" s="12"/>
      <c r="H9590" s="12"/>
      <c r="I9590" s="12"/>
      <c r="J9590" s="12"/>
    </row>
    <row r="9591" spans="5:10" x14ac:dyDescent="0.25">
      <c r="E9591"/>
      <c r="F9591"/>
      <c r="G9591" s="12"/>
      <c r="H9591" s="12"/>
      <c r="I9591" s="12"/>
      <c r="J9591" s="12"/>
    </row>
    <row r="9592" spans="5:10" x14ac:dyDescent="0.25">
      <c r="E9592"/>
      <c r="F9592"/>
      <c r="G9592" s="12"/>
      <c r="H9592" s="12"/>
      <c r="I9592" s="12"/>
      <c r="J9592" s="12"/>
    </row>
    <row r="9593" spans="5:10" x14ac:dyDescent="0.25">
      <c r="E9593"/>
      <c r="F9593"/>
      <c r="G9593" s="12"/>
      <c r="H9593" s="12"/>
      <c r="I9593" s="12"/>
      <c r="J9593" s="12"/>
    </row>
    <row r="9594" spans="5:10" x14ac:dyDescent="0.25">
      <c r="E9594"/>
      <c r="F9594"/>
      <c r="G9594" s="12"/>
      <c r="H9594" s="12"/>
      <c r="I9594" s="12"/>
      <c r="J9594" s="12"/>
    </row>
    <row r="9595" spans="5:10" x14ac:dyDescent="0.25">
      <c r="E9595"/>
      <c r="F9595"/>
      <c r="G9595" s="12"/>
      <c r="H9595" s="12"/>
      <c r="I9595" s="12"/>
      <c r="J9595" s="12"/>
    </row>
    <row r="9596" spans="5:10" x14ac:dyDescent="0.25">
      <c r="E9596"/>
      <c r="F9596"/>
      <c r="G9596" s="12"/>
      <c r="H9596" s="12"/>
      <c r="I9596" s="12"/>
      <c r="J9596" s="12"/>
    </row>
    <row r="9597" spans="5:10" x14ac:dyDescent="0.25">
      <c r="E9597"/>
      <c r="F9597"/>
      <c r="G9597" s="12"/>
      <c r="H9597" s="12"/>
      <c r="I9597" s="12"/>
      <c r="J9597" s="12"/>
    </row>
    <row r="9598" spans="5:10" x14ac:dyDescent="0.25">
      <c r="E9598"/>
      <c r="F9598"/>
      <c r="G9598" s="12"/>
      <c r="H9598" s="12"/>
      <c r="I9598" s="12"/>
      <c r="J9598" s="12"/>
    </row>
    <row r="9599" spans="5:10" x14ac:dyDescent="0.25">
      <c r="E9599"/>
      <c r="F9599"/>
      <c r="G9599" s="12"/>
      <c r="H9599" s="12"/>
      <c r="I9599" s="12"/>
      <c r="J9599" s="12"/>
    </row>
    <row r="9600" spans="5:10" x14ac:dyDescent="0.25">
      <c r="E9600"/>
      <c r="F9600"/>
      <c r="G9600" s="12"/>
      <c r="H9600" s="12"/>
      <c r="I9600" s="12"/>
      <c r="J9600" s="12"/>
    </row>
    <row r="9601" spans="5:10" x14ac:dyDescent="0.25">
      <c r="E9601"/>
      <c r="F9601"/>
      <c r="G9601" s="12"/>
      <c r="H9601" s="12"/>
      <c r="I9601" s="12"/>
      <c r="J9601" s="12"/>
    </row>
    <row r="9602" spans="5:10" x14ac:dyDescent="0.25">
      <c r="E9602"/>
      <c r="F9602"/>
      <c r="G9602" s="12"/>
      <c r="H9602" s="12"/>
      <c r="I9602" s="12"/>
      <c r="J9602" s="12"/>
    </row>
    <row r="9603" spans="5:10" x14ac:dyDescent="0.25">
      <c r="E9603"/>
      <c r="F9603"/>
      <c r="G9603" s="12"/>
      <c r="H9603" s="12"/>
      <c r="I9603" s="12"/>
      <c r="J9603" s="12"/>
    </row>
    <row r="9604" spans="5:10" x14ac:dyDescent="0.25">
      <c r="E9604"/>
      <c r="F9604"/>
      <c r="G9604" s="12"/>
      <c r="H9604" s="12"/>
      <c r="I9604" s="12"/>
      <c r="J9604" s="12"/>
    </row>
    <row r="9605" spans="5:10" x14ac:dyDescent="0.25">
      <c r="E9605"/>
      <c r="F9605"/>
      <c r="G9605" s="12"/>
      <c r="H9605" s="12"/>
      <c r="I9605" s="12"/>
      <c r="J9605" s="12"/>
    </row>
    <row r="9606" spans="5:10" x14ac:dyDescent="0.25">
      <c r="E9606"/>
      <c r="F9606"/>
      <c r="G9606" s="12"/>
      <c r="H9606" s="12"/>
      <c r="I9606" s="12"/>
      <c r="J9606" s="12"/>
    </row>
    <row r="9607" spans="5:10" x14ac:dyDescent="0.25">
      <c r="E9607"/>
      <c r="F9607"/>
      <c r="G9607" s="12"/>
      <c r="H9607" s="12"/>
      <c r="I9607" s="12"/>
      <c r="J9607" s="12"/>
    </row>
    <row r="9608" spans="5:10" x14ac:dyDescent="0.25">
      <c r="E9608"/>
      <c r="F9608"/>
      <c r="G9608" s="12"/>
      <c r="H9608" s="12"/>
      <c r="I9608" s="12"/>
      <c r="J9608" s="12"/>
    </row>
    <row r="9609" spans="5:10" x14ac:dyDescent="0.25">
      <c r="E9609"/>
      <c r="F9609"/>
      <c r="G9609" s="12"/>
      <c r="H9609" s="12"/>
      <c r="I9609" s="12"/>
      <c r="J9609" s="12"/>
    </row>
    <row r="9610" spans="5:10" x14ac:dyDescent="0.25">
      <c r="E9610"/>
      <c r="F9610"/>
      <c r="G9610" s="12"/>
      <c r="H9610" s="12"/>
      <c r="I9610" s="12"/>
      <c r="J9610" s="12"/>
    </row>
    <row r="9611" spans="5:10" x14ac:dyDescent="0.25">
      <c r="E9611"/>
      <c r="F9611"/>
      <c r="G9611" s="12"/>
      <c r="H9611" s="12"/>
      <c r="I9611" s="12"/>
      <c r="J9611" s="12"/>
    </row>
    <row r="9612" spans="5:10" x14ac:dyDescent="0.25">
      <c r="E9612"/>
      <c r="F9612"/>
      <c r="G9612" s="12"/>
      <c r="H9612" s="12"/>
      <c r="I9612" s="12"/>
      <c r="J9612" s="12"/>
    </row>
    <row r="9613" spans="5:10" x14ac:dyDescent="0.25">
      <c r="E9613"/>
      <c r="F9613"/>
      <c r="G9613" s="12"/>
      <c r="H9613" s="12"/>
      <c r="I9613" s="12"/>
      <c r="J9613" s="12"/>
    </row>
    <row r="9614" spans="5:10" x14ac:dyDescent="0.25">
      <c r="E9614"/>
      <c r="F9614"/>
      <c r="G9614" s="12"/>
      <c r="H9614" s="12"/>
      <c r="I9614" s="12"/>
      <c r="J9614" s="12"/>
    </row>
    <row r="9615" spans="5:10" x14ac:dyDescent="0.25">
      <c r="E9615"/>
      <c r="F9615"/>
      <c r="G9615" s="12"/>
      <c r="H9615" s="12"/>
      <c r="I9615" s="12"/>
      <c r="J9615" s="12"/>
    </row>
    <row r="9616" spans="5:10" x14ac:dyDescent="0.25">
      <c r="E9616"/>
      <c r="F9616"/>
      <c r="G9616" s="12"/>
      <c r="H9616" s="12"/>
      <c r="I9616" s="12"/>
      <c r="J9616" s="12"/>
    </row>
    <row r="9617" spans="5:10" x14ac:dyDescent="0.25">
      <c r="E9617"/>
      <c r="F9617"/>
      <c r="G9617" s="12"/>
      <c r="H9617" s="12"/>
      <c r="I9617" s="12"/>
      <c r="J9617" s="12"/>
    </row>
    <row r="9618" spans="5:10" x14ac:dyDescent="0.25">
      <c r="E9618"/>
      <c r="F9618"/>
      <c r="G9618" s="12"/>
      <c r="H9618" s="12"/>
      <c r="I9618" s="12"/>
      <c r="J9618" s="12"/>
    </row>
    <row r="9619" spans="5:10" x14ac:dyDescent="0.25">
      <c r="E9619"/>
      <c r="F9619"/>
      <c r="G9619" s="12"/>
      <c r="H9619" s="12"/>
      <c r="I9619" s="12"/>
      <c r="J9619" s="12"/>
    </row>
    <row r="9620" spans="5:10" x14ac:dyDescent="0.25">
      <c r="E9620"/>
      <c r="F9620"/>
      <c r="G9620" s="12"/>
      <c r="H9620" s="12"/>
      <c r="I9620" s="12"/>
      <c r="J9620" s="12"/>
    </row>
    <row r="9621" spans="5:10" x14ac:dyDescent="0.25">
      <c r="E9621"/>
      <c r="F9621"/>
      <c r="G9621" s="12"/>
      <c r="H9621" s="12"/>
      <c r="I9621" s="12"/>
      <c r="J9621" s="12"/>
    </row>
    <row r="9622" spans="5:10" x14ac:dyDescent="0.25">
      <c r="E9622"/>
      <c r="F9622"/>
      <c r="G9622" s="12"/>
      <c r="H9622" s="12"/>
      <c r="I9622" s="12"/>
      <c r="J9622" s="12"/>
    </row>
    <row r="9623" spans="5:10" x14ac:dyDescent="0.25">
      <c r="E9623"/>
      <c r="F9623"/>
      <c r="G9623" s="12"/>
      <c r="H9623" s="12"/>
      <c r="I9623" s="12"/>
      <c r="J9623" s="12"/>
    </row>
    <row r="9624" spans="5:10" x14ac:dyDescent="0.25">
      <c r="E9624"/>
      <c r="F9624"/>
      <c r="G9624" s="12"/>
      <c r="H9624" s="12"/>
      <c r="I9624" s="12"/>
      <c r="J9624" s="12"/>
    </row>
    <row r="9625" spans="5:10" x14ac:dyDescent="0.25">
      <c r="E9625"/>
      <c r="F9625"/>
      <c r="G9625" s="12"/>
      <c r="H9625" s="12"/>
      <c r="I9625" s="12"/>
      <c r="J9625" s="12"/>
    </row>
    <row r="9626" spans="5:10" x14ac:dyDescent="0.25">
      <c r="E9626"/>
      <c r="F9626"/>
      <c r="G9626" s="12"/>
      <c r="H9626" s="12"/>
      <c r="I9626" s="12"/>
      <c r="J9626" s="12"/>
    </row>
    <row r="9627" spans="5:10" x14ac:dyDescent="0.25">
      <c r="E9627"/>
      <c r="F9627"/>
      <c r="G9627" s="12"/>
      <c r="H9627" s="12"/>
      <c r="I9627" s="12"/>
      <c r="J9627" s="12"/>
    </row>
    <row r="9628" spans="5:10" x14ac:dyDescent="0.25">
      <c r="E9628"/>
      <c r="F9628"/>
      <c r="G9628" s="12"/>
      <c r="H9628" s="12"/>
      <c r="I9628" s="12"/>
      <c r="J9628" s="12"/>
    </row>
    <row r="9629" spans="5:10" x14ac:dyDescent="0.25">
      <c r="E9629"/>
      <c r="F9629"/>
      <c r="G9629" s="12"/>
      <c r="H9629" s="12"/>
      <c r="I9629" s="12"/>
      <c r="J9629" s="12"/>
    </row>
    <row r="9630" spans="5:10" x14ac:dyDescent="0.25">
      <c r="E9630"/>
      <c r="F9630"/>
      <c r="G9630" s="12"/>
      <c r="H9630" s="12"/>
      <c r="I9630" s="12"/>
      <c r="J9630" s="12"/>
    </row>
    <row r="9631" spans="5:10" x14ac:dyDescent="0.25">
      <c r="E9631"/>
      <c r="F9631"/>
      <c r="G9631" s="12"/>
      <c r="H9631" s="12"/>
      <c r="I9631" s="12"/>
      <c r="J9631" s="12"/>
    </row>
    <row r="9632" spans="5:10" x14ac:dyDescent="0.25">
      <c r="E9632"/>
      <c r="F9632"/>
      <c r="G9632" s="12"/>
      <c r="H9632" s="12"/>
      <c r="I9632" s="12"/>
      <c r="J9632" s="12"/>
    </row>
    <row r="9633" spans="5:10" x14ac:dyDescent="0.25">
      <c r="E9633"/>
      <c r="F9633"/>
      <c r="G9633" s="12"/>
      <c r="H9633" s="12"/>
      <c r="I9633" s="12"/>
      <c r="J9633" s="12"/>
    </row>
    <row r="9634" spans="5:10" x14ac:dyDescent="0.25">
      <c r="E9634"/>
      <c r="F9634"/>
      <c r="G9634" s="12"/>
      <c r="H9634" s="12"/>
      <c r="I9634" s="12"/>
      <c r="J9634" s="12"/>
    </row>
    <row r="9635" spans="5:10" x14ac:dyDescent="0.25">
      <c r="E9635"/>
      <c r="F9635"/>
      <c r="G9635" s="12"/>
      <c r="H9635" s="12"/>
      <c r="I9635" s="12"/>
      <c r="J9635" s="12"/>
    </row>
    <row r="9636" spans="5:10" x14ac:dyDescent="0.25">
      <c r="E9636"/>
      <c r="F9636"/>
      <c r="G9636" s="12"/>
      <c r="H9636" s="12"/>
      <c r="I9636" s="12"/>
      <c r="J9636" s="12"/>
    </row>
    <row r="9637" spans="5:10" x14ac:dyDescent="0.25">
      <c r="E9637"/>
      <c r="F9637"/>
      <c r="G9637" s="12"/>
      <c r="H9637" s="12"/>
      <c r="I9637" s="12"/>
      <c r="J9637" s="12"/>
    </row>
    <row r="9638" spans="5:10" x14ac:dyDescent="0.25">
      <c r="E9638"/>
      <c r="F9638"/>
      <c r="G9638" s="12"/>
      <c r="H9638" s="12"/>
      <c r="I9638" s="12"/>
      <c r="J9638" s="12"/>
    </row>
    <row r="9639" spans="5:10" x14ac:dyDescent="0.25">
      <c r="E9639"/>
      <c r="F9639"/>
      <c r="G9639" s="12"/>
      <c r="H9639" s="12"/>
      <c r="I9639" s="12"/>
      <c r="J9639" s="12"/>
    </row>
    <row r="9640" spans="5:10" x14ac:dyDescent="0.25">
      <c r="E9640"/>
      <c r="F9640"/>
      <c r="G9640" s="12"/>
      <c r="H9640" s="12"/>
      <c r="I9640" s="12"/>
      <c r="J9640" s="12"/>
    </row>
    <row r="9641" spans="5:10" x14ac:dyDescent="0.25">
      <c r="E9641"/>
      <c r="F9641"/>
      <c r="G9641" s="12"/>
      <c r="H9641" s="12"/>
      <c r="I9641" s="12"/>
      <c r="J9641" s="12"/>
    </row>
    <row r="9642" spans="5:10" x14ac:dyDescent="0.25">
      <c r="E9642"/>
      <c r="F9642"/>
      <c r="G9642" s="12"/>
      <c r="H9642" s="12"/>
      <c r="I9642" s="12"/>
      <c r="J9642" s="12"/>
    </row>
    <row r="9643" spans="5:10" x14ac:dyDescent="0.25">
      <c r="E9643"/>
      <c r="F9643"/>
      <c r="G9643" s="12"/>
      <c r="H9643" s="12"/>
      <c r="I9643" s="12"/>
      <c r="J9643" s="12"/>
    </row>
    <row r="9644" spans="5:10" x14ac:dyDescent="0.25">
      <c r="E9644"/>
      <c r="F9644"/>
      <c r="G9644" s="12"/>
      <c r="H9644" s="12"/>
      <c r="I9644" s="12"/>
      <c r="J9644" s="12"/>
    </row>
    <row r="9645" spans="5:10" x14ac:dyDescent="0.25">
      <c r="E9645"/>
      <c r="F9645"/>
      <c r="G9645" s="12"/>
      <c r="H9645" s="12"/>
      <c r="I9645" s="12"/>
      <c r="J9645" s="12"/>
    </row>
    <row r="9646" spans="5:10" x14ac:dyDescent="0.25">
      <c r="E9646"/>
      <c r="F9646"/>
      <c r="G9646" s="12"/>
      <c r="H9646" s="12"/>
      <c r="I9646" s="12"/>
      <c r="J9646" s="12"/>
    </row>
    <row r="9647" spans="5:10" x14ac:dyDescent="0.25">
      <c r="E9647"/>
      <c r="F9647"/>
      <c r="G9647" s="12"/>
      <c r="H9647" s="12"/>
      <c r="I9647" s="12"/>
      <c r="J9647" s="12"/>
    </row>
    <row r="9648" spans="5:10" x14ac:dyDescent="0.25">
      <c r="E9648"/>
      <c r="F9648"/>
      <c r="G9648" s="12"/>
      <c r="H9648" s="12"/>
      <c r="I9648" s="12"/>
      <c r="J9648" s="12"/>
    </row>
    <row r="9649" spans="5:10" x14ac:dyDescent="0.25">
      <c r="E9649"/>
      <c r="F9649"/>
      <c r="G9649" s="12"/>
      <c r="H9649" s="12"/>
      <c r="I9649" s="12"/>
      <c r="J9649" s="12"/>
    </row>
    <row r="9650" spans="5:10" x14ac:dyDescent="0.25">
      <c r="E9650"/>
      <c r="F9650"/>
      <c r="G9650" s="12"/>
      <c r="H9650" s="12"/>
      <c r="I9650" s="12"/>
      <c r="J9650" s="12"/>
    </row>
    <row r="9651" spans="5:10" x14ac:dyDescent="0.25">
      <c r="E9651"/>
      <c r="F9651"/>
      <c r="G9651" s="12"/>
      <c r="H9651" s="12"/>
      <c r="I9651" s="12"/>
      <c r="J9651" s="12"/>
    </row>
    <row r="9652" spans="5:10" x14ac:dyDescent="0.25">
      <c r="E9652"/>
      <c r="F9652"/>
      <c r="G9652" s="12"/>
      <c r="H9652" s="12"/>
      <c r="I9652" s="12"/>
      <c r="J9652" s="12"/>
    </row>
    <row r="9653" spans="5:10" x14ac:dyDescent="0.25">
      <c r="E9653"/>
      <c r="F9653"/>
      <c r="G9653" s="12"/>
      <c r="H9653" s="12"/>
      <c r="I9653" s="12"/>
      <c r="J9653" s="12"/>
    </row>
    <row r="9654" spans="5:10" x14ac:dyDescent="0.25">
      <c r="E9654"/>
      <c r="F9654"/>
      <c r="G9654" s="12"/>
      <c r="H9654" s="12"/>
      <c r="I9654" s="12"/>
      <c r="J9654" s="12"/>
    </row>
    <row r="9655" spans="5:10" x14ac:dyDescent="0.25">
      <c r="E9655"/>
      <c r="F9655"/>
      <c r="G9655" s="12"/>
      <c r="H9655" s="12"/>
      <c r="I9655" s="12"/>
      <c r="J9655" s="12"/>
    </row>
    <row r="9656" spans="5:10" x14ac:dyDescent="0.25">
      <c r="E9656"/>
      <c r="F9656"/>
      <c r="G9656" s="12"/>
      <c r="H9656" s="12"/>
      <c r="I9656" s="12"/>
      <c r="J9656" s="12"/>
    </row>
    <row r="9657" spans="5:10" x14ac:dyDescent="0.25">
      <c r="E9657"/>
      <c r="F9657"/>
      <c r="G9657" s="12"/>
      <c r="H9657" s="12"/>
      <c r="I9657" s="12"/>
      <c r="J9657" s="12"/>
    </row>
    <row r="9658" spans="5:10" x14ac:dyDescent="0.25">
      <c r="E9658"/>
      <c r="F9658"/>
      <c r="G9658" s="12"/>
      <c r="H9658" s="12"/>
      <c r="I9658" s="12"/>
      <c r="J9658" s="12"/>
    </row>
    <row r="9659" spans="5:10" x14ac:dyDescent="0.25">
      <c r="E9659"/>
      <c r="F9659"/>
      <c r="G9659" s="12"/>
      <c r="H9659" s="12"/>
      <c r="I9659" s="12"/>
      <c r="J9659" s="12"/>
    </row>
    <row r="9660" spans="5:10" x14ac:dyDescent="0.25">
      <c r="E9660"/>
      <c r="F9660"/>
      <c r="G9660" s="12"/>
      <c r="H9660" s="12"/>
      <c r="I9660" s="12"/>
      <c r="J9660" s="12"/>
    </row>
    <row r="9661" spans="5:10" x14ac:dyDescent="0.25">
      <c r="E9661"/>
      <c r="F9661"/>
      <c r="G9661" s="12"/>
      <c r="H9661" s="12"/>
      <c r="I9661" s="12"/>
      <c r="J9661" s="12"/>
    </row>
    <row r="9662" spans="5:10" x14ac:dyDescent="0.25">
      <c r="E9662"/>
      <c r="F9662"/>
      <c r="G9662" s="12"/>
      <c r="H9662" s="12"/>
      <c r="I9662" s="12"/>
      <c r="J9662" s="12"/>
    </row>
    <row r="9663" spans="5:10" x14ac:dyDescent="0.25">
      <c r="E9663"/>
      <c r="F9663"/>
      <c r="G9663" s="12"/>
      <c r="H9663" s="12"/>
      <c r="I9663" s="12"/>
      <c r="J9663" s="12"/>
    </row>
    <row r="9664" spans="5:10" x14ac:dyDescent="0.25">
      <c r="E9664"/>
      <c r="F9664"/>
      <c r="G9664" s="12"/>
      <c r="H9664" s="12"/>
      <c r="I9664" s="12"/>
      <c r="J9664" s="12"/>
    </row>
    <row r="9665" spans="5:10" x14ac:dyDescent="0.25">
      <c r="E9665"/>
      <c r="F9665"/>
      <c r="G9665" s="12"/>
      <c r="H9665" s="12"/>
      <c r="I9665" s="12"/>
      <c r="J9665" s="12"/>
    </row>
    <row r="9666" spans="5:10" x14ac:dyDescent="0.25">
      <c r="E9666"/>
      <c r="F9666"/>
      <c r="G9666" s="12"/>
      <c r="H9666" s="12"/>
      <c r="I9666" s="12"/>
      <c r="J9666" s="12"/>
    </row>
    <row r="9667" spans="5:10" x14ac:dyDescent="0.25">
      <c r="E9667"/>
      <c r="F9667"/>
      <c r="G9667" s="12"/>
      <c r="H9667" s="12"/>
      <c r="I9667" s="12"/>
      <c r="J9667" s="12"/>
    </row>
    <row r="9668" spans="5:10" x14ac:dyDescent="0.25">
      <c r="E9668"/>
      <c r="F9668"/>
      <c r="G9668" s="12"/>
      <c r="H9668" s="12"/>
      <c r="I9668" s="12"/>
      <c r="J9668" s="12"/>
    </row>
    <row r="9669" spans="5:10" x14ac:dyDescent="0.25">
      <c r="E9669"/>
      <c r="F9669"/>
      <c r="G9669" s="12"/>
      <c r="H9669" s="12"/>
      <c r="I9669" s="12"/>
      <c r="J9669" s="12"/>
    </row>
    <row r="9670" spans="5:10" x14ac:dyDescent="0.25">
      <c r="E9670"/>
      <c r="F9670"/>
      <c r="G9670" s="12"/>
      <c r="H9670" s="12"/>
      <c r="I9670" s="12"/>
      <c r="J9670" s="12"/>
    </row>
    <row r="9671" spans="5:10" x14ac:dyDescent="0.25">
      <c r="E9671"/>
      <c r="F9671"/>
      <c r="G9671" s="12"/>
      <c r="H9671" s="12"/>
      <c r="I9671" s="12"/>
      <c r="J9671" s="12"/>
    </row>
    <row r="9672" spans="5:10" x14ac:dyDescent="0.25">
      <c r="E9672"/>
      <c r="F9672"/>
      <c r="G9672" s="12"/>
      <c r="H9672" s="12"/>
      <c r="I9672" s="12"/>
      <c r="J9672" s="12"/>
    </row>
    <row r="9673" spans="5:10" x14ac:dyDescent="0.25">
      <c r="E9673"/>
      <c r="F9673"/>
      <c r="G9673" s="12"/>
      <c r="H9673" s="12"/>
      <c r="I9673" s="12"/>
      <c r="J9673" s="12"/>
    </row>
    <row r="9674" spans="5:10" x14ac:dyDescent="0.25">
      <c r="E9674"/>
      <c r="F9674"/>
      <c r="G9674" s="12"/>
      <c r="H9674" s="12"/>
      <c r="I9674" s="12"/>
      <c r="J9674" s="12"/>
    </row>
    <row r="9675" spans="5:10" x14ac:dyDescent="0.25">
      <c r="E9675"/>
      <c r="F9675"/>
      <c r="G9675" s="12"/>
      <c r="H9675" s="12"/>
      <c r="I9675" s="12"/>
      <c r="J9675" s="12"/>
    </row>
    <row r="9676" spans="5:10" x14ac:dyDescent="0.25">
      <c r="E9676"/>
      <c r="F9676"/>
      <c r="G9676" s="12"/>
      <c r="H9676" s="12"/>
      <c r="I9676" s="12"/>
      <c r="J9676" s="12"/>
    </row>
    <row r="9677" spans="5:10" x14ac:dyDescent="0.25">
      <c r="E9677"/>
      <c r="F9677"/>
      <c r="G9677" s="12"/>
      <c r="H9677" s="12"/>
      <c r="I9677" s="12"/>
      <c r="J9677" s="12"/>
    </row>
    <row r="9678" spans="5:10" x14ac:dyDescent="0.25">
      <c r="E9678"/>
      <c r="F9678"/>
      <c r="G9678" s="12"/>
      <c r="H9678" s="12"/>
      <c r="I9678" s="12"/>
      <c r="J9678" s="12"/>
    </row>
    <row r="9679" spans="5:10" x14ac:dyDescent="0.25">
      <c r="E9679"/>
      <c r="F9679"/>
      <c r="G9679" s="12"/>
      <c r="H9679" s="12"/>
      <c r="I9679" s="12"/>
      <c r="J9679" s="12"/>
    </row>
    <row r="9680" spans="5:10" x14ac:dyDescent="0.25">
      <c r="E9680"/>
      <c r="F9680"/>
      <c r="G9680" s="12"/>
      <c r="H9680" s="12"/>
      <c r="I9680" s="12"/>
      <c r="J9680" s="12"/>
    </row>
    <row r="9681" spans="5:10" x14ac:dyDescent="0.25">
      <c r="E9681"/>
      <c r="F9681"/>
      <c r="G9681" s="12"/>
      <c r="H9681" s="12"/>
      <c r="I9681" s="12"/>
      <c r="J9681" s="12"/>
    </row>
    <row r="9682" spans="5:10" x14ac:dyDescent="0.25">
      <c r="E9682"/>
      <c r="F9682"/>
      <c r="G9682" s="12"/>
      <c r="H9682" s="12"/>
      <c r="I9682" s="12"/>
      <c r="J9682" s="12"/>
    </row>
    <row r="9683" spans="5:10" x14ac:dyDescent="0.25">
      <c r="E9683"/>
      <c r="F9683"/>
      <c r="G9683" s="12"/>
      <c r="H9683" s="12"/>
      <c r="I9683" s="12"/>
      <c r="J9683" s="12"/>
    </row>
    <row r="9684" spans="5:10" x14ac:dyDescent="0.25">
      <c r="E9684"/>
      <c r="F9684"/>
      <c r="G9684" s="12"/>
      <c r="H9684" s="12"/>
      <c r="I9684" s="12"/>
      <c r="J9684" s="12"/>
    </row>
    <row r="9685" spans="5:10" x14ac:dyDescent="0.25">
      <c r="E9685"/>
      <c r="F9685"/>
      <c r="G9685" s="12"/>
      <c r="H9685" s="12"/>
      <c r="I9685" s="12"/>
      <c r="J9685" s="12"/>
    </row>
    <row r="9686" spans="5:10" x14ac:dyDescent="0.25">
      <c r="E9686"/>
      <c r="F9686"/>
      <c r="G9686" s="12"/>
      <c r="H9686" s="12"/>
      <c r="I9686" s="12"/>
      <c r="J9686" s="12"/>
    </row>
    <row r="9687" spans="5:10" x14ac:dyDescent="0.25">
      <c r="E9687"/>
      <c r="F9687"/>
      <c r="G9687" s="12"/>
      <c r="H9687" s="12"/>
      <c r="I9687" s="12"/>
      <c r="J9687" s="12"/>
    </row>
    <row r="9688" spans="5:10" x14ac:dyDescent="0.25">
      <c r="E9688"/>
      <c r="F9688"/>
      <c r="G9688" s="12"/>
      <c r="H9688" s="12"/>
      <c r="I9688" s="12"/>
      <c r="J9688" s="12"/>
    </row>
    <row r="9689" spans="5:10" x14ac:dyDescent="0.25">
      <c r="E9689"/>
      <c r="F9689"/>
      <c r="G9689" s="12"/>
      <c r="H9689" s="12"/>
      <c r="I9689" s="12"/>
      <c r="J9689" s="12"/>
    </row>
    <row r="9690" spans="5:10" x14ac:dyDescent="0.25">
      <c r="E9690"/>
      <c r="F9690"/>
      <c r="G9690" s="12"/>
      <c r="H9690" s="12"/>
      <c r="I9690" s="12"/>
      <c r="J9690" s="12"/>
    </row>
    <row r="9691" spans="5:10" x14ac:dyDescent="0.25">
      <c r="E9691"/>
      <c r="F9691"/>
      <c r="G9691" s="12"/>
      <c r="H9691" s="12"/>
      <c r="I9691" s="12"/>
      <c r="J9691" s="12"/>
    </row>
    <row r="9692" spans="5:10" x14ac:dyDescent="0.25">
      <c r="E9692"/>
      <c r="F9692"/>
      <c r="G9692" s="12"/>
      <c r="H9692" s="12"/>
      <c r="I9692" s="12"/>
      <c r="J9692" s="12"/>
    </row>
    <row r="9693" spans="5:10" x14ac:dyDescent="0.25">
      <c r="E9693"/>
      <c r="F9693"/>
      <c r="G9693" s="12"/>
      <c r="H9693" s="12"/>
      <c r="I9693" s="12"/>
      <c r="J9693" s="12"/>
    </row>
    <row r="9694" spans="5:10" x14ac:dyDescent="0.25">
      <c r="E9694"/>
      <c r="F9694"/>
      <c r="G9694" s="12"/>
      <c r="H9694" s="12"/>
      <c r="I9694" s="12"/>
      <c r="J9694" s="12"/>
    </row>
    <row r="9695" spans="5:10" x14ac:dyDescent="0.25">
      <c r="E9695"/>
      <c r="F9695"/>
      <c r="G9695" s="12"/>
      <c r="H9695" s="12"/>
      <c r="I9695" s="12"/>
      <c r="J9695" s="12"/>
    </row>
    <row r="9696" spans="5:10" x14ac:dyDescent="0.25">
      <c r="E9696"/>
      <c r="F9696"/>
      <c r="G9696" s="12"/>
      <c r="H9696" s="12"/>
      <c r="I9696" s="12"/>
      <c r="J9696" s="12"/>
    </row>
    <row r="9697" spans="5:10" x14ac:dyDescent="0.25">
      <c r="E9697"/>
      <c r="F9697"/>
      <c r="G9697" s="12"/>
      <c r="H9697" s="12"/>
      <c r="I9697" s="12"/>
      <c r="J9697" s="12"/>
    </row>
    <row r="9698" spans="5:10" x14ac:dyDescent="0.25">
      <c r="E9698"/>
      <c r="F9698"/>
      <c r="G9698" s="12"/>
      <c r="H9698" s="12"/>
      <c r="I9698" s="12"/>
      <c r="J9698" s="12"/>
    </row>
    <row r="9699" spans="5:10" x14ac:dyDescent="0.25">
      <c r="E9699"/>
      <c r="F9699"/>
      <c r="G9699" s="12"/>
      <c r="H9699" s="12"/>
      <c r="I9699" s="12"/>
      <c r="J9699" s="12"/>
    </row>
    <row r="9700" spans="5:10" x14ac:dyDescent="0.25">
      <c r="E9700"/>
      <c r="F9700"/>
      <c r="G9700" s="12"/>
      <c r="H9700" s="12"/>
      <c r="I9700" s="12"/>
      <c r="J9700" s="12"/>
    </row>
    <row r="9701" spans="5:10" x14ac:dyDescent="0.25">
      <c r="E9701"/>
      <c r="F9701"/>
      <c r="G9701" s="12"/>
      <c r="H9701" s="12"/>
      <c r="I9701" s="12"/>
      <c r="J9701" s="12"/>
    </row>
    <row r="9702" spans="5:10" x14ac:dyDescent="0.25">
      <c r="E9702"/>
      <c r="F9702"/>
      <c r="G9702" s="12"/>
      <c r="H9702" s="12"/>
      <c r="I9702" s="12"/>
      <c r="J9702" s="12"/>
    </row>
    <row r="9703" spans="5:10" x14ac:dyDescent="0.25">
      <c r="E9703"/>
      <c r="F9703"/>
      <c r="G9703" s="12"/>
      <c r="H9703" s="12"/>
      <c r="I9703" s="12"/>
      <c r="J9703" s="12"/>
    </row>
    <row r="9704" spans="5:10" x14ac:dyDescent="0.25">
      <c r="E9704"/>
      <c r="F9704"/>
      <c r="G9704" s="12"/>
      <c r="H9704" s="12"/>
      <c r="I9704" s="12"/>
      <c r="J9704" s="12"/>
    </row>
    <row r="9705" spans="5:10" x14ac:dyDescent="0.25">
      <c r="E9705"/>
      <c r="F9705"/>
      <c r="G9705" s="12"/>
      <c r="H9705" s="12"/>
      <c r="I9705" s="12"/>
      <c r="J9705" s="12"/>
    </row>
    <row r="9706" spans="5:10" x14ac:dyDescent="0.25">
      <c r="E9706"/>
      <c r="F9706"/>
      <c r="G9706" s="12"/>
      <c r="H9706" s="12"/>
      <c r="I9706" s="12"/>
      <c r="J9706" s="12"/>
    </row>
    <row r="9707" spans="5:10" x14ac:dyDescent="0.25">
      <c r="E9707"/>
      <c r="F9707"/>
      <c r="G9707" s="12"/>
      <c r="H9707" s="12"/>
      <c r="I9707" s="12"/>
      <c r="J9707" s="12"/>
    </row>
    <row r="9708" spans="5:10" x14ac:dyDescent="0.25">
      <c r="E9708"/>
      <c r="F9708"/>
      <c r="G9708" s="12"/>
      <c r="H9708" s="12"/>
      <c r="I9708" s="12"/>
      <c r="J9708" s="12"/>
    </row>
    <row r="9709" spans="5:10" x14ac:dyDescent="0.25">
      <c r="E9709"/>
      <c r="F9709"/>
      <c r="G9709" s="12"/>
      <c r="H9709" s="12"/>
      <c r="I9709" s="12"/>
      <c r="J9709" s="12"/>
    </row>
    <row r="9710" spans="5:10" x14ac:dyDescent="0.25">
      <c r="E9710"/>
      <c r="F9710"/>
      <c r="G9710" s="12"/>
      <c r="H9710" s="12"/>
      <c r="I9710" s="12"/>
      <c r="J9710" s="12"/>
    </row>
    <row r="9711" spans="5:10" x14ac:dyDescent="0.25">
      <c r="E9711"/>
      <c r="F9711"/>
      <c r="G9711" s="12"/>
      <c r="H9711" s="12"/>
      <c r="I9711" s="12"/>
      <c r="J9711" s="12"/>
    </row>
    <row r="9712" spans="5:10" x14ac:dyDescent="0.25">
      <c r="E9712"/>
      <c r="F9712"/>
      <c r="G9712" s="12"/>
      <c r="H9712" s="12"/>
      <c r="I9712" s="12"/>
      <c r="J9712" s="12"/>
    </row>
    <row r="9713" spans="5:10" x14ac:dyDescent="0.25">
      <c r="E9713"/>
      <c r="F9713"/>
      <c r="G9713" s="12"/>
      <c r="H9713" s="12"/>
      <c r="I9713" s="12"/>
      <c r="J9713" s="12"/>
    </row>
    <row r="9714" spans="5:10" x14ac:dyDescent="0.25">
      <c r="E9714"/>
      <c r="F9714"/>
      <c r="G9714" s="12"/>
      <c r="H9714" s="12"/>
      <c r="I9714" s="12"/>
      <c r="J9714" s="12"/>
    </row>
    <row r="9715" spans="5:10" x14ac:dyDescent="0.25">
      <c r="E9715"/>
      <c r="F9715"/>
      <c r="G9715" s="12"/>
      <c r="H9715" s="12"/>
      <c r="I9715" s="12"/>
      <c r="J9715" s="12"/>
    </row>
    <row r="9716" spans="5:10" x14ac:dyDescent="0.25">
      <c r="E9716"/>
      <c r="F9716"/>
      <c r="G9716" s="12"/>
      <c r="H9716" s="12"/>
      <c r="I9716" s="12"/>
      <c r="J9716" s="12"/>
    </row>
    <row r="9717" spans="5:10" x14ac:dyDescent="0.25">
      <c r="E9717"/>
      <c r="F9717"/>
      <c r="G9717" s="12"/>
      <c r="H9717" s="12"/>
      <c r="I9717" s="12"/>
      <c r="J9717" s="12"/>
    </row>
    <row r="9718" spans="5:10" x14ac:dyDescent="0.25">
      <c r="E9718"/>
      <c r="F9718"/>
      <c r="G9718" s="12"/>
      <c r="H9718" s="12"/>
      <c r="I9718" s="12"/>
      <c r="J9718" s="12"/>
    </row>
    <row r="9719" spans="5:10" x14ac:dyDescent="0.25">
      <c r="E9719"/>
      <c r="F9719"/>
      <c r="G9719" s="12"/>
      <c r="H9719" s="12"/>
      <c r="I9719" s="12"/>
      <c r="J9719" s="12"/>
    </row>
    <row r="9720" spans="5:10" x14ac:dyDescent="0.25">
      <c r="E9720"/>
      <c r="F9720"/>
      <c r="G9720" s="12"/>
      <c r="H9720" s="12"/>
      <c r="I9720" s="12"/>
      <c r="J9720" s="12"/>
    </row>
    <row r="9721" spans="5:10" x14ac:dyDescent="0.25">
      <c r="E9721"/>
      <c r="F9721"/>
      <c r="G9721" s="12"/>
      <c r="H9721" s="12"/>
      <c r="I9721" s="12"/>
      <c r="J9721" s="12"/>
    </row>
    <row r="9722" spans="5:10" x14ac:dyDescent="0.25">
      <c r="E9722"/>
      <c r="F9722"/>
      <c r="G9722" s="12"/>
      <c r="H9722" s="12"/>
      <c r="I9722" s="12"/>
      <c r="J9722" s="12"/>
    </row>
    <row r="9723" spans="5:10" x14ac:dyDescent="0.25">
      <c r="E9723"/>
      <c r="F9723"/>
      <c r="G9723" s="12"/>
      <c r="H9723" s="12"/>
      <c r="I9723" s="12"/>
      <c r="J9723" s="12"/>
    </row>
    <row r="9724" spans="5:10" x14ac:dyDescent="0.25">
      <c r="E9724"/>
      <c r="F9724"/>
      <c r="G9724" s="12"/>
      <c r="H9724" s="12"/>
      <c r="I9724" s="12"/>
      <c r="J9724" s="12"/>
    </row>
    <row r="9725" spans="5:10" x14ac:dyDescent="0.25">
      <c r="E9725"/>
      <c r="F9725"/>
      <c r="G9725" s="12"/>
      <c r="H9725" s="12"/>
      <c r="I9725" s="12"/>
      <c r="J9725" s="12"/>
    </row>
    <row r="9726" spans="5:10" x14ac:dyDescent="0.25">
      <c r="E9726"/>
      <c r="F9726"/>
      <c r="G9726" s="12"/>
      <c r="H9726" s="12"/>
      <c r="I9726" s="12"/>
      <c r="J9726" s="12"/>
    </row>
    <row r="9727" spans="5:10" x14ac:dyDescent="0.25">
      <c r="E9727"/>
      <c r="F9727"/>
      <c r="G9727" s="12"/>
      <c r="H9727" s="12"/>
      <c r="I9727" s="12"/>
      <c r="J9727" s="12"/>
    </row>
    <row r="9728" spans="5:10" x14ac:dyDescent="0.25">
      <c r="E9728"/>
      <c r="F9728"/>
      <c r="G9728" s="12"/>
      <c r="H9728" s="12"/>
      <c r="I9728" s="12"/>
      <c r="J9728" s="12"/>
    </row>
    <row r="9729" spans="5:10" x14ac:dyDescent="0.25">
      <c r="E9729"/>
      <c r="F9729"/>
      <c r="G9729" s="12"/>
      <c r="H9729" s="12"/>
      <c r="I9729" s="12"/>
      <c r="J9729" s="12"/>
    </row>
    <row r="9730" spans="5:10" x14ac:dyDescent="0.25">
      <c r="E9730"/>
      <c r="F9730"/>
      <c r="G9730" s="12"/>
      <c r="H9730" s="12"/>
      <c r="I9730" s="12"/>
      <c r="J9730" s="12"/>
    </row>
    <row r="9731" spans="5:10" x14ac:dyDescent="0.25">
      <c r="E9731"/>
      <c r="F9731"/>
      <c r="G9731" s="12"/>
      <c r="H9731" s="12"/>
      <c r="I9731" s="12"/>
      <c r="J9731" s="12"/>
    </row>
    <row r="9732" spans="5:10" x14ac:dyDescent="0.25">
      <c r="E9732"/>
      <c r="F9732"/>
      <c r="G9732" s="12"/>
      <c r="H9732" s="12"/>
      <c r="I9732" s="12"/>
      <c r="J9732" s="12"/>
    </row>
    <row r="9733" spans="5:10" x14ac:dyDescent="0.25">
      <c r="E9733"/>
      <c r="F9733"/>
      <c r="G9733" s="12"/>
      <c r="H9733" s="12"/>
      <c r="I9733" s="12"/>
      <c r="J9733" s="12"/>
    </row>
    <row r="9734" spans="5:10" x14ac:dyDescent="0.25">
      <c r="E9734"/>
      <c r="F9734"/>
      <c r="G9734" s="12"/>
      <c r="H9734" s="12"/>
      <c r="I9734" s="12"/>
      <c r="J9734" s="12"/>
    </row>
    <row r="9735" spans="5:10" x14ac:dyDescent="0.25">
      <c r="E9735"/>
      <c r="F9735"/>
      <c r="G9735" s="12"/>
      <c r="H9735" s="12"/>
      <c r="I9735" s="12"/>
      <c r="J9735" s="12"/>
    </row>
    <row r="9736" spans="5:10" x14ac:dyDescent="0.25">
      <c r="E9736"/>
      <c r="F9736"/>
      <c r="G9736" s="12"/>
      <c r="H9736" s="12"/>
      <c r="I9736" s="12"/>
      <c r="J9736" s="12"/>
    </row>
    <row r="9737" spans="5:10" x14ac:dyDescent="0.25">
      <c r="E9737"/>
      <c r="F9737"/>
      <c r="G9737" s="12"/>
      <c r="H9737" s="12"/>
      <c r="I9737" s="12"/>
      <c r="J9737" s="12"/>
    </row>
    <row r="9738" spans="5:10" x14ac:dyDescent="0.25">
      <c r="E9738"/>
      <c r="F9738"/>
      <c r="G9738" s="12"/>
      <c r="H9738" s="12"/>
      <c r="I9738" s="12"/>
      <c r="J9738" s="12"/>
    </row>
    <row r="9739" spans="5:10" x14ac:dyDescent="0.25">
      <c r="E9739"/>
      <c r="F9739"/>
      <c r="G9739" s="12"/>
      <c r="H9739" s="12"/>
      <c r="I9739" s="12"/>
      <c r="J9739" s="12"/>
    </row>
    <row r="9740" spans="5:10" x14ac:dyDescent="0.25">
      <c r="E9740"/>
      <c r="F9740"/>
      <c r="G9740" s="12"/>
      <c r="H9740" s="12"/>
      <c r="I9740" s="12"/>
      <c r="J9740" s="12"/>
    </row>
    <row r="9741" spans="5:10" x14ac:dyDescent="0.25">
      <c r="E9741"/>
      <c r="F9741"/>
      <c r="G9741" s="12"/>
      <c r="H9741" s="12"/>
      <c r="I9741" s="12"/>
      <c r="J9741" s="12"/>
    </row>
    <row r="9742" spans="5:10" x14ac:dyDescent="0.25">
      <c r="E9742"/>
      <c r="F9742"/>
      <c r="G9742" s="12"/>
      <c r="H9742" s="12"/>
      <c r="I9742" s="12"/>
      <c r="J9742" s="12"/>
    </row>
    <row r="9743" spans="5:10" x14ac:dyDescent="0.25">
      <c r="E9743"/>
      <c r="F9743"/>
      <c r="G9743" s="12"/>
      <c r="H9743" s="12"/>
      <c r="I9743" s="12"/>
      <c r="J9743" s="12"/>
    </row>
    <row r="9744" spans="5:10" x14ac:dyDescent="0.25">
      <c r="E9744"/>
      <c r="F9744"/>
      <c r="G9744" s="12"/>
      <c r="H9744" s="12"/>
      <c r="I9744" s="12"/>
      <c r="J9744" s="12"/>
    </row>
    <row r="9745" spans="5:10" x14ac:dyDescent="0.25">
      <c r="E9745"/>
      <c r="F9745"/>
      <c r="G9745" s="12"/>
      <c r="H9745" s="12"/>
      <c r="I9745" s="12"/>
      <c r="J9745" s="12"/>
    </row>
    <row r="9746" spans="5:10" x14ac:dyDescent="0.25">
      <c r="E9746"/>
      <c r="F9746"/>
      <c r="G9746" s="12"/>
      <c r="H9746" s="12"/>
      <c r="I9746" s="12"/>
      <c r="J9746" s="12"/>
    </row>
    <row r="9747" spans="5:10" x14ac:dyDescent="0.25">
      <c r="E9747"/>
      <c r="F9747"/>
      <c r="G9747" s="12"/>
      <c r="H9747" s="12"/>
      <c r="I9747" s="12"/>
      <c r="J9747" s="12"/>
    </row>
    <row r="9748" spans="5:10" x14ac:dyDescent="0.25">
      <c r="E9748"/>
      <c r="F9748"/>
      <c r="G9748" s="12"/>
      <c r="H9748" s="12"/>
      <c r="I9748" s="12"/>
      <c r="J9748" s="12"/>
    </row>
    <row r="9749" spans="5:10" x14ac:dyDescent="0.25">
      <c r="E9749"/>
      <c r="F9749"/>
      <c r="G9749" s="12"/>
      <c r="H9749" s="12"/>
      <c r="I9749" s="12"/>
      <c r="J9749" s="12"/>
    </row>
    <row r="9750" spans="5:10" x14ac:dyDescent="0.25">
      <c r="E9750"/>
      <c r="F9750"/>
      <c r="G9750" s="12"/>
      <c r="H9750" s="12"/>
      <c r="I9750" s="12"/>
      <c r="J9750" s="12"/>
    </row>
    <row r="9751" spans="5:10" x14ac:dyDescent="0.25">
      <c r="E9751"/>
      <c r="F9751"/>
      <c r="G9751" s="12"/>
      <c r="H9751" s="12"/>
      <c r="I9751" s="12"/>
      <c r="J9751" s="12"/>
    </row>
    <row r="9752" spans="5:10" x14ac:dyDescent="0.25">
      <c r="E9752"/>
      <c r="F9752"/>
      <c r="G9752" s="12"/>
      <c r="H9752" s="12"/>
      <c r="I9752" s="12"/>
      <c r="J9752" s="12"/>
    </row>
    <row r="9753" spans="5:10" x14ac:dyDescent="0.25">
      <c r="E9753"/>
      <c r="F9753"/>
      <c r="G9753" s="12"/>
      <c r="H9753" s="12"/>
      <c r="I9753" s="12"/>
      <c r="J9753" s="12"/>
    </row>
    <row r="9754" spans="5:10" x14ac:dyDescent="0.25">
      <c r="E9754"/>
      <c r="F9754"/>
      <c r="G9754" s="12"/>
      <c r="H9754" s="12"/>
      <c r="I9754" s="12"/>
      <c r="J9754" s="12"/>
    </row>
    <row r="9755" spans="5:10" x14ac:dyDescent="0.25">
      <c r="E9755"/>
      <c r="F9755"/>
      <c r="G9755" s="12"/>
      <c r="H9755" s="12"/>
      <c r="I9755" s="12"/>
      <c r="J9755" s="12"/>
    </row>
    <row r="9756" spans="5:10" x14ac:dyDescent="0.25">
      <c r="E9756"/>
      <c r="F9756"/>
      <c r="G9756" s="12"/>
      <c r="H9756" s="12"/>
      <c r="I9756" s="12"/>
      <c r="J9756" s="12"/>
    </row>
    <row r="9757" spans="5:10" x14ac:dyDescent="0.25">
      <c r="E9757"/>
      <c r="F9757"/>
      <c r="G9757" s="12"/>
      <c r="H9757" s="12"/>
      <c r="I9757" s="12"/>
      <c r="J9757" s="12"/>
    </row>
    <row r="9758" spans="5:10" x14ac:dyDescent="0.25">
      <c r="E9758"/>
      <c r="F9758"/>
      <c r="G9758" s="12"/>
      <c r="H9758" s="12"/>
      <c r="I9758" s="12"/>
      <c r="J9758" s="12"/>
    </row>
    <row r="9759" spans="5:10" x14ac:dyDescent="0.25">
      <c r="E9759"/>
      <c r="F9759"/>
      <c r="G9759" s="12"/>
      <c r="H9759" s="12"/>
      <c r="I9759" s="12"/>
      <c r="J9759" s="12"/>
    </row>
    <row r="9760" spans="5:10" x14ac:dyDescent="0.25">
      <c r="E9760"/>
      <c r="F9760"/>
      <c r="G9760" s="12"/>
      <c r="H9760" s="12"/>
      <c r="I9760" s="12"/>
      <c r="J9760" s="12"/>
    </row>
    <row r="9761" spans="5:10" x14ac:dyDescent="0.25">
      <c r="E9761"/>
      <c r="F9761"/>
      <c r="G9761" s="12"/>
      <c r="H9761" s="12"/>
      <c r="I9761" s="12"/>
      <c r="J9761" s="12"/>
    </row>
    <row r="9762" spans="5:10" x14ac:dyDescent="0.25">
      <c r="E9762"/>
      <c r="F9762"/>
      <c r="G9762" s="12"/>
      <c r="H9762" s="12"/>
      <c r="I9762" s="12"/>
      <c r="J9762" s="12"/>
    </row>
    <row r="9763" spans="5:10" x14ac:dyDescent="0.25">
      <c r="E9763"/>
      <c r="F9763"/>
      <c r="G9763" s="12"/>
      <c r="H9763" s="12"/>
      <c r="I9763" s="12"/>
      <c r="J9763" s="12"/>
    </row>
    <row r="9764" spans="5:10" x14ac:dyDescent="0.25">
      <c r="E9764"/>
      <c r="F9764"/>
      <c r="G9764" s="12"/>
      <c r="H9764" s="12"/>
      <c r="I9764" s="12"/>
      <c r="J9764" s="12"/>
    </row>
    <row r="9765" spans="5:10" x14ac:dyDescent="0.25">
      <c r="E9765"/>
      <c r="F9765"/>
      <c r="G9765" s="12"/>
      <c r="H9765" s="12"/>
      <c r="I9765" s="12"/>
      <c r="J9765" s="12"/>
    </row>
    <row r="9766" spans="5:10" x14ac:dyDescent="0.25">
      <c r="E9766"/>
      <c r="F9766"/>
      <c r="G9766" s="12"/>
      <c r="H9766" s="12"/>
      <c r="I9766" s="12"/>
      <c r="J9766" s="12"/>
    </row>
    <row r="9767" spans="5:10" x14ac:dyDescent="0.25">
      <c r="E9767"/>
      <c r="F9767"/>
      <c r="G9767" s="12"/>
      <c r="H9767" s="12"/>
      <c r="I9767" s="12"/>
      <c r="J9767" s="12"/>
    </row>
    <row r="9768" spans="5:10" x14ac:dyDescent="0.25">
      <c r="E9768"/>
      <c r="F9768"/>
      <c r="G9768" s="12"/>
      <c r="H9768" s="12"/>
      <c r="I9768" s="12"/>
      <c r="J9768" s="12"/>
    </row>
    <row r="9769" spans="5:10" x14ac:dyDescent="0.25">
      <c r="E9769"/>
      <c r="F9769"/>
      <c r="G9769" s="12"/>
      <c r="H9769" s="12"/>
      <c r="I9769" s="12"/>
      <c r="J9769" s="12"/>
    </row>
    <row r="9770" spans="5:10" x14ac:dyDescent="0.25">
      <c r="E9770"/>
      <c r="F9770"/>
      <c r="G9770" s="12"/>
      <c r="H9770" s="12"/>
      <c r="I9770" s="12"/>
      <c r="J9770" s="12"/>
    </row>
    <row r="9771" spans="5:10" x14ac:dyDescent="0.25">
      <c r="E9771"/>
      <c r="F9771"/>
      <c r="G9771" s="12"/>
      <c r="H9771" s="12"/>
      <c r="I9771" s="12"/>
      <c r="J9771" s="12"/>
    </row>
    <row r="9772" spans="5:10" x14ac:dyDescent="0.25">
      <c r="E9772"/>
      <c r="F9772"/>
      <c r="G9772" s="12"/>
      <c r="H9772" s="12"/>
      <c r="I9772" s="12"/>
      <c r="J9772" s="12"/>
    </row>
    <row r="9773" spans="5:10" x14ac:dyDescent="0.25">
      <c r="E9773"/>
      <c r="F9773"/>
      <c r="G9773" s="12"/>
      <c r="H9773" s="12"/>
      <c r="I9773" s="12"/>
      <c r="J9773" s="12"/>
    </row>
    <row r="9774" spans="5:10" x14ac:dyDescent="0.25">
      <c r="E9774"/>
      <c r="F9774"/>
      <c r="G9774" s="12"/>
      <c r="H9774" s="12"/>
      <c r="I9774" s="12"/>
      <c r="J9774" s="12"/>
    </row>
    <row r="9775" spans="5:10" x14ac:dyDescent="0.25">
      <c r="E9775"/>
      <c r="F9775"/>
      <c r="G9775" s="12"/>
      <c r="H9775" s="12"/>
      <c r="I9775" s="12"/>
      <c r="J9775" s="12"/>
    </row>
    <row r="9776" spans="5:10" x14ac:dyDescent="0.25">
      <c r="E9776"/>
      <c r="F9776"/>
      <c r="G9776" s="12"/>
      <c r="H9776" s="12"/>
      <c r="I9776" s="12"/>
      <c r="J9776" s="12"/>
    </row>
    <row r="9777" spans="5:10" x14ac:dyDescent="0.25">
      <c r="E9777"/>
      <c r="F9777"/>
      <c r="G9777" s="12"/>
      <c r="H9777" s="12"/>
      <c r="I9777" s="12"/>
      <c r="J9777" s="12"/>
    </row>
    <row r="9778" spans="5:10" x14ac:dyDescent="0.25">
      <c r="E9778"/>
      <c r="F9778"/>
      <c r="G9778" s="12"/>
      <c r="H9778" s="12"/>
      <c r="I9778" s="12"/>
      <c r="J9778" s="12"/>
    </row>
    <row r="9779" spans="5:10" x14ac:dyDescent="0.25">
      <c r="E9779"/>
      <c r="F9779"/>
      <c r="G9779" s="12"/>
      <c r="H9779" s="12"/>
      <c r="I9779" s="12"/>
      <c r="J9779" s="12"/>
    </row>
    <row r="9780" spans="5:10" x14ac:dyDescent="0.25">
      <c r="E9780"/>
      <c r="F9780"/>
      <c r="G9780" s="12"/>
      <c r="H9780" s="12"/>
      <c r="I9780" s="12"/>
      <c r="J9780" s="12"/>
    </row>
    <row r="9781" spans="5:10" x14ac:dyDescent="0.25">
      <c r="E9781"/>
      <c r="F9781"/>
      <c r="G9781" s="12"/>
      <c r="H9781" s="12"/>
      <c r="I9781" s="12"/>
      <c r="J9781" s="12"/>
    </row>
    <row r="9782" spans="5:10" x14ac:dyDescent="0.25">
      <c r="E9782"/>
      <c r="F9782"/>
      <c r="G9782" s="12"/>
      <c r="H9782" s="12"/>
      <c r="I9782" s="12"/>
      <c r="J9782" s="12"/>
    </row>
    <row r="9783" spans="5:10" x14ac:dyDescent="0.25">
      <c r="E9783"/>
      <c r="F9783"/>
      <c r="G9783" s="12"/>
      <c r="H9783" s="12"/>
      <c r="I9783" s="12"/>
      <c r="J9783" s="12"/>
    </row>
    <row r="9784" spans="5:10" x14ac:dyDescent="0.25">
      <c r="E9784"/>
      <c r="F9784"/>
      <c r="G9784" s="12"/>
      <c r="H9784" s="12"/>
      <c r="I9784" s="12"/>
      <c r="J9784" s="12"/>
    </row>
    <row r="9785" spans="5:10" x14ac:dyDescent="0.25">
      <c r="E9785"/>
      <c r="F9785"/>
      <c r="G9785" s="12"/>
      <c r="H9785" s="12"/>
      <c r="I9785" s="12"/>
      <c r="J9785" s="12"/>
    </row>
    <row r="9786" spans="5:10" x14ac:dyDescent="0.25">
      <c r="E9786"/>
      <c r="F9786"/>
      <c r="G9786" s="12"/>
      <c r="H9786" s="12"/>
      <c r="I9786" s="12"/>
      <c r="J9786" s="12"/>
    </row>
    <row r="9787" spans="5:10" x14ac:dyDescent="0.25">
      <c r="E9787"/>
      <c r="F9787"/>
      <c r="G9787" s="12"/>
      <c r="H9787" s="12"/>
      <c r="I9787" s="12"/>
      <c r="J9787" s="12"/>
    </row>
    <row r="9788" spans="5:10" x14ac:dyDescent="0.25">
      <c r="E9788"/>
      <c r="F9788"/>
      <c r="G9788" s="12"/>
      <c r="H9788" s="12"/>
      <c r="I9788" s="12"/>
      <c r="J9788" s="12"/>
    </row>
    <row r="9789" spans="5:10" x14ac:dyDescent="0.25">
      <c r="E9789"/>
      <c r="F9789"/>
      <c r="G9789" s="12"/>
      <c r="H9789" s="12"/>
      <c r="I9789" s="12"/>
      <c r="J9789" s="12"/>
    </row>
    <row r="9790" spans="5:10" x14ac:dyDescent="0.25">
      <c r="E9790"/>
      <c r="F9790"/>
      <c r="G9790" s="12"/>
      <c r="H9790" s="12"/>
      <c r="I9790" s="12"/>
      <c r="J9790" s="12"/>
    </row>
    <row r="9791" spans="5:10" x14ac:dyDescent="0.25">
      <c r="E9791"/>
      <c r="F9791"/>
      <c r="G9791" s="12"/>
      <c r="H9791" s="12"/>
      <c r="I9791" s="12"/>
      <c r="J9791" s="12"/>
    </row>
    <row r="9792" spans="5:10" x14ac:dyDescent="0.25">
      <c r="E9792"/>
      <c r="F9792"/>
      <c r="G9792" s="12"/>
      <c r="H9792" s="12"/>
      <c r="I9792" s="12"/>
      <c r="J9792" s="12"/>
    </row>
    <row r="9793" spans="5:10" x14ac:dyDescent="0.25">
      <c r="E9793"/>
      <c r="F9793"/>
      <c r="G9793" s="12"/>
      <c r="H9793" s="12"/>
      <c r="I9793" s="12"/>
      <c r="J9793" s="12"/>
    </row>
    <row r="9794" spans="5:10" x14ac:dyDescent="0.25">
      <c r="E9794"/>
      <c r="F9794"/>
      <c r="G9794" s="12"/>
      <c r="H9794" s="12"/>
      <c r="I9794" s="12"/>
      <c r="J9794" s="12"/>
    </row>
    <row r="9795" spans="5:10" x14ac:dyDescent="0.25">
      <c r="E9795"/>
      <c r="F9795"/>
      <c r="G9795" s="12"/>
      <c r="H9795" s="12"/>
      <c r="I9795" s="12"/>
      <c r="J9795" s="12"/>
    </row>
    <row r="9796" spans="5:10" x14ac:dyDescent="0.25">
      <c r="E9796"/>
      <c r="F9796"/>
      <c r="G9796" s="12"/>
      <c r="H9796" s="12"/>
      <c r="I9796" s="12"/>
      <c r="J9796" s="12"/>
    </row>
    <row r="9797" spans="5:10" x14ac:dyDescent="0.25">
      <c r="E9797"/>
      <c r="F9797"/>
      <c r="G9797" s="12"/>
      <c r="H9797" s="12"/>
      <c r="I9797" s="12"/>
      <c r="J9797" s="12"/>
    </row>
    <row r="9798" spans="5:10" x14ac:dyDescent="0.25">
      <c r="E9798"/>
      <c r="F9798"/>
      <c r="G9798" s="12"/>
      <c r="H9798" s="12"/>
      <c r="I9798" s="12"/>
      <c r="J9798" s="12"/>
    </row>
    <row r="9799" spans="5:10" x14ac:dyDescent="0.25">
      <c r="E9799"/>
      <c r="F9799"/>
      <c r="G9799" s="12"/>
      <c r="H9799" s="12"/>
      <c r="I9799" s="12"/>
      <c r="J9799" s="12"/>
    </row>
    <row r="9800" spans="5:10" x14ac:dyDescent="0.25">
      <c r="E9800"/>
      <c r="F9800"/>
      <c r="G9800" s="12"/>
      <c r="H9800" s="12"/>
      <c r="I9800" s="12"/>
      <c r="J9800" s="12"/>
    </row>
    <row r="9801" spans="5:10" x14ac:dyDescent="0.25">
      <c r="E9801"/>
      <c r="F9801"/>
      <c r="G9801" s="12"/>
      <c r="H9801" s="12"/>
      <c r="I9801" s="12"/>
      <c r="J9801" s="12"/>
    </row>
    <row r="9802" spans="5:10" x14ac:dyDescent="0.25">
      <c r="E9802"/>
      <c r="F9802"/>
      <c r="G9802" s="12"/>
      <c r="H9802" s="12"/>
      <c r="I9802" s="12"/>
      <c r="J9802" s="12"/>
    </row>
    <row r="9803" spans="5:10" x14ac:dyDescent="0.25">
      <c r="E9803"/>
      <c r="F9803"/>
      <c r="G9803" s="12"/>
      <c r="H9803" s="12"/>
      <c r="I9803" s="12"/>
      <c r="J9803" s="12"/>
    </row>
    <row r="9804" spans="5:10" x14ac:dyDescent="0.25">
      <c r="E9804"/>
      <c r="F9804"/>
      <c r="G9804" s="12"/>
      <c r="H9804" s="12"/>
      <c r="I9804" s="12"/>
      <c r="J9804" s="12"/>
    </row>
    <row r="9805" spans="5:10" x14ac:dyDescent="0.25">
      <c r="E9805"/>
      <c r="F9805"/>
      <c r="G9805" s="12"/>
      <c r="H9805" s="12"/>
      <c r="I9805" s="12"/>
      <c r="J9805" s="12"/>
    </row>
    <row r="9806" spans="5:10" x14ac:dyDescent="0.25">
      <c r="E9806"/>
      <c r="F9806"/>
      <c r="G9806" s="12"/>
      <c r="H9806" s="12"/>
      <c r="I9806" s="12"/>
      <c r="J9806" s="12"/>
    </row>
    <row r="9807" spans="5:10" x14ac:dyDescent="0.25">
      <c r="E9807"/>
      <c r="F9807"/>
      <c r="G9807" s="12"/>
      <c r="H9807" s="12"/>
      <c r="I9807" s="12"/>
      <c r="J9807" s="12"/>
    </row>
    <row r="9808" spans="5:10" x14ac:dyDescent="0.25">
      <c r="E9808"/>
      <c r="F9808"/>
      <c r="G9808" s="12"/>
      <c r="H9808" s="12"/>
      <c r="I9808" s="12"/>
      <c r="J9808" s="12"/>
    </row>
    <row r="9809" spans="5:10" x14ac:dyDescent="0.25">
      <c r="E9809"/>
      <c r="F9809"/>
      <c r="G9809" s="12"/>
      <c r="H9809" s="12"/>
      <c r="I9809" s="12"/>
      <c r="J9809" s="12"/>
    </row>
    <row r="9810" spans="5:10" x14ac:dyDescent="0.25">
      <c r="E9810"/>
      <c r="F9810"/>
      <c r="G9810" s="12"/>
      <c r="H9810" s="12"/>
      <c r="I9810" s="12"/>
      <c r="J9810" s="12"/>
    </row>
    <row r="9811" spans="5:10" x14ac:dyDescent="0.25">
      <c r="E9811"/>
      <c r="F9811"/>
      <c r="G9811" s="12"/>
      <c r="H9811" s="12"/>
      <c r="I9811" s="12"/>
      <c r="J9811" s="12"/>
    </row>
    <row r="9812" spans="5:10" x14ac:dyDescent="0.25">
      <c r="E9812"/>
      <c r="F9812"/>
      <c r="G9812" s="12"/>
      <c r="H9812" s="12"/>
      <c r="I9812" s="12"/>
      <c r="J9812" s="12"/>
    </row>
    <row r="9813" spans="5:10" x14ac:dyDescent="0.25">
      <c r="E9813"/>
      <c r="F9813"/>
      <c r="G9813" s="12"/>
      <c r="H9813" s="12"/>
      <c r="I9813" s="12"/>
      <c r="J9813" s="12"/>
    </row>
    <row r="9814" spans="5:10" x14ac:dyDescent="0.25">
      <c r="E9814"/>
      <c r="F9814"/>
      <c r="G9814" s="12"/>
      <c r="H9814" s="12"/>
      <c r="I9814" s="12"/>
      <c r="J9814" s="12"/>
    </row>
    <row r="9815" spans="5:10" x14ac:dyDescent="0.25">
      <c r="E9815"/>
      <c r="F9815"/>
      <c r="G9815" s="12"/>
      <c r="H9815" s="12"/>
      <c r="I9815" s="12"/>
      <c r="J9815" s="12"/>
    </row>
    <row r="9816" spans="5:10" x14ac:dyDescent="0.25">
      <c r="E9816"/>
      <c r="F9816"/>
      <c r="G9816" s="12"/>
      <c r="H9816" s="12"/>
      <c r="I9816" s="12"/>
      <c r="J9816" s="12"/>
    </row>
    <row r="9817" spans="5:10" x14ac:dyDescent="0.25">
      <c r="E9817"/>
      <c r="F9817"/>
      <c r="G9817" s="12"/>
      <c r="H9817" s="12"/>
      <c r="I9817" s="12"/>
      <c r="J9817" s="12"/>
    </row>
    <row r="9818" spans="5:10" x14ac:dyDescent="0.25">
      <c r="E9818"/>
      <c r="F9818"/>
      <c r="G9818" s="12"/>
      <c r="H9818" s="12"/>
      <c r="I9818" s="12"/>
      <c r="J9818" s="12"/>
    </row>
    <row r="9819" spans="5:10" x14ac:dyDescent="0.25">
      <c r="E9819"/>
      <c r="F9819"/>
      <c r="G9819" s="12"/>
      <c r="H9819" s="12"/>
      <c r="I9819" s="12"/>
      <c r="J9819" s="12"/>
    </row>
    <row r="9820" spans="5:10" x14ac:dyDescent="0.25">
      <c r="E9820"/>
      <c r="F9820"/>
      <c r="G9820" s="12"/>
      <c r="H9820" s="12"/>
      <c r="I9820" s="12"/>
      <c r="J9820" s="12"/>
    </row>
    <row r="9821" spans="5:10" x14ac:dyDescent="0.25">
      <c r="E9821"/>
      <c r="F9821"/>
      <c r="G9821" s="12"/>
      <c r="H9821" s="12"/>
      <c r="I9821" s="12"/>
      <c r="J9821" s="12"/>
    </row>
    <row r="9822" spans="5:10" x14ac:dyDescent="0.25">
      <c r="E9822"/>
      <c r="F9822"/>
      <c r="G9822" s="12"/>
      <c r="H9822" s="12"/>
      <c r="I9822" s="12"/>
      <c r="J9822" s="12"/>
    </row>
    <row r="9823" spans="5:10" x14ac:dyDescent="0.25">
      <c r="E9823"/>
      <c r="F9823"/>
      <c r="G9823" s="12"/>
      <c r="H9823" s="12"/>
      <c r="I9823" s="12"/>
      <c r="J9823" s="12"/>
    </row>
    <row r="9824" spans="5:10" x14ac:dyDescent="0.25">
      <c r="E9824"/>
      <c r="F9824"/>
      <c r="G9824" s="12"/>
      <c r="H9824" s="12"/>
      <c r="I9824" s="12"/>
      <c r="J9824" s="12"/>
    </row>
    <row r="9825" spans="5:10" x14ac:dyDescent="0.25">
      <c r="E9825"/>
      <c r="F9825"/>
      <c r="G9825" s="12"/>
      <c r="H9825" s="12"/>
      <c r="I9825" s="12"/>
      <c r="J9825" s="12"/>
    </row>
    <row r="9826" spans="5:10" x14ac:dyDescent="0.25">
      <c r="E9826"/>
      <c r="F9826"/>
      <c r="G9826" s="12"/>
      <c r="H9826" s="12"/>
      <c r="I9826" s="12"/>
      <c r="J9826" s="12"/>
    </row>
    <row r="9827" spans="5:10" x14ac:dyDescent="0.25">
      <c r="E9827"/>
      <c r="F9827"/>
      <c r="G9827" s="12"/>
      <c r="H9827" s="12"/>
      <c r="I9827" s="12"/>
      <c r="J9827" s="12"/>
    </row>
    <row r="9828" spans="5:10" x14ac:dyDescent="0.25">
      <c r="E9828"/>
      <c r="F9828"/>
      <c r="G9828" s="12"/>
      <c r="H9828" s="12"/>
      <c r="I9828" s="12"/>
      <c r="J9828" s="12"/>
    </row>
    <row r="9829" spans="5:10" x14ac:dyDescent="0.25">
      <c r="E9829"/>
      <c r="F9829"/>
      <c r="G9829" s="12"/>
      <c r="H9829" s="12"/>
      <c r="I9829" s="12"/>
      <c r="J9829" s="12"/>
    </row>
    <row r="9830" spans="5:10" x14ac:dyDescent="0.25">
      <c r="E9830"/>
      <c r="F9830"/>
      <c r="G9830" s="12"/>
      <c r="H9830" s="12"/>
      <c r="I9830" s="12"/>
      <c r="J9830" s="12"/>
    </row>
    <row r="9831" spans="5:10" x14ac:dyDescent="0.25">
      <c r="E9831"/>
      <c r="F9831"/>
      <c r="G9831" s="12"/>
      <c r="H9831" s="12"/>
      <c r="I9831" s="12"/>
      <c r="J9831" s="12"/>
    </row>
    <row r="9832" spans="5:10" x14ac:dyDescent="0.25">
      <c r="E9832"/>
      <c r="F9832"/>
      <c r="G9832" s="12"/>
      <c r="H9832" s="12"/>
      <c r="I9832" s="12"/>
      <c r="J9832" s="12"/>
    </row>
    <row r="9833" spans="5:10" x14ac:dyDescent="0.25">
      <c r="E9833"/>
      <c r="F9833"/>
      <c r="G9833" s="12"/>
      <c r="H9833" s="12"/>
      <c r="I9833" s="12"/>
      <c r="J9833" s="12"/>
    </row>
    <row r="9834" spans="5:10" x14ac:dyDescent="0.25">
      <c r="E9834"/>
      <c r="F9834"/>
      <c r="G9834" s="12"/>
      <c r="H9834" s="12"/>
      <c r="I9834" s="12"/>
      <c r="J9834" s="12"/>
    </row>
    <row r="9835" spans="5:10" x14ac:dyDescent="0.25">
      <c r="E9835"/>
      <c r="F9835"/>
      <c r="G9835" s="12"/>
      <c r="H9835" s="12"/>
      <c r="I9835" s="12"/>
      <c r="J9835" s="12"/>
    </row>
    <row r="9836" spans="5:10" x14ac:dyDescent="0.25">
      <c r="E9836"/>
      <c r="F9836"/>
      <c r="G9836" s="12"/>
      <c r="H9836" s="12"/>
      <c r="I9836" s="12"/>
      <c r="J9836" s="12"/>
    </row>
    <row r="9837" spans="5:10" x14ac:dyDescent="0.25">
      <c r="E9837"/>
      <c r="F9837"/>
      <c r="G9837" s="12"/>
      <c r="H9837" s="12"/>
      <c r="I9837" s="12"/>
      <c r="J9837" s="12"/>
    </row>
    <row r="9838" spans="5:10" x14ac:dyDescent="0.25">
      <c r="E9838"/>
      <c r="F9838"/>
      <c r="G9838" s="12"/>
      <c r="H9838" s="12"/>
      <c r="I9838" s="12"/>
      <c r="J9838" s="12"/>
    </row>
    <row r="9839" spans="5:10" x14ac:dyDescent="0.25">
      <c r="E9839"/>
      <c r="F9839"/>
      <c r="G9839" s="12"/>
      <c r="H9839" s="12"/>
      <c r="I9839" s="12"/>
      <c r="J9839" s="12"/>
    </row>
    <row r="9840" spans="5:10" x14ac:dyDescent="0.25">
      <c r="E9840"/>
      <c r="F9840"/>
      <c r="G9840" s="12"/>
      <c r="H9840" s="12"/>
      <c r="I9840" s="12"/>
      <c r="J9840" s="12"/>
    </row>
    <row r="9841" spans="5:10" x14ac:dyDescent="0.25">
      <c r="E9841"/>
      <c r="F9841"/>
      <c r="G9841" s="12"/>
      <c r="H9841" s="12"/>
      <c r="I9841" s="12"/>
      <c r="J9841" s="12"/>
    </row>
    <row r="9842" spans="5:10" x14ac:dyDescent="0.25">
      <c r="E9842"/>
      <c r="F9842"/>
      <c r="G9842" s="12"/>
      <c r="H9842" s="12"/>
      <c r="I9842" s="12"/>
      <c r="J9842" s="12"/>
    </row>
    <row r="9843" spans="5:10" x14ac:dyDescent="0.25">
      <c r="E9843"/>
      <c r="F9843"/>
      <c r="G9843" s="12"/>
      <c r="H9843" s="12"/>
      <c r="I9843" s="12"/>
      <c r="J9843" s="12"/>
    </row>
    <row r="9844" spans="5:10" x14ac:dyDescent="0.25">
      <c r="E9844"/>
      <c r="F9844"/>
      <c r="G9844" s="12"/>
      <c r="H9844" s="12"/>
      <c r="I9844" s="12"/>
      <c r="J9844" s="12"/>
    </row>
    <row r="9845" spans="5:10" x14ac:dyDescent="0.25">
      <c r="E9845"/>
      <c r="F9845"/>
      <c r="G9845" s="12"/>
      <c r="H9845" s="12"/>
      <c r="I9845" s="12"/>
      <c r="J9845" s="12"/>
    </row>
    <row r="9846" spans="5:10" x14ac:dyDescent="0.25">
      <c r="E9846"/>
      <c r="F9846"/>
      <c r="G9846" s="12"/>
      <c r="H9846" s="12"/>
      <c r="I9846" s="12"/>
      <c r="J9846" s="12"/>
    </row>
    <row r="9847" spans="5:10" x14ac:dyDescent="0.25">
      <c r="E9847"/>
      <c r="F9847"/>
      <c r="G9847" s="12"/>
      <c r="H9847" s="12"/>
      <c r="I9847" s="12"/>
      <c r="J9847" s="12"/>
    </row>
    <row r="9848" spans="5:10" x14ac:dyDescent="0.25">
      <c r="E9848"/>
      <c r="F9848"/>
      <c r="G9848" s="12"/>
      <c r="H9848" s="12"/>
      <c r="I9848" s="12"/>
      <c r="J9848" s="12"/>
    </row>
    <row r="9849" spans="5:10" x14ac:dyDescent="0.25">
      <c r="E9849"/>
      <c r="F9849"/>
      <c r="G9849" s="12"/>
      <c r="H9849" s="12"/>
      <c r="I9849" s="12"/>
      <c r="J9849" s="12"/>
    </row>
    <row r="9850" spans="5:10" x14ac:dyDescent="0.25">
      <c r="E9850"/>
      <c r="F9850"/>
      <c r="G9850" s="12"/>
      <c r="H9850" s="12"/>
      <c r="I9850" s="12"/>
      <c r="J9850" s="12"/>
    </row>
    <row r="9851" spans="5:10" x14ac:dyDescent="0.25">
      <c r="E9851"/>
      <c r="F9851"/>
      <c r="G9851" s="12"/>
      <c r="H9851" s="12"/>
      <c r="I9851" s="12"/>
      <c r="J9851" s="12"/>
    </row>
    <row r="9852" spans="5:10" x14ac:dyDescent="0.25">
      <c r="E9852"/>
      <c r="F9852"/>
      <c r="G9852" s="12"/>
      <c r="H9852" s="12"/>
      <c r="I9852" s="12"/>
      <c r="J9852" s="12"/>
    </row>
    <row r="9853" spans="5:10" x14ac:dyDescent="0.25">
      <c r="E9853"/>
      <c r="F9853"/>
      <c r="G9853" s="12"/>
      <c r="H9853" s="12"/>
      <c r="I9853" s="12"/>
      <c r="J9853" s="12"/>
    </row>
    <row r="9854" spans="5:10" x14ac:dyDescent="0.25">
      <c r="E9854"/>
      <c r="F9854"/>
      <c r="G9854" s="12"/>
      <c r="H9854" s="12"/>
      <c r="I9854" s="12"/>
      <c r="J9854" s="12"/>
    </row>
    <row r="9855" spans="5:10" x14ac:dyDescent="0.25">
      <c r="E9855"/>
      <c r="F9855"/>
      <c r="G9855" s="12"/>
      <c r="H9855" s="12"/>
      <c r="I9855" s="12"/>
      <c r="J9855" s="12"/>
    </row>
    <row r="9856" spans="5:10" x14ac:dyDescent="0.25">
      <c r="E9856"/>
      <c r="F9856"/>
      <c r="G9856" s="12"/>
      <c r="H9856" s="12"/>
      <c r="I9856" s="12"/>
      <c r="J9856" s="12"/>
    </row>
    <row r="9857" spans="5:10" x14ac:dyDescent="0.25">
      <c r="E9857"/>
      <c r="F9857"/>
      <c r="G9857" s="12"/>
      <c r="H9857" s="12"/>
      <c r="I9857" s="12"/>
      <c r="J9857" s="12"/>
    </row>
    <row r="9858" spans="5:10" x14ac:dyDescent="0.25">
      <c r="E9858"/>
      <c r="F9858"/>
      <c r="G9858" s="12"/>
      <c r="H9858" s="12"/>
      <c r="I9858" s="12"/>
      <c r="J9858" s="12"/>
    </row>
    <row r="9859" spans="5:10" x14ac:dyDescent="0.25">
      <c r="E9859"/>
      <c r="F9859"/>
      <c r="G9859" s="12"/>
      <c r="H9859" s="12"/>
      <c r="I9859" s="12"/>
      <c r="J9859" s="12"/>
    </row>
    <row r="9860" spans="5:10" x14ac:dyDescent="0.25">
      <c r="E9860"/>
      <c r="F9860"/>
      <c r="G9860" s="12"/>
      <c r="H9860" s="12"/>
      <c r="I9860" s="12"/>
      <c r="J9860" s="12"/>
    </row>
    <row r="9861" spans="5:10" x14ac:dyDescent="0.25">
      <c r="E9861"/>
      <c r="F9861"/>
      <c r="G9861" s="12"/>
      <c r="H9861" s="12"/>
      <c r="I9861" s="12"/>
      <c r="J9861" s="12"/>
    </row>
    <row r="9862" spans="5:10" x14ac:dyDescent="0.25">
      <c r="E9862"/>
      <c r="F9862"/>
      <c r="G9862" s="12"/>
      <c r="H9862" s="12"/>
      <c r="I9862" s="12"/>
      <c r="J9862" s="12"/>
    </row>
    <row r="9863" spans="5:10" x14ac:dyDescent="0.25">
      <c r="E9863"/>
      <c r="F9863"/>
      <c r="G9863" s="12"/>
      <c r="H9863" s="12"/>
      <c r="I9863" s="12"/>
      <c r="J9863" s="12"/>
    </row>
    <row r="9864" spans="5:10" x14ac:dyDescent="0.25">
      <c r="E9864"/>
      <c r="F9864"/>
      <c r="G9864" s="12"/>
      <c r="H9864" s="12"/>
      <c r="I9864" s="12"/>
      <c r="J9864" s="12"/>
    </row>
    <row r="9865" spans="5:10" x14ac:dyDescent="0.25">
      <c r="E9865"/>
      <c r="F9865"/>
      <c r="G9865" s="12"/>
      <c r="H9865" s="12"/>
      <c r="I9865" s="12"/>
      <c r="J9865" s="12"/>
    </row>
    <row r="9866" spans="5:10" x14ac:dyDescent="0.25">
      <c r="E9866"/>
      <c r="F9866"/>
      <c r="G9866" s="12"/>
      <c r="H9866" s="12"/>
      <c r="I9866" s="12"/>
      <c r="J9866" s="12"/>
    </row>
    <row r="9867" spans="5:10" x14ac:dyDescent="0.25">
      <c r="E9867"/>
      <c r="F9867"/>
      <c r="G9867" s="12"/>
      <c r="H9867" s="12"/>
      <c r="I9867" s="12"/>
      <c r="J9867" s="12"/>
    </row>
    <row r="9868" spans="5:10" x14ac:dyDescent="0.25">
      <c r="E9868"/>
      <c r="F9868"/>
      <c r="G9868" s="12"/>
      <c r="H9868" s="12"/>
      <c r="I9868" s="12"/>
      <c r="J9868" s="12"/>
    </row>
    <row r="9869" spans="5:10" x14ac:dyDescent="0.25">
      <c r="E9869"/>
      <c r="F9869"/>
      <c r="G9869" s="12"/>
      <c r="H9869" s="12"/>
      <c r="I9869" s="12"/>
      <c r="J9869" s="12"/>
    </row>
    <row r="9870" spans="5:10" x14ac:dyDescent="0.25">
      <c r="E9870"/>
      <c r="F9870"/>
      <c r="G9870" s="12"/>
      <c r="H9870" s="12"/>
      <c r="I9870" s="12"/>
      <c r="J9870" s="12"/>
    </row>
    <row r="9871" spans="5:10" x14ac:dyDescent="0.25">
      <c r="E9871"/>
      <c r="F9871"/>
      <c r="G9871" s="12"/>
      <c r="H9871" s="12"/>
      <c r="I9871" s="12"/>
      <c r="J9871" s="12"/>
    </row>
    <row r="9872" spans="5:10" x14ac:dyDescent="0.25">
      <c r="E9872"/>
      <c r="F9872"/>
      <c r="G9872" s="12"/>
      <c r="H9872" s="12"/>
      <c r="I9872" s="12"/>
      <c r="J9872" s="12"/>
    </row>
    <row r="9873" spans="5:10" x14ac:dyDescent="0.25">
      <c r="E9873"/>
      <c r="F9873"/>
      <c r="G9873" s="12"/>
      <c r="H9873" s="12"/>
      <c r="I9873" s="12"/>
      <c r="J9873" s="12"/>
    </row>
    <row r="9874" spans="5:10" x14ac:dyDescent="0.25">
      <c r="E9874"/>
      <c r="F9874"/>
      <c r="G9874" s="12"/>
      <c r="H9874" s="12"/>
      <c r="I9874" s="12"/>
      <c r="J9874" s="12"/>
    </row>
    <row r="9875" spans="5:10" x14ac:dyDescent="0.25">
      <c r="E9875"/>
      <c r="F9875"/>
      <c r="G9875" s="12"/>
      <c r="H9875" s="12"/>
      <c r="I9875" s="12"/>
      <c r="J9875" s="12"/>
    </row>
    <row r="9876" spans="5:10" x14ac:dyDescent="0.25">
      <c r="E9876"/>
      <c r="F9876"/>
      <c r="G9876" s="12"/>
      <c r="H9876" s="12"/>
      <c r="I9876" s="12"/>
      <c r="J9876" s="12"/>
    </row>
    <row r="9877" spans="5:10" x14ac:dyDescent="0.25">
      <c r="E9877"/>
      <c r="F9877"/>
      <c r="G9877" s="12"/>
      <c r="H9877" s="12"/>
      <c r="I9877" s="12"/>
      <c r="J9877" s="12"/>
    </row>
    <row r="9878" spans="5:10" x14ac:dyDescent="0.25">
      <c r="E9878"/>
      <c r="F9878"/>
      <c r="G9878" s="12"/>
      <c r="H9878" s="12"/>
      <c r="I9878" s="12"/>
      <c r="J9878" s="12"/>
    </row>
    <row r="9879" spans="5:10" x14ac:dyDescent="0.25">
      <c r="E9879"/>
      <c r="F9879"/>
      <c r="G9879" s="12"/>
      <c r="H9879" s="12"/>
      <c r="I9879" s="12"/>
      <c r="J9879" s="12"/>
    </row>
    <row r="9880" spans="5:10" x14ac:dyDescent="0.25">
      <c r="E9880"/>
      <c r="F9880"/>
      <c r="G9880" s="12"/>
      <c r="H9880" s="12"/>
      <c r="I9880" s="12"/>
      <c r="J9880" s="12"/>
    </row>
    <row r="9881" spans="5:10" x14ac:dyDescent="0.25">
      <c r="E9881"/>
      <c r="F9881"/>
      <c r="G9881" s="12"/>
      <c r="H9881" s="12"/>
      <c r="I9881" s="12"/>
      <c r="J9881" s="12"/>
    </row>
    <row r="9882" spans="5:10" x14ac:dyDescent="0.25">
      <c r="E9882"/>
      <c r="F9882"/>
      <c r="G9882" s="12"/>
      <c r="H9882" s="12"/>
      <c r="I9882" s="12"/>
      <c r="J9882" s="12"/>
    </row>
    <row r="9883" spans="5:10" x14ac:dyDescent="0.25">
      <c r="E9883"/>
      <c r="F9883"/>
      <c r="G9883" s="12"/>
      <c r="H9883" s="12"/>
      <c r="I9883" s="12"/>
      <c r="J9883" s="12"/>
    </row>
    <row r="9884" spans="5:10" x14ac:dyDescent="0.25">
      <c r="E9884"/>
      <c r="F9884"/>
      <c r="G9884" s="12"/>
      <c r="H9884" s="12"/>
      <c r="I9884" s="12"/>
      <c r="J9884" s="12"/>
    </row>
    <row r="9885" spans="5:10" x14ac:dyDescent="0.25">
      <c r="E9885"/>
      <c r="F9885"/>
      <c r="G9885" s="12"/>
      <c r="H9885" s="12"/>
      <c r="I9885" s="12"/>
      <c r="J9885" s="12"/>
    </row>
    <row r="9886" spans="5:10" x14ac:dyDescent="0.25">
      <c r="E9886"/>
      <c r="F9886"/>
      <c r="G9886" s="12"/>
      <c r="H9886" s="12"/>
      <c r="I9886" s="12"/>
      <c r="J9886" s="12"/>
    </row>
    <row r="9887" spans="5:10" x14ac:dyDescent="0.25">
      <c r="E9887"/>
      <c r="F9887"/>
      <c r="G9887" s="12"/>
      <c r="H9887" s="12"/>
      <c r="I9887" s="12"/>
      <c r="J9887" s="12"/>
    </row>
    <row r="9888" spans="5:10" x14ac:dyDescent="0.25">
      <c r="E9888"/>
      <c r="F9888"/>
      <c r="G9888" s="12"/>
      <c r="H9888" s="12"/>
      <c r="I9888" s="12"/>
      <c r="J9888" s="12"/>
    </row>
    <row r="9889" spans="5:10" x14ac:dyDescent="0.25">
      <c r="E9889"/>
      <c r="F9889"/>
      <c r="G9889" s="12"/>
      <c r="H9889" s="12"/>
      <c r="I9889" s="12"/>
      <c r="J9889" s="12"/>
    </row>
    <row r="9890" spans="5:10" x14ac:dyDescent="0.25">
      <c r="E9890"/>
      <c r="F9890"/>
      <c r="G9890" s="12"/>
      <c r="H9890" s="12"/>
      <c r="I9890" s="12"/>
      <c r="J9890" s="12"/>
    </row>
    <row r="9891" spans="5:10" x14ac:dyDescent="0.25">
      <c r="E9891"/>
      <c r="F9891"/>
      <c r="G9891" s="12"/>
      <c r="H9891" s="12"/>
      <c r="I9891" s="12"/>
      <c r="J9891" s="12"/>
    </row>
    <row r="9892" spans="5:10" x14ac:dyDescent="0.25">
      <c r="E9892"/>
      <c r="F9892"/>
      <c r="G9892" s="12"/>
      <c r="H9892" s="12"/>
      <c r="I9892" s="12"/>
      <c r="J9892" s="12"/>
    </row>
    <row r="9893" spans="5:10" x14ac:dyDescent="0.25">
      <c r="E9893"/>
      <c r="F9893"/>
      <c r="G9893" s="12"/>
      <c r="H9893" s="12"/>
      <c r="I9893" s="12"/>
      <c r="J9893" s="12"/>
    </row>
    <row r="9894" spans="5:10" x14ac:dyDescent="0.25">
      <c r="E9894"/>
      <c r="F9894"/>
      <c r="G9894" s="12"/>
      <c r="H9894" s="12"/>
      <c r="I9894" s="12"/>
      <c r="J9894" s="12"/>
    </row>
    <row r="9895" spans="5:10" x14ac:dyDescent="0.25">
      <c r="E9895"/>
      <c r="F9895"/>
      <c r="G9895" s="12"/>
      <c r="H9895" s="12"/>
      <c r="I9895" s="12"/>
      <c r="J9895" s="12"/>
    </row>
    <row r="9896" spans="5:10" x14ac:dyDescent="0.25">
      <c r="E9896"/>
      <c r="F9896"/>
      <c r="G9896" s="12"/>
      <c r="H9896" s="12"/>
      <c r="I9896" s="12"/>
      <c r="J9896" s="12"/>
    </row>
    <row r="9897" spans="5:10" x14ac:dyDescent="0.25">
      <c r="E9897"/>
      <c r="F9897"/>
      <c r="G9897" s="12"/>
      <c r="H9897" s="12"/>
      <c r="I9897" s="12"/>
      <c r="J9897" s="12"/>
    </row>
    <row r="9898" spans="5:10" x14ac:dyDescent="0.25">
      <c r="E9898"/>
      <c r="F9898"/>
      <c r="G9898" s="12"/>
      <c r="H9898" s="12"/>
      <c r="I9898" s="12"/>
      <c r="J9898" s="12"/>
    </row>
    <row r="9899" spans="5:10" x14ac:dyDescent="0.25">
      <c r="E9899"/>
      <c r="F9899"/>
      <c r="G9899" s="12"/>
      <c r="H9899" s="12"/>
      <c r="I9899" s="12"/>
      <c r="J9899" s="12"/>
    </row>
    <row r="9900" spans="5:10" x14ac:dyDescent="0.25">
      <c r="E9900"/>
      <c r="F9900"/>
      <c r="G9900" s="12"/>
      <c r="H9900" s="12"/>
      <c r="I9900" s="12"/>
      <c r="J9900" s="12"/>
    </row>
    <row r="9901" spans="5:10" x14ac:dyDescent="0.25">
      <c r="E9901"/>
      <c r="F9901"/>
      <c r="G9901" s="12"/>
      <c r="H9901" s="12"/>
      <c r="I9901" s="12"/>
      <c r="J9901" s="12"/>
    </row>
    <row r="9902" spans="5:10" x14ac:dyDescent="0.25">
      <c r="E9902"/>
      <c r="F9902"/>
      <c r="G9902" s="12"/>
      <c r="H9902" s="12"/>
      <c r="I9902" s="12"/>
      <c r="J9902" s="12"/>
    </row>
    <row r="9903" spans="5:10" x14ac:dyDescent="0.25">
      <c r="E9903"/>
      <c r="F9903"/>
      <c r="G9903" s="12"/>
      <c r="H9903" s="12"/>
      <c r="I9903" s="12"/>
      <c r="J9903" s="12"/>
    </row>
    <row r="9904" spans="5:10" x14ac:dyDescent="0.25">
      <c r="E9904"/>
      <c r="F9904"/>
      <c r="G9904" s="12"/>
      <c r="H9904" s="12"/>
      <c r="I9904" s="12"/>
      <c r="J9904" s="12"/>
    </row>
    <row r="9905" spans="5:10" x14ac:dyDescent="0.25">
      <c r="E9905"/>
      <c r="F9905"/>
      <c r="G9905" s="12"/>
      <c r="H9905" s="12"/>
      <c r="I9905" s="12"/>
      <c r="J9905" s="12"/>
    </row>
    <row r="9906" spans="5:10" x14ac:dyDescent="0.25">
      <c r="E9906"/>
      <c r="F9906"/>
      <c r="G9906" s="12"/>
      <c r="H9906" s="12"/>
      <c r="I9906" s="12"/>
      <c r="J9906" s="12"/>
    </row>
    <row r="9907" spans="5:10" x14ac:dyDescent="0.25">
      <c r="E9907"/>
      <c r="F9907"/>
      <c r="G9907" s="12"/>
      <c r="H9907" s="12"/>
      <c r="I9907" s="12"/>
      <c r="J9907" s="12"/>
    </row>
    <row r="9908" spans="5:10" x14ac:dyDescent="0.25">
      <c r="E9908"/>
      <c r="F9908"/>
      <c r="G9908" s="12"/>
      <c r="H9908" s="12"/>
      <c r="I9908" s="12"/>
      <c r="J9908" s="12"/>
    </row>
    <row r="9909" spans="5:10" x14ac:dyDescent="0.25">
      <c r="E9909"/>
      <c r="F9909"/>
      <c r="G9909" s="12"/>
      <c r="H9909" s="12"/>
      <c r="I9909" s="12"/>
      <c r="J9909" s="12"/>
    </row>
    <row r="9910" spans="5:10" x14ac:dyDescent="0.25">
      <c r="E9910"/>
      <c r="F9910"/>
      <c r="G9910" s="12"/>
      <c r="H9910" s="12"/>
      <c r="I9910" s="12"/>
      <c r="J9910" s="12"/>
    </row>
    <row r="9911" spans="5:10" x14ac:dyDescent="0.25">
      <c r="E9911"/>
      <c r="F9911"/>
      <c r="G9911" s="12"/>
      <c r="H9911" s="12"/>
      <c r="I9911" s="12"/>
      <c r="J9911" s="12"/>
    </row>
    <row r="9912" spans="5:10" x14ac:dyDescent="0.25">
      <c r="E9912"/>
      <c r="F9912"/>
      <c r="G9912" s="12"/>
      <c r="H9912" s="12"/>
      <c r="I9912" s="12"/>
      <c r="J9912" s="12"/>
    </row>
    <row r="9913" spans="5:10" x14ac:dyDescent="0.25">
      <c r="E9913"/>
      <c r="F9913"/>
      <c r="G9913" s="12"/>
      <c r="H9913" s="12"/>
      <c r="I9913" s="12"/>
      <c r="J9913" s="12"/>
    </row>
    <row r="9914" spans="5:10" x14ac:dyDescent="0.25">
      <c r="E9914"/>
      <c r="F9914"/>
      <c r="G9914" s="12"/>
      <c r="H9914" s="12"/>
      <c r="I9914" s="12"/>
      <c r="J9914" s="12"/>
    </row>
    <row r="9915" spans="5:10" x14ac:dyDescent="0.25">
      <c r="E9915"/>
      <c r="F9915"/>
      <c r="G9915" s="12"/>
      <c r="H9915" s="12"/>
      <c r="I9915" s="12"/>
      <c r="J9915" s="12"/>
    </row>
    <row r="9916" spans="5:10" x14ac:dyDescent="0.25">
      <c r="E9916"/>
      <c r="F9916"/>
      <c r="G9916" s="12"/>
      <c r="H9916" s="12"/>
      <c r="I9916" s="12"/>
      <c r="J9916" s="12"/>
    </row>
    <row r="9917" spans="5:10" x14ac:dyDescent="0.25">
      <c r="E9917"/>
      <c r="F9917"/>
      <c r="G9917" s="12"/>
      <c r="H9917" s="12"/>
      <c r="I9917" s="12"/>
      <c r="J9917" s="12"/>
    </row>
    <row r="9918" spans="5:10" x14ac:dyDescent="0.25">
      <c r="E9918"/>
      <c r="F9918"/>
      <c r="G9918" s="12"/>
      <c r="H9918" s="12"/>
      <c r="I9918" s="12"/>
      <c r="J9918" s="12"/>
    </row>
    <row r="9919" spans="5:10" x14ac:dyDescent="0.25">
      <c r="E9919"/>
      <c r="F9919"/>
      <c r="G9919" s="12"/>
      <c r="H9919" s="12"/>
      <c r="I9919" s="12"/>
      <c r="J9919" s="12"/>
    </row>
    <row r="9920" spans="5:10" x14ac:dyDescent="0.25">
      <c r="E9920"/>
      <c r="F9920"/>
      <c r="G9920" s="12"/>
      <c r="H9920" s="12"/>
      <c r="I9920" s="12"/>
      <c r="J9920" s="12"/>
    </row>
    <row r="9921" spans="5:10" x14ac:dyDescent="0.25">
      <c r="E9921"/>
      <c r="F9921"/>
      <c r="G9921" s="12"/>
      <c r="H9921" s="12"/>
      <c r="I9921" s="12"/>
      <c r="J9921" s="12"/>
    </row>
    <row r="9922" spans="5:10" x14ac:dyDescent="0.25">
      <c r="E9922"/>
      <c r="F9922"/>
      <c r="G9922" s="12"/>
      <c r="H9922" s="12"/>
      <c r="I9922" s="12"/>
      <c r="J9922" s="12"/>
    </row>
    <row r="9923" spans="5:10" x14ac:dyDescent="0.25">
      <c r="E9923"/>
      <c r="F9923"/>
      <c r="G9923" s="12"/>
      <c r="H9923" s="12"/>
      <c r="I9923" s="12"/>
      <c r="J9923" s="12"/>
    </row>
    <row r="9924" spans="5:10" x14ac:dyDescent="0.25">
      <c r="E9924"/>
      <c r="F9924"/>
      <c r="G9924" s="12"/>
      <c r="H9924" s="12"/>
      <c r="I9924" s="12"/>
      <c r="J9924" s="12"/>
    </row>
    <row r="9925" spans="5:10" x14ac:dyDescent="0.25">
      <c r="E9925"/>
      <c r="F9925"/>
      <c r="G9925" s="12"/>
      <c r="H9925" s="12"/>
      <c r="I9925" s="12"/>
      <c r="J9925" s="12"/>
    </row>
    <row r="9926" spans="5:10" x14ac:dyDescent="0.25">
      <c r="E9926"/>
      <c r="F9926"/>
      <c r="G9926" s="12"/>
      <c r="H9926" s="12"/>
      <c r="I9926" s="12"/>
      <c r="J9926" s="12"/>
    </row>
    <row r="9927" spans="5:10" x14ac:dyDescent="0.25">
      <c r="E9927"/>
      <c r="F9927"/>
      <c r="G9927" s="12"/>
      <c r="H9927" s="12"/>
      <c r="I9927" s="12"/>
      <c r="J9927" s="12"/>
    </row>
    <row r="9928" spans="5:10" x14ac:dyDescent="0.25">
      <c r="E9928"/>
      <c r="F9928"/>
      <c r="G9928" s="12"/>
      <c r="H9928" s="12"/>
      <c r="I9928" s="12"/>
      <c r="J9928" s="12"/>
    </row>
    <row r="9929" spans="5:10" x14ac:dyDescent="0.25">
      <c r="E9929"/>
      <c r="F9929"/>
      <c r="G9929" s="12"/>
      <c r="H9929" s="12"/>
      <c r="I9929" s="12"/>
      <c r="J9929" s="12"/>
    </row>
    <row r="9930" spans="5:10" x14ac:dyDescent="0.25">
      <c r="E9930"/>
      <c r="F9930"/>
      <c r="G9930" s="12"/>
      <c r="H9930" s="12"/>
      <c r="I9930" s="12"/>
      <c r="J9930" s="12"/>
    </row>
    <row r="9931" spans="5:10" x14ac:dyDescent="0.25">
      <c r="E9931"/>
      <c r="F9931"/>
      <c r="G9931" s="12"/>
      <c r="H9931" s="12"/>
      <c r="I9931" s="12"/>
      <c r="J9931" s="12"/>
    </row>
    <row r="9932" spans="5:10" x14ac:dyDescent="0.25">
      <c r="E9932"/>
      <c r="F9932"/>
      <c r="G9932" s="12"/>
      <c r="H9932" s="12"/>
      <c r="I9932" s="12"/>
      <c r="J9932" s="12"/>
    </row>
    <row r="9933" spans="5:10" x14ac:dyDescent="0.25">
      <c r="E9933"/>
      <c r="F9933"/>
      <c r="G9933" s="12"/>
      <c r="H9933" s="12"/>
      <c r="I9933" s="12"/>
      <c r="J9933" s="12"/>
    </row>
    <row r="9934" spans="5:10" x14ac:dyDescent="0.25">
      <c r="E9934"/>
      <c r="F9934"/>
      <c r="G9934" s="12"/>
      <c r="H9934" s="12"/>
      <c r="I9934" s="12"/>
      <c r="J9934" s="12"/>
    </row>
    <row r="9935" spans="5:10" x14ac:dyDescent="0.25">
      <c r="E9935"/>
      <c r="F9935"/>
      <c r="G9935" s="12"/>
      <c r="H9935" s="12"/>
      <c r="I9935" s="12"/>
      <c r="J9935" s="12"/>
    </row>
    <row r="9936" spans="5:10" x14ac:dyDescent="0.25">
      <c r="E9936"/>
      <c r="F9936"/>
      <c r="G9936" s="12"/>
      <c r="H9936" s="12"/>
      <c r="I9936" s="12"/>
      <c r="J9936" s="12"/>
    </row>
    <row r="9937" spans="5:10" x14ac:dyDescent="0.25">
      <c r="E9937"/>
      <c r="F9937"/>
      <c r="G9937" s="12"/>
      <c r="H9937" s="12"/>
      <c r="I9937" s="12"/>
      <c r="J9937" s="12"/>
    </row>
    <row r="9938" spans="5:10" x14ac:dyDescent="0.25">
      <c r="E9938"/>
      <c r="F9938"/>
      <c r="G9938" s="12"/>
      <c r="H9938" s="12"/>
      <c r="I9938" s="12"/>
      <c r="J9938" s="12"/>
    </row>
    <row r="9939" spans="5:10" x14ac:dyDescent="0.25">
      <c r="E9939"/>
      <c r="F9939"/>
      <c r="G9939" s="12"/>
      <c r="H9939" s="12"/>
      <c r="I9939" s="12"/>
      <c r="J9939" s="12"/>
    </row>
    <row r="9940" spans="5:10" x14ac:dyDescent="0.25">
      <c r="E9940"/>
      <c r="F9940"/>
      <c r="G9940" s="12"/>
      <c r="H9940" s="12"/>
      <c r="I9940" s="12"/>
      <c r="J9940" s="12"/>
    </row>
    <row r="9941" spans="5:10" x14ac:dyDescent="0.25">
      <c r="E9941"/>
      <c r="F9941"/>
      <c r="G9941" s="12"/>
      <c r="H9941" s="12"/>
      <c r="I9941" s="12"/>
      <c r="J9941" s="12"/>
    </row>
    <row r="9942" spans="5:10" x14ac:dyDescent="0.25">
      <c r="E9942"/>
      <c r="F9942"/>
      <c r="G9942" s="12"/>
      <c r="H9942" s="12"/>
      <c r="I9942" s="12"/>
      <c r="J9942" s="12"/>
    </row>
    <row r="9943" spans="5:10" x14ac:dyDescent="0.25">
      <c r="E9943"/>
      <c r="F9943"/>
      <c r="G9943" s="12"/>
      <c r="H9943" s="12"/>
      <c r="I9943" s="12"/>
      <c r="J9943" s="12"/>
    </row>
    <row r="9944" spans="5:10" x14ac:dyDescent="0.25">
      <c r="E9944"/>
      <c r="F9944"/>
      <c r="G9944" s="12"/>
      <c r="H9944" s="12"/>
      <c r="I9944" s="12"/>
      <c r="J9944" s="12"/>
    </row>
    <row r="9945" spans="5:10" x14ac:dyDescent="0.25">
      <c r="E9945"/>
      <c r="F9945"/>
      <c r="G9945" s="12"/>
      <c r="H9945" s="12"/>
      <c r="I9945" s="12"/>
      <c r="J9945" s="12"/>
    </row>
    <row r="9946" spans="5:10" x14ac:dyDescent="0.25">
      <c r="E9946"/>
      <c r="F9946"/>
      <c r="G9946" s="12"/>
      <c r="H9946" s="12"/>
      <c r="I9946" s="12"/>
      <c r="J9946" s="12"/>
    </row>
    <row r="9947" spans="5:10" x14ac:dyDescent="0.25">
      <c r="E9947"/>
      <c r="F9947"/>
      <c r="G9947" s="12"/>
      <c r="H9947" s="12"/>
      <c r="I9947" s="12"/>
      <c r="J9947" s="12"/>
    </row>
    <row r="9948" spans="5:10" x14ac:dyDescent="0.25">
      <c r="E9948"/>
      <c r="F9948"/>
      <c r="G9948" s="12"/>
      <c r="H9948" s="12"/>
      <c r="I9948" s="12"/>
      <c r="J9948" s="12"/>
    </row>
    <row r="9949" spans="5:10" x14ac:dyDescent="0.25">
      <c r="E9949"/>
      <c r="F9949"/>
      <c r="G9949" s="12"/>
      <c r="H9949" s="12"/>
      <c r="I9949" s="12"/>
      <c r="J9949" s="12"/>
    </row>
    <row r="9950" spans="5:10" x14ac:dyDescent="0.25">
      <c r="E9950"/>
      <c r="F9950"/>
      <c r="G9950" s="12"/>
      <c r="H9950" s="12"/>
      <c r="I9950" s="12"/>
      <c r="J9950" s="12"/>
    </row>
    <row r="9951" spans="5:10" x14ac:dyDescent="0.25">
      <c r="E9951"/>
      <c r="F9951"/>
      <c r="G9951" s="12"/>
      <c r="H9951" s="12"/>
      <c r="I9951" s="12"/>
      <c r="J9951" s="12"/>
    </row>
    <row r="9952" spans="5:10" x14ac:dyDescent="0.25">
      <c r="E9952"/>
      <c r="F9952"/>
      <c r="G9952" s="12"/>
      <c r="H9952" s="12"/>
      <c r="I9952" s="12"/>
      <c r="J9952" s="12"/>
    </row>
    <row r="9953" spans="5:10" x14ac:dyDescent="0.25">
      <c r="E9953"/>
      <c r="F9953"/>
      <c r="G9953" s="12"/>
      <c r="H9953" s="12"/>
      <c r="I9953" s="12"/>
      <c r="J9953" s="12"/>
    </row>
    <row r="9954" spans="5:10" x14ac:dyDescent="0.25">
      <c r="E9954"/>
      <c r="F9954"/>
      <c r="G9954" s="12"/>
      <c r="H9954" s="12"/>
      <c r="I9954" s="12"/>
      <c r="J9954" s="12"/>
    </row>
    <row r="9955" spans="5:10" x14ac:dyDescent="0.25">
      <c r="E9955"/>
      <c r="F9955"/>
      <c r="G9955" s="12"/>
      <c r="H9955" s="12"/>
      <c r="I9955" s="12"/>
      <c r="J9955" s="12"/>
    </row>
    <row r="9956" spans="5:10" x14ac:dyDescent="0.25">
      <c r="E9956"/>
      <c r="F9956"/>
      <c r="G9956" s="12"/>
      <c r="H9956" s="12"/>
      <c r="I9956" s="12"/>
      <c r="J9956" s="12"/>
    </row>
    <row r="9957" spans="5:10" x14ac:dyDescent="0.25">
      <c r="E9957"/>
      <c r="F9957"/>
      <c r="G9957" s="12"/>
      <c r="H9957" s="12"/>
      <c r="I9957" s="12"/>
      <c r="J9957" s="12"/>
    </row>
    <row r="9958" spans="5:10" x14ac:dyDescent="0.25">
      <c r="E9958"/>
      <c r="F9958"/>
      <c r="G9958" s="12"/>
      <c r="H9958" s="12"/>
      <c r="I9958" s="12"/>
      <c r="J9958" s="12"/>
    </row>
    <row r="9959" spans="5:10" x14ac:dyDescent="0.25">
      <c r="E9959"/>
      <c r="F9959"/>
      <c r="G9959" s="12"/>
      <c r="H9959" s="12"/>
      <c r="I9959" s="12"/>
      <c r="J9959" s="12"/>
    </row>
    <row r="9960" spans="5:10" x14ac:dyDescent="0.25">
      <c r="E9960"/>
      <c r="F9960"/>
      <c r="G9960" s="12"/>
      <c r="H9960" s="12"/>
      <c r="I9960" s="12"/>
      <c r="J9960" s="12"/>
    </row>
    <row r="9961" spans="5:10" x14ac:dyDescent="0.25">
      <c r="E9961"/>
      <c r="F9961"/>
      <c r="G9961" s="12"/>
      <c r="H9961" s="12"/>
      <c r="I9961" s="12"/>
      <c r="J9961" s="12"/>
    </row>
    <row r="9962" spans="5:10" x14ac:dyDescent="0.25">
      <c r="E9962"/>
      <c r="F9962"/>
      <c r="G9962" s="12"/>
      <c r="H9962" s="12"/>
      <c r="I9962" s="12"/>
      <c r="J9962" s="12"/>
    </row>
    <row r="9963" spans="5:10" x14ac:dyDescent="0.25">
      <c r="E9963"/>
      <c r="F9963"/>
      <c r="G9963" s="12"/>
      <c r="H9963" s="12"/>
      <c r="I9963" s="12"/>
      <c r="J9963" s="12"/>
    </row>
    <row r="9964" spans="5:10" x14ac:dyDescent="0.25">
      <c r="E9964"/>
      <c r="F9964"/>
      <c r="G9964" s="12"/>
      <c r="H9964" s="12"/>
      <c r="I9964" s="12"/>
      <c r="J9964" s="12"/>
    </row>
    <row r="9965" spans="5:10" x14ac:dyDescent="0.25">
      <c r="E9965"/>
      <c r="F9965"/>
      <c r="G9965" s="12"/>
      <c r="H9965" s="12"/>
      <c r="I9965" s="12"/>
      <c r="J9965" s="12"/>
    </row>
    <row r="9966" spans="5:10" x14ac:dyDescent="0.25">
      <c r="E9966"/>
      <c r="F9966"/>
      <c r="G9966" s="12"/>
      <c r="H9966" s="12"/>
      <c r="I9966" s="12"/>
      <c r="J9966" s="12"/>
    </row>
    <row r="9967" spans="5:10" x14ac:dyDescent="0.25">
      <c r="E9967"/>
      <c r="F9967"/>
      <c r="G9967" s="12"/>
      <c r="H9967" s="12"/>
      <c r="I9967" s="12"/>
      <c r="J9967" s="12"/>
    </row>
    <row r="9968" spans="5:10" x14ac:dyDescent="0.25">
      <c r="E9968"/>
      <c r="F9968"/>
      <c r="G9968" s="12"/>
      <c r="H9968" s="12"/>
      <c r="I9968" s="12"/>
      <c r="J9968" s="12"/>
    </row>
    <row r="9969" spans="5:10" x14ac:dyDescent="0.25">
      <c r="E9969"/>
      <c r="F9969"/>
      <c r="G9969" s="12"/>
      <c r="H9969" s="12"/>
      <c r="I9969" s="12"/>
      <c r="J9969" s="12"/>
    </row>
    <row r="9970" spans="5:10" x14ac:dyDescent="0.25">
      <c r="E9970"/>
      <c r="F9970"/>
      <c r="G9970" s="12"/>
      <c r="H9970" s="12"/>
      <c r="I9970" s="12"/>
      <c r="J9970" s="12"/>
    </row>
    <row r="9971" spans="5:10" x14ac:dyDescent="0.25">
      <c r="E9971"/>
      <c r="F9971"/>
      <c r="G9971" s="12"/>
      <c r="H9971" s="12"/>
      <c r="I9971" s="12"/>
      <c r="J9971" s="12"/>
    </row>
    <row r="9972" spans="5:10" x14ac:dyDescent="0.25">
      <c r="E9972"/>
      <c r="F9972"/>
      <c r="G9972" s="12"/>
      <c r="H9972" s="12"/>
      <c r="I9972" s="12"/>
      <c r="J9972" s="12"/>
    </row>
    <row r="9973" spans="5:10" x14ac:dyDescent="0.25">
      <c r="E9973"/>
      <c r="F9973"/>
      <c r="G9973" s="12"/>
      <c r="H9973" s="12"/>
      <c r="I9973" s="12"/>
      <c r="J9973" s="12"/>
    </row>
    <row r="9974" spans="5:10" x14ac:dyDescent="0.25">
      <c r="E9974"/>
      <c r="F9974"/>
      <c r="G9974" s="12"/>
      <c r="H9974" s="12"/>
      <c r="I9974" s="12"/>
      <c r="J9974" s="12"/>
    </row>
    <row r="9975" spans="5:10" x14ac:dyDescent="0.25">
      <c r="E9975"/>
      <c r="F9975"/>
      <c r="G9975" s="12"/>
      <c r="H9975" s="12"/>
      <c r="I9975" s="12"/>
      <c r="J9975" s="12"/>
    </row>
    <row r="9976" spans="5:10" x14ac:dyDescent="0.25">
      <c r="E9976"/>
      <c r="F9976"/>
      <c r="G9976" s="12"/>
      <c r="H9976" s="12"/>
      <c r="I9976" s="12"/>
      <c r="J9976" s="12"/>
    </row>
    <row r="9977" spans="5:10" x14ac:dyDescent="0.25">
      <c r="E9977"/>
      <c r="F9977"/>
      <c r="G9977" s="12"/>
      <c r="H9977" s="12"/>
      <c r="I9977" s="12"/>
      <c r="J9977" s="12"/>
    </row>
    <row r="9978" spans="5:10" x14ac:dyDescent="0.25">
      <c r="E9978"/>
      <c r="F9978"/>
      <c r="G9978" s="12"/>
      <c r="H9978" s="12"/>
      <c r="I9978" s="12"/>
      <c r="J9978" s="12"/>
    </row>
    <row r="9979" spans="5:10" x14ac:dyDescent="0.25">
      <c r="E9979"/>
      <c r="F9979"/>
      <c r="G9979" s="12"/>
      <c r="H9979" s="12"/>
      <c r="I9979" s="12"/>
      <c r="J9979" s="12"/>
    </row>
    <row r="9980" spans="5:10" x14ac:dyDescent="0.25">
      <c r="E9980"/>
      <c r="F9980"/>
      <c r="G9980" s="12"/>
      <c r="H9980" s="12"/>
      <c r="I9980" s="12"/>
      <c r="J9980" s="12"/>
    </row>
    <row r="9981" spans="5:10" x14ac:dyDescent="0.25">
      <c r="E9981"/>
      <c r="F9981"/>
      <c r="G9981" s="12"/>
      <c r="H9981" s="12"/>
      <c r="I9981" s="12"/>
      <c r="J9981" s="12"/>
    </row>
    <row r="9982" spans="5:10" x14ac:dyDescent="0.25">
      <c r="E9982"/>
      <c r="F9982"/>
      <c r="G9982" s="12"/>
      <c r="H9982" s="12"/>
      <c r="I9982" s="12"/>
      <c r="J9982" s="12"/>
    </row>
    <row r="9983" spans="5:10" x14ac:dyDescent="0.25">
      <c r="E9983"/>
      <c r="F9983"/>
      <c r="G9983" s="12"/>
      <c r="H9983" s="12"/>
      <c r="I9983" s="12"/>
      <c r="J9983" s="12"/>
    </row>
    <row r="9984" spans="5:10" x14ac:dyDescent="0.25">
      <c r="E9984"/>
      <c r="F9984"/>
      <c r="G9984" s="12"/>
      <c r="H9984" s="12"/>
      <c r="I9984" s="12"/>
      <c r="J9984" s="12"/>
    </row>
    <row r="9985" spans="5:10" x14ac:dyDescent="0.25">
      <c r="E9985"/>
      <c r="F9985"/>
      <c r="G9985" s="12"/>
      <c r="H9985" s="12"/>
      <c r="I9985" s="12"/>
      <c r="J9985" s="12"/>
    </row>
    <row r="9986" spans="5:10" x14ac:dyDescent="0.25">
      <c r="E9986"/>
      <c r="F9986"/>
      <c r="G9986" s="12"/>
      <c r="H9986" s="12"/>
      <c r="I9986" s="12"/>
      <c r="J9986" s="12"/>
    </row>
    <row r="9987" spans="5:10" x14ac:dyDescent="0.25">
      <c r="E9987"/>
      <c r="F9987"/>
      <c r="G9987" s="12"/>
      <c r="H9987" s="12"/>
      <c r="I9987" s="12"/>
      <c r="J9987" s="12"/>
    </row>
    <row r="9988" spans="5:10" x14ac:dyDescent="0.25">
      <c r="E9988"/>
      <c r="F9988"/>
      <c r="G9988" s="12"/>
      <c r="H9988" s="12"/>
      <c r="I9988" s="12"/>
      <c r="J9988" s="12"/>
    </row>
    <row r="9989" spans="5:10" x14ac:dyDescent="0.25">
      <c r="E9989"/>
      <c r="F9989"/>
      <c r="G9989" s="12"/>
      <c r="H9989" s="12"/>
      <c r="I9989" s="12"/>
      <c r="J9989" s="12"/>
    </row>
    <row r="9990" spans="5:10" x14ac:dyDescent="0.25">
      <c r="E9990"/>
      <c r="F9990"/>
      <c r="G9990" s="12"/>
      <c r="H9990" s="12"/>
      <c r="I9990" s="12"/>
      <c r="J9990" s="12"/>
    </row>
    <row r="9991" spans="5:10" x14ac:dyDescent="0.25">
      <c r="E9991"/>
      <c r="F9991"/>
      <c r="G9991" s="12"/>
      <c r="H9991" s="12"/>
      <c r="I9991" s="12"/>
      <c r="J9991" s="12"/>
    </row>
    <row r="9992" spans="5:10" x14ac:dyDescent="0.25">
      <c r="E9992"/>
      <c r="F9992"/>
      <c r="G9992" s="12"/>
      <c r="H9992" s="12"/>
      <c r="I9992" s="12"/>
      <c r="J9992" s="12"/>
    </row>
    <row r="9993" spans="5:10" x14ac:dyDescent="0.25">
      <c r="E9993"/>
      <c r="F9993"/>
      <c r="G9993" s="12"/>
      <c r="H9993" s="12"/>
      <c r="I9993" s="12"/>
      <c r="J9993" s="12"/>
    </row>
    <row r="9994" spans="5:10" x14ac:dyDescent="0.25">
      <c r="E9994"/>
      <c r="F9994"/>
      <c r="G9994" s="12"/>
      <c r="H9994" s="12"/>
      <c r="I9994" s="12"/>
      <c r="J9994" s="12"/>
    </row>
    <row r="9995" spans="5:10" x14ac:dyDescent="0.25">
      <c r="E9995"/>
      <c r="F9995"/>
      <c r="G9995" s="12"/>
      <c r="H9995" s="12"/>
      <c r="I9995" s="12"/>
      <c r="J9995" s="12"/>
    </row>
    <row r="9996" spans="5:10" x14ac:dyDescent="0.25">
      <c r="E9996"/>
      <c r="F9996"/>
      <c r="G9996" s="12"/>
      <c r="H9996" s="12"/>
      <c r="I9996" s="12"/>
      <c r="J9996" s="12"/>
    </row>
    <row r="9997" spans="5:10" x14ac:dyDescent="0.25">
      <c r="E9997"/>
      <c r="F9997"/>
      <c r="G9997" s="12"/>
      <c r="H9997" s="12"/>
      <c r="I9997" s="12"/>
      <c r="J9997" s="12"/>
    </row>
    <row r="9998" spans="5:10" x14ac:dyDescent="0.25">
      <c r="E9998"/>
      <c r="F9998"/>
      <c r="G9998" s="12"/>
      <c r="H9998" s="12"/>
      <c r="I9998" s="12"/>
      <c r="J9998" s="12"/>
    </row>
    <row r="9999" spans="5:10" x14ac:dyDescent="0.25">
      <c r="E9999"/>
      <c r="F9999"/>
      <c r="G9999" s="12"/>
      <c r="H9999" s="12"/>
      <c r="I9999" s="12"/>
      <c r="J9999" s="12"/>
    </row>
    <row r="10000" spans="5:10" x14ac:dyDescent="0.25">
      <c r="E10000"/>
      <c r="F10000"/>
      <c r="G10000" s="12"/>
      <c r="H10000" s="12"/>
      <c r="I10000" s="12"/>
      <c r="J10000" s="12"/>
    </row>
  </sheetData>
  <sheetProtection sort="0" autoFilter="0"/>
  <dataConsolidate/>
  <mergeCells count="6">
    <mergeCell ref="E33:G33"/>
    <mergeCell ref="E34:G34"/>
    <mergeCell ref="A31:D31"/>
    <mergeCell ref="A1:B2"/>
    <mergeCell ref="C1:H2"/>
    <mergeCell ref="E32:H32"/>
  </mergeCells>
  <phoneticPr fontId="4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tnInsurance">
              <controlPr defaultSize="0" print="0" autoFill="0" autoPict="0" macro="[0]!Insurance" altText="🔎 Vehicle Search">
                <anchor>
                  <from>
                    <xdr:col>0</xdr:col>
                    <xdr:colOff>561975</xdr:colOff>
                    <xdr:row>12</xdr:row>
                    <xdr:rowOff>123825</xdr:rowOff>
                  </from>
                  <to>
                    <xdr:col>1</xdr:col>
                    <xdr:colOff>1133475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tnFitness">
              <controlPr defaultSize="0" print="0" autoFill="0" autoPict="0" macro="[0]!Fitness" altText="🔎 Vehicle Search">
                <anchor>
                  <from>
                    <xdr:col>0</xdr:col>
                    <xdr:colOff>561975</xdr:colOff>
                    <xdr:row>14</xdr:row>
                    <xdr:rowOff>104775</xdr:rowOff>
                  </from>
                  <to>
                    <xdr:col>1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tnMVTax">
              <controlPr defaultSize="0" print="0" autoFill="0" autoPict="0" macro="[0]!MVTax" altText="🔎 Vehicle Search">
                <anchor>
                  <from>
                    <xdr:col>0</xdr:col>
                    <xdr:colOff>561975</xdr:colOff>
                    <xdr:row>16</xdr:row>
                    <xdr:rowOff>66675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tnPermit">
              <controlPr defaultSize="0" print="0" autoFill="0" autoPict="0" macro="[0]!Permit" altText="🔎 Vehicle Search">
                <anchor>
                  <from>
                    <xdr:col>0</xdr:col>
                    <xdr:colOff>561975</xdr:colOff>
                    <xdr:row>18</xdr:row>
                    <xdr:rowOff>28575</xdr:rowOff>
                  </from>
                  <to>
                    <xdr:col>1</xdr:col>
                    <xdr:colOff>1133475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Drop Down 16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23</xdr:row>
                    <xdr:rowOff>104775</xdr:rowOff>
                  </from>
                  <to>
                    <xdr:col>1</xdr:col>
                    <xdr:colOff>1171575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9" name="Drop Down 18">
              <controlPr defaultSize="0" autoLine="0" autoPict="0" macro="[0]!UpdateFilters" altText="🔎 Vehicle Search">
                <anchor>
                  <from>
                    <xdr:col>0</xdr:col>
                    <xdr:colOff>571500</xdr:colOff>
                    <xdr:row>21</xdr:row>
                    <xdr:rowOff>123825</xdr:rowOff>
                  </from>
                  <to>
                    <xdr:col>1</xdr:col>
                    <xdr:colOff>1171575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0" name="Button 20">
              <controlPr defaultSize="0" print="0" autoFill="0" autoPict="0" macro="[0]!ResetFilters" altText="🔎 Vehicle Search">
                <anchor>
                  <from>
                    <xdr:col>0</xdr:col>
                    <xdr:colOff>333375</xdr:colOff>
                    <xdr:row>26</xdr:row>
                    <xdr:rowOff>142875</xdr:rowOff>
                  </from>
                  <to>
                    <xdr:col>1</xdr:col>
                    <xdr:colOff>1371600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1" name="btnSWPE">
              <controlPr defaultSize="0" print="0" autoFill="0" autoPict="0" macro="[0]!SelectSWPE" altText="🔎 Vehicle Search">
                <anchor>
                  <from>
                    <xdr:col>0</xdr:col>
                    <xdr:colOff>609600</xdr:colOff>
                    <xdr:row>6</xdr:row>
                    <xdr:rowOff>142875</xdr:rowOff>
                  </from>
                  <to>
                    <xdr:col>1</xdr:col>
                    <xdr:colOff>1171575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2" name="btnSWIN">
              <controlPr defaultSize="0" print="0" autoFill="0" autoPict="0" macro="[0]!SelectSWIN" altText="🔎 Vehicle Search">
                <anchor>
                  <from>
                    <xdr:col>0</xdr:col>
                    <xdr:colOff>609600</xdr:colOff>
                    <xdr:row>8</xdr:row>
                    <xdr:rowOff>123825</xdr:rowOff>
                  </from>
                  <to>
                    <xdr:col>1</xdr:col>
                    <xdr:colOff>1171575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3" name="btnExpired">
              <controlPr defaultSize="0" print="0" autoFill="0" autoPict="0" macro="[0]!ShowExpiredDashboard">
                <anchor moveWithCells="1" sizeWithCells="1">
                  <from>
                    <xdr:col>0</xdr:col>
                    <xdr:colOff>1143000</xdr:colOff>
                    <xdr:row>25</xdr:row>
                    <xdr:rowOff>47625</xdr:rowOff>
                  </from>
                  <to>
                    <xdr:col>1</xdr:col>
                    <xdr:colOff>1371600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SWPE</vt:lpstr>
      <vt:lpstr>SWIN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Utkarsh Kashyap / Executive / Office / Gurgaon (HO)</cp:lastModifiedBy>
  <cp:revision/>
  <dcterms:created xsi:type="dcterms:W3CDTF">2006-09-16T00:00:00Z</dcterms:created>
  <dcterms:modified xsi:type="dcterms:W3CDTF">2026-09-25T06:41:13Z</dcterms:modified>
  <cp:category/>
  <cp:contentStatus/>
</cp:coreProperties>
</file>