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elworkspower-my.sharepoint.com/personal/utkarsh_kashyap_steelworks_in/Documents/Desktop/Utkarsh/Vehicle Report/Vehicle Data/New folder/"/>
    </mc:Choice>
  </mc:AlternateContent>
  <xr:revisionPtr revIDLastSave="25" documentId="8_{4B3B11BA-3F1A-4854-BD0F-601ED7D9C4A7}" xr6:coauthVersionLast="47" xr6:coauthVersionMax="47" xr10:uidLastSave="{BB02015B-21FE-447B-8CEA-0628FD37E132}"/>
  <bookViews>
    <workbookView xWindow="-120" yWindow="-120" windowWidth="29040" windowHeight="15720" xr2:uid="{1435C7AA-7615-4174-BD49-31C5196C5BCE}"/>
  </bookViews>
  <sheets>
    <sheet name="SWPE" sheetId="1" r:id="rId1"/>
  </sheets>
  <definedNames>
    <definedName name="_xlnm._FilterDatabase" localSheetId="0" hidden="1">SWPE!$A$1:$AG$25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0" i="1" l="1"/>
  <c r="Q25" i="1"/>
  <c r="O25" i="1"/>
  <c r="P25" i="1"/>
  <c r="T25" i="1"/>
  <c r="U25" i="1"/>
  <c r="AK25" i="1"/>
  <c r="AJ25" i="1"/>
  <c r="H25" i="1"/>
  <c r="AK24" i="1"/>
  <c r="AJ24" i="1"/>
  <c r="U24" i="1"/>
  <c r="T24" i="1"/>
  <c r="Q24" i="1"/>
  <c r="P24" i="1"/>
  <c r="O24" i="1"/>
  <c r="H24" i="1"/>
  <c r="AK23" i="1"/>
  <c r="AJ23" i="1"/>
  <c r="AA23" i="1"/>
  <c r="V23" i="1"/>
  <c r="U23" i="1"/>
  <c r="T23" i="1"/>
  <c r="Q23" i="1"/>
  <c r="P23" i="1"/>
  <c r="O23" i="1"/>
  <c r="H23" i="1"/>
  <c r="AK22" i="1"/>
  <c r="AJ22" i="1"/>
  <c r="AA22" i="1"/>
  <c r="V22" i="1"/>
  <c r="U22" i="1"/>
  <c r="T22" i="1"/>
  <c r="Q22" i="1"/>
  <c r="P22" i="1"/>
  <c r="O22" i="1"/>
  <c r="H22" i="1"/>
  <c r="AA21" i="1"/>
  <c r="V21" i="1"/>
  <c r="U21" i="1"/>
  <c r="T21" i="1"/>
  <c r="Q21" i="1"/>
  <c r="P21" i="1"/>
  <c r="O21" i="1"/>
  <c r="H21" i="1"/>
  <c r="AA20" i="1"/>
  <c r="V20" i="1"/>
  <c r="U20" i="1"/>
  <c r="Q20" i="1"/>
  <c r="P20" i="1"/>
  <c r="O20" i="1"/>
  <c r="H20" i="1"/>
  <c r="AA19" i="1"/>
  <c r="V19" i="1"/>
  <c r="U19" i="1"/>
  <c r="T19" i="1"/>
  <c r="Q19" i="1"/>
  <c r="P19" i="1"/>
  <c r="O19" i="1"/>
  <c r="H19" i="1"/>
  <c r="AE18" i="1"/>
  <c r="AD18" i="1"/>
  <c r="AC18" i="1"/>
  <c r="AA18" i="1"/>
  <c r="Z18" i="1"/>
  <c r="Y18" i="1"/>
  <c r="V18" i="1"/>
  <c r="U18" i="1"/>
  <c r="T18" i="1"/>
  <c r="Q18" i="1"/>
  <c r="P18" i="1"/>
  <c r="O18" i="1"/>
  <c r="H18" i="1"/>
  <c r="AA17" i="1"/>
  <c r="V17" i="1"/>
  <c r="U17" i="1"/>
  <c r="T17" i="1"/>
  <c r="Q17" i="1"/>
  <c r="P17" i="1"/>
  <c r="O17" i="1"/>
  <c r="H17" i="1"/>
  <c r="V16" i="1"/>
  <c r="U16" i="1"/>
  <c r="T16" i="1"/>
  <c r="Q16" i="1"/>
  <c r="P16" i="1"/>
  <c r="O16" i="1"/>
  <c r="H16" i="1"/>
  <c r="AA15" i="1"/>
  <c r="Z15" i="1"/>
  <c r="Y15" i="1"/>
  <c r="V15" i="1"/>
  <c r="U15" i="1"/>
  <c r="T15" i="1"/>
  <c r="Q15" i="1"/>
  <c r="P15" i="1"/>
  <c r="O15" i="1"/>
  <c r="H15" i="1"/>
  <c r="Z14" i="1"/>
  <c r="Y14" i="1"/>
  <c r="V14" i="1"/>
  <c r="U14" i="1"/>
  <c r="T14" i="1"/>
  <c r="Q14" i="1"/>
  <c r="P14" i="1"/>
  <c r="O14" i="1"/>
  <c r="H14" i="1"/>
  <c r="AA13" i="1"/>
  <c r="Z13" i="1"/>
  <c r="Y13" i="1"/>
  <c r="V13" i="1"/>
  <c r="U13" i="1"/>
  <c r="T13" i="1"/>
  <c r="Q13" i="1"/>
  <c r="P13" i="1"/>
  <c r="O13" i="1"/>
  <c r="H13" i="1"/>
  <c r="AA12" i="1"/>
  <c r="V12" i="1"/>
  <c r="U12" i="1"/>
  <c r="T12" i="1"/>
  <c r="Q12" i="1"/>
  <c r="P12" i="1"/>
  <c r="O12" i="1"/>
  <c r="H12" i="1"/>
  <c r="AE11" i="1"/>
  <c r="AD11" i="1"/>
  <c r="AC11" i="1"/>
  <c r="AA11" i="1"/>
  <c r="Z11" i="1"/>
  <c r="Y11" i="1"/>
  <c r="V11" i="1"/>
  <c r="U11" i="1"/>
  <c r="T11" i="1"/>
  <c r="Q11" i="1"/>
  <c r="P11" i="1"/>
  <c r="O11" i="1"/>
  <c r="H11" i="1"/>
  <c r="AA10" i="1"/>
  <c r="Z10" i="1"/>
  <c r="Y10" i="1"/>
  <c r="V10" i="1"/>
  <c r="U10" i="1"/>
  <c r="T10" i="1"/>
  <c r="Q10" i="1"/>
  <c r="P10" i="1"/>
  <c r="O10" i="1"/>
  <c r="H10" i="1"/>
  <c r="AA9" i="1"/>
  <c r="V9" i="1"/>
  <c r="U9" i="1"/>
  <c r="T9" i="1"/>
  <c r="Q9" i="1"/>
  <c r="P9" i="1"/>
  <c r="O9" i="1"/>
  <c r="H9" i="1"/>
  <c r="AA8" i="1"/>
  <c r="Z8" i="1"/>
  <c r="Y8" i="1"/>
  <c r="V8" i="1"/>
  <c r="U8" i="1"/>
  <c r="T8" i="1"/>
  <c r="Q8" i="1"/>
  <c r="P8" i="1"/>
  <c r="O8" i="1"/>
  <c r="H8" i="1"/>
  <c r="AA7" i="1"/>
  <c r="Z7" i="1"/>
  <c r="Y7" i="1"/>
  <c r="V7" i="1"/>
  <c r="U7" i="1"/>
  <c r="T7" i="1"/>
  <c r="Q7" i="1"/>
  <c r="P7" i="1"/>
  <c r="O7" i="1"/>
  <c r="H7" i="1"/>
  <c r="AA6" i="1"/>
  <c r="Z6" i="1"/>
  <c r="Y6" i="1"/>
  <c r="V6" i="1"/>
  <c r="U6" i="1"/>
  <c r="T6" i="1"/>
  <c r="Q6" i="1"/>
  <c r="P6" i="1"/>
  <c r="O6" i="1"/>
  <c r="H6" i="1"/>
  <c r="AA5" i="1"/>
  <c r="V5" i="1"/>
  <c r="U5" i="1"/>
  <c r="T5" i="1"/>
  <c r="Q5" i="1"/>
  <c r="P5" i="1"/>
  <c r="O5" i="1"/>
  <c r="H5" i="1"/>
  <c r="AE4" i="1"/>
  <c r="AD4" i="1"/>
  <c r="AC4" i="1"/>
  <c r="AA4" i="1"/>
  <c r="Z4" i="1"/>
  <c r="Y4" i="1"/>
  <c r="V4" i="1"/>
  <c r="U4" i="1"/>
  <c r="T4" i="1"/>
  <c r="Q4" i="1"/>
  <c r="P4" i="1"/>
  <c r="O4" i="1"/>
  <c r="H4" i="1"/>
  <c r="AE3" i="1"/>
  <c r="AD3" i="1"/>
  <c r="AC3" i="1"/>
  <c r="AA3" i="1"/>
  <c r="Z3" i="1"/>
  <c r="Y3" i="1"/>
  <c r="V3" i="1"/>
  <c r="U3" i="1"/>
  <c r="T3" i="1"/>
  <c r="Q3" i="1"/>
  <c r="P3" i="1"/>
  <c r="O3" i="1"/>
  <c r="H3" i="1"/>
  <c r="AA2" i="1"/>
  <c r="Z2" i="1"/>
  <c r="Y2" i="1"/>
  <c r="V2" i="1"/>
  <c r="U2" i="1"/>
  <c r="T2" i="1"/>
  <c r="Q2" i="1"/>
  <c r="P2" i="1"/>
  <c r="O2" i="1"/>
  <c r="H2" i="1"/>
  <c r="AG16" i="1" l="1"/>
  <c r="AG24" i="1"/>
  <c r="AG7" i="1"/>
  <c r="AG4" i="1"/>
  <c r="AG19" i="1"/>
  <c r="AG12" i="1"/>
  <c r="AG20" i="1"/>
  <c r="AG21" i="1"/>
  <c r="AG22" i="1"/>
  <c r="AG9" i="1"/>
  <c r="AG14" i="1"/>
  <c r="AG3" i="1"/>
  <c r="AG15" i="1"/>
  <c r="AG25" i="1"/>
  <c r="AG13" i="1"/>
  <c r="AG5" i="1"/>
  <c r="AG6" i="1"/>
  <c r="AG8" i="1"/>
  <c r="AG10" i="1"/>
  <c r="AG11" i="1"/>
  <c r="AG2" i="1"/>
  <c r="AG17" i="1"/>
  <c r="AG23" i="1"/>
  <c r="AG18" i="1"/>
</calcChain>
</file>

<file path=xl/sharedStrings.xml><?xml version="1.0" encoding="utf-8"?>
<sst xmlns="http://schemas.openxmlformats.org/spreadsheetml/2006/main" count="407" uniqueCount="213">
  <si>
    <t>VEHICLE NO.</t>
  </si>
  <si>
    <t xml:space="preserve">VEHICAL NAME </t>
  </si>
  <si>
    <t>RTO Location</t>
  </si>
  <si>
    <t>Model No.</t>
  </si>
  <si>
    <t>Chassis No.</t>
  </si>
  <si>
    <t>Engine No</t>
  </si>
  <si>
    <t xml:space="preserve">Model Year </t>
  </si>
  <si>
    <t>Registration Certificate</t>
  </si>
  <si>
    <t>RC Valid Upto</t>
  </si>
  <si>
    <t>Insured Value (IDV)</t>
  </si>
  <si>
    <t>Insurance Company</t>
  </si>
  <si>
    <t>Policy No.</t>
  </si>
  <si>
    <t>Insurance Start Date</t>
  </si>
  <si>
    <t>Insurance End Date</t>
  </si>
  <si>
    <t>Insurance Status</t>
  </si>
  <si>
    <t>Insurance Days Left</t>
  </si>
  <si>
    <t>Insurance Document Link</t>
  </si>
  <si>
    <t>Fitness Start Date</t>
  </si>
  <si>
    <t>Fitness Expiry Date</t>
  </si>
  <si>
    <t>Fitness Status</t>
  </si>
  <si>
    <t>Fitness Days Left</t>
  </si>
  <si>
    <t>Fitness Document Link</t>
  </si>
  <si>
    <t>MV Tax Start Date</t>
  </si>
  <si>
    <t>MV Tax Expiry Date</t>
  </si>
  <si>
    <t>MV Tax Status</t>
  </si>
  <si>
    <t>MV Tax Days Left</t>
  </si>
  <si>
    <t>MV Tax Document Link</t>
  </si>
  <si>
    <t>Permit Expiry Date</t>
  </si>
  <si>
    <t>Permit Status</t>
  </si>
  <si>
    <t>Permit Days Left</t>
  </si>
  <si>
    <t>Permit Document Link</t>
  </si>
  <si>
    <t>Insurance Amount</t>
  </si>
  <si>
    <t>Fully Compliant Vehicle</t>
  </si>
  <si>
    <t>TP Start Date</t>
  </si>
  <si>
    <t>TP Expiry Date</t>
  </si>
  <si>
    <t>TP Status</t>
  </si>
  <si>
    <t>TP Days Left</t>
  </si>
  <si>
    <t>TP Document Link</t>
  </si>
  <si>
    <t>REMARKS</t>
  </si>
  <si>
    <t>WB73G4987</t>
  </si>
  <si>
    <t>TATA ACE</t>
  </si>
  <si>
    <t xml:space="preserve">Siliguri </t>
  </si>
  <si>
    <t>MAT559029NZG19075</t>
  </si>
  <si>
    <t>700CCDI02GXXSA4523</t>
  </si>
  <si>
    <t>United India Insurance Co. Ltd.</t>
  </si>
  <si>
    <t>1101003125P112507588</t>
  </si>
  <si>
    <t>-</t>
  </si>
  <si>
    <t>OD &amp; TP ARE TOGETHER</t>
  </si>
  <si>
    <t>HR55AH9974</t>
  </si>
  <si>
    <t>SML Isuzu Bus</t>
  </si>
  <si>
    <t xml:space="preserve">Tidong </t>
  </si>
  <si>
    <t>SML ISUZU</t>
  </si>
  <si>
    <t>MBUWEL4XDS0261533</t>
  </si>
  <si>
    <t>SLT4CS254859</t>
  </si>
  <si>
    <t>1101003125P112508824</t>
  </si>
  <si>
    <t>RJ02GC3403</t>
  </si>
  <si>
    <t>Ashok Leyland Truck</t>
  </si>
  <si>
    <t>CA1815/47 H CC</t>
  </si>
  <si>
    <t>MB1AZGCD5NRBD1274</t>
  </si>
  <si>
    <t>NBHZ432013</t>
  </si>
  <si>
    <t>IFFCO-TOKIO General Insurance Co. Ltd.</t>
  </si>
  <si>
    <t>1-6XAB1ADH P400 Policy # N5557999</t>
  </si>
  <si>
    <t>HR26DV1335</t>
  </si>
  <si>
    <t>Hyundai Creta</t>
  </si>
  <si>
    <t xml:space="preserve">Gurgaon </t>
  </si>
  <si>
    <t>Creta 1.6 VTVT AUTO SX</t>
  </si>
  <si>
    <t>MALC381CMJM512226</t>
  </si>
  <si>
    <t>G4FGJU558305</t>
  </si>
  <si>
    <t>Generali Central Insurance Co. Ltd.</t>
  </si>
  <si>
    <t>132/02/11/1226/MTP/2410116601</t>
  </si>
  <si>
    <t>LTT</t>
  </si>
  <si>
    <t>WB74BN0797</t>
  </si>
  <si>
    <t xml:space="preserve">Maruti Suzuki Grand Vitara </t>
  </si>
  <si>
    <t xml:space="preserve">Vitara </t>
  </si>
  <si>
    <t>MBJTYKL1SNK107808</t>
  </si>
  <si>
    <t>K15CN7039438</t>
  </si>
  <si>
    <t>Liberty General Insurance</t>
  </si>
  <si>
    <t>201120010425790069900000</t>
  </si>
  <si>
    <t>NL02N7972</t>
  </si>
  <si>
    <t>Escort Hydra</t>
  </si>
  <si>
    <t>Alwar</t>
  </si>
  <si>
    <t>HY 14T</t>
  </si>
  <si>
    <t>195F008521</t>
  </si>
  <si>
    <t>AE4286A3AE334685</t>
  </si>
  <si>
    <t>4,43,487.00</t>
  </si>
  <si>
    <t>Chola MS General Insurance Co. Ltd.</t>
  </si>
  <si>
    <t>3380/03089205/000/00</t>
  </si>
  <si>
    <t>RJ02GC2332</t>
  </si>
  <si>
    <t xml:space="preserve">Mahindra Pickup Van </t>
  </si>
  <si>
    <t>BMT PLUS PS 12T</t>
  </si>
  <si>
    <t>MA1ZP2TLKN1A15376</t>
  </si>
  <si>
    <t>TLN1A95148</t>
  </si>
  <si>
    <t>4,25,000.00</t>
  </si>
  <si>
    <t>Oriental Insurance Co. Ltd.</t>
  </si>
  <si>
    <t>262300/31/2026/2103</t>
  </si>
  <si>
    <t>RJ02EA2165</t>
  </si>
  <si>
    <t>Crane</t>
  </si>
  <si>
    <t xml:space="preserve">Alwar </t>
  </si>
  <si>
    <t>HYDRA 153P SB</t>
  </si>
  <si>
    <t>ECE01195VN0672820</t>
  </si>
  <si>
    <t>AE4312C3AE3645898</t>
  </si>
  <si>
    <t>1-7C3TVWWH P400 Policy # N6302612</t>
  </si>
  <si>
    <t>NL04D5885</t>
  </si>
  <si>
    <t>Hydra Ace Crane</t>
  </si>
  <si>
    <t>ACE 18XW</t>
  </si>
  <si>
    <t>GVHM432799</t>
  </si>
  <si>
    <t>1-7CJZK8YM P400 Policy # N6301703</t>
  </si>
  <si>
    <t>HR55AC9581</t>
  </si>
  <si>
    <t>Tata LPT 2518 Truck</t>
  </si>
  <si>
    <t>Gurgaon</t>
  </si>
  <si>
    <t>TATA LPT &amp; 2518 CR BS IV</t>
  </si>
  <si>
    <t>MAT448221H2P24945</t>
  </si>
  <si>
    <t>ISBE591804071H63618343</t>
  </si>
  <si>
    <t>Universal Sompo General Insurance Co. Ltd.</t>
  </si>
  <si>
    <t>AVO/2315/20090445</t>
  </si>
  <si>
    <t>HR98D3281</t>
  </si>
  <si>
    <t>Skoda Kodiaq</t>
  </si>
  <si>
    <t>KODIAQ SPORTLINE</t>
  </si>
  <si>
    <t>TMBMEBNS2NA400233</t>
  </si>
  <si>
    <t>DKZ235145</t>
  </si>
  <si>
    <t>25,00,000.00</t>
  </si>
  <si>
    <t>Bajaj Allianz General Insurance Co. Ltd.</t>
  </si>
  <si>
    <t>OG-27-1104-1801-00000281</t>
  </si>
  <si>
    <t>WB74AG4079</t>
  </si>
  <si>
    <t>Maruti Suzuki Swift Dzire</t>
  </si>
  <si>
    <t>Swift Dzire VDI</t>
  </si>
  <si>
    <t>MA3FJEB1S00700026</t>
  </si>
  <si>
    <t>D13A2549921</t>
  </si>
  <si>
    <t>USGI/WEBAG/1289809/00/000</t>
  </si>
  <si>
    <t>NL03A2571</t>
  </si>
  <si>
    <t>JCB 3D Excavator</t>
  </si>
  <si>
    <t>T410261500006</t>
  </si>
  <si>
    <t>15,00,000.00</t>
  </si>
  <si>
    <t>ICICI Lombard General Insurance Company</t>
  </si>
  <si>
    <t>3008/441012898/00/B00</t>
  </si>
  <si>
    <t>NL04D6690</t>
  </si>
  <si>
    <t>Ace Pick-n-Carry Crane</t>
  </si>
  <si>
    <t>ACE FX 150</t>
  </si>
  <si>
    <t>ACEFX150PG0739696</t>
  </si>
  <si>
    <t>ERY817500</t>
  </si>
  <si>
    <t>254001/31/2027/532</t>
  </si>
  <si>
    <t>RJ02RE2119</t>
  </si>
  <si>
    <t xml:space="preserve">Mahindra Tractor </t>
  </si>
  <si>
    <t>MAHINDRA 575</t>
  </si>
  <si>
    <t>MBNAAALXKHJB00396</t>
  </si>
  <si>
    <t>NHA2MBE0538</t>
  </si>
  <si>
    <t>0407033126P106160805</t>
  </si>
  <si>
    <t>NA</t>
  </si>
  <si>
    <t>HR98F8540</t>
  </si>
  <si>
    <t>Tata Harrier</t>
  </si>
  <si>
    <t>XZA Plus SUV</t>
  </si>
  <si>
    <t>MAT631585NPG68937</t>
  </si>
  <si>
    <t>Future Generali Insurance Company</t>
  </si>
  <si>
    <t>VE116843</t>
  </si>
  <si>
    <t>RJ02PA8005</t>
  </si>
  <si>
    <t>Isuzu S7 CNG Bus</t>
  </si>
  <si>
    <t>S73335 SDX BUS</t>
  </si>
  <si>
    <t>MBUWEL4XAM0294899</t>
  </si>
  <si>
    <t>SLTNG6AM286335</t>
  </si>
  <si>
    <t>Oriental Insurance Company Limited</t>
  </si>
  <si>
    <t>231100/31/2027/2380</t>
  </si>
  <si>
    <t>RJ02EA1812</t>
  </si>
  <si>
    <t xml:space="preserve">HYDRA ACE 15 Crane </t>
  </si>
  <si>
    <t>18XW</t>
  </si>
  <si>
    <t>ACE018XWEK0846754</t>
  </si>
  <si>
    <t>A65CTAJ0000382</t>
  </si>
  <si>
    <t>N5162338</t>
  </si>
  <si>
    <t>HR98B8878</t>
  </si>
  <si>
    <t>Maruti Suzuki Baleno</t>
  </si>
  <si>
    <t>BALENO ZETA</t>
  </si>
  <si>
    <t>MBHEWB22SMF716937</t>
  </si>
  <si>
    <t>K12MP4223382</t>
  </si>
  <si>
    <t>VE152420</t>
  </si>
  <si>
    <t>HR26EX5936</t>
  </si>
  <si>
    <t>JCB Backhoe Loader</t>
  </si>
  <si>
    <t>3DX PLUS-2WD</t>
  </si>
  <si>
    <t>HAR3DXS4J03160205</t>
  </si>
  <si>
    <t>H00350774</t>
  </si>
  <si>
    <t>Go Digit General Insurance Limited</t>
  </si>
  <si>
    <t>D234371243 / 03112025</t>
  </si>
  <si>
    <t>HR98T8866</t>
  </si>
  <si>
    <t>Maruti Suzuki Ertiga</t>
  </si>
  <si>
    <t>Gurgoan</t>
  </si>
  <si>
    <t>ERTIGA VXI (O) CNG</t>
  </si>
  <si>
    <t>MA3BNC62SRJ892152</t>
  </si>
  <si>
    <t>K15CN9616187</t>
  </si>
  <si>
    <t>D229309041 / 08102025</t>
  </si>
  <si>
    <t>OD &amp; TP Both - Ertiga Insurance.pdf</t>
  </si>
  <si>
    <t>TP FOR 8866</t>
  </si>
  <si>
    <t>HR98X1291</t>
  </si>
  <si>
    <t>BMW X7</t>
  </si>
  <si>
    <t>BMW X7 XDRIVE40I LCI M SPORT</t>
  </si>
  <si>
    <t>WBA27EM02SY447104</t>
  </si>
  <si>
    <t>0123Y528</t>
  </si>
  <si>
    <t>Tata AIG Insurance</t>
  </si>
  <si>
    <t>62064874430000</t>
  </si>
  <si>
    <t>HR98X1291 - (TP Till 4.8.25 - 3.8.28).pdf</t>
  </si>
  <si>
    <t>TP FOR 1291</t>
  </si>
  <si>
    <t>HR98X2331</t>
  </si>
  <si>
    <t>WBA27EM00SY447134</t>
  </si>
  <si>
    <t>0162Y528</t>
  </si>
  <si>
    <t>62064868200000</t>
  </si>
  <si>
    <t>HR98X2331 - (TP Till 4.8.25 - 3.8.28).pdf</t>
  </si>
  <si>
    <t>TP FOR 2331</t>
  </si>
  <si>
    <t>HR98AA8445</t>
  </si>
  <si>
    <t>Toyota Innova Hycross</t>
  </si>
  <si>
    <t>Toyota Innova Hycross Hybrid ZX (7S)</t>
  </si>
  <si>
    <t>MBJABBAA0015427361225</t>
  </si>
  <si>
    <t>M20ANF25513</t>
  </si>
  <si>
    <t>HDFC ERGO General Insurance Co. Ltd.</t>
  </si>
  <si>
    <t>2302208241316500000</t>
  </si>
  <si>
    <t>2026-27 Insurance.pdf</t>
  </si>
  <si>
    <t>TP FOR 8445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</si>
</sst>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1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4" fillId="0" borderId="5" xfId="2" applyBorder="1" applyProtection="1"/>
    <xf numFmtId="14" fontId="0" fillId="0" borderId="5" xfId="1" applyNumberFormat="1" applyFont="1" applyFill="1" applyBorder="1" applyProtection="1"/>
    <xf numFmtId="164" fontId="0" fillId="0" borderId="5" xfId="1" applyFont="1" applyFill="1" applyBorder="1" applyAlignment="1" applyProtection="1">
      <alignment horizontal="right" vertical="center"/>
    </xf>
    <xf numFmtId="14" fontId="0" fillId="0" borderId="5" xfId="0" applyNumberFormat="1" applyBorder="1"/>
    <xf numFmtId="14" fontId="4" fillId="0" borderId="5" xfId="2" applyNumberFormat="1" applyBorder="1" applyProtection="1"/>
    <xf numFmtId="14" fontId="4" fillId="0" borderId="5" xfId="2" applyNumberFormat="1" applyBorder="1"/>
    <xf numFmtId="14" fontId="0" fillId="0" borderId="5" xfId="0" applyNumberFormat="1" applyBorder="1" applyAlignment="1">
      <alignment horizontal="left" vertical="top"/>
    </xf>
    <xf numFmtId="14" fontId="0" fillId="0" borderId="5" xfId="0" applyNumberFormat="1" applyBorder="1" applyAlignment="1">
      <alignment horizontal="left"/>
    </xf>
    <xf numFmtId="2" fontId="0" fillId="0" borderId="5" xfId="0" applyNumberFormat="1" applyBorder="1"/>
    <xf numFmtId="0" fontId="0" fillId="3" borderId="5" xfId="0" applyFill="1" applyBorder="1"/>
    <xf numFmtId="0" fontId="5" fillId="4" borderId="6" xfId="0" applyFont="1" applyFill="1" applyBorder="1"/>
    <xf numFmtId="0" fontId="0" fillId="0" borderId="5" xfId="0" quotePrefix="1" applyBorder="1" applyAlignment="1">
      <alignment horizontal="right"/>
    </xf>
    <xf numFmtId="164" fontId="0" fillId="0" borderId="5" xfId="1" applyFont="1" applyBorder="1" applyProtection="1"/>
    <xf numFmtId="164" fontId="0" fillId="0" borderId="5" xfId="1" applyFont="1" applyFill="1" applyBorder="1" applyProtection="1"/>
    <xf numFmtId="14" fontId="4" fillId="0" borderId="5" xfId="2" applyNumberFormat="1" applyFill="1" applyBorder="1" applyProtection="1"/>
    <xf numFmtId="0" fontId="0" fillId="0" borderId="5" xfId="1" quotePrefix="1" applyNumberFormat="1" applyFont="1" applyFill="1" applyBorder="1" applyProtection="1"/>
    <xf numFmtId="0" fontId="4" fillId="0" borderId="5" xfId="2" applyBorder="1"/>
    <xf numFmtId="0" fontId="0" fillId="0" borderId="5" xfId="0" quotePrefix="1" applyBorder="1"/>
    <xf numFmtId="14" fontId="4" fillId="5" borderId="5" xfId="2" applyNumberFormat="1" applyFill="1" applyBorder="1" applyProtection="1"/>
    <xf numFmtId="1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 vertical="center"/>
    </xf>
    <xf numFmtId="14" fontId="0" fillId="0" borderId="5" xfId="0" applyNumberFormat="1" applyBorder="1" applyAlignment="1">
      <alignment horizontal="right"/>
    </xf>
    <xf numFmtId="0" fontId="4" fillId="0" borderId="0" xfId="2" applyBorder="1"/>
    <xf numFmtId="164" fontId="0" fillId="0" borderId="5" xfId="1" applyFont="1" applyBorder="1" applyAlignment="1">
      <alignment horizontal="right" vertical="center"/>
    </xf>
    <xf numFmtId="164" fontId="0" fillId="0" borderId="5" xfId="1" applyFont="1" applyFill="1" applyBorder="1" applyAlignment="1" applyProtection="1"/>
    <xf numFmtId="0" fontId="0" fillId="0" borderId="5" xfId="1" quotePrefix="1" applyNumberFormat="1" applyFont="1" applyFill="1" applyBorder="1" applyAlignment="1" applyProtection="1"/>
    <xf numFmtId="14" fontId="0" fillId="3" borderId="5" xfId="0" applyNumberFormat="1" applyFill="1" applyBorder="1" applyAlignment="1">
      <alignment vertical="center"/>
    </xf>
    <xf numFmtId="164" fontId="0" fillId="0" borderId="5" xfId="1" quotePrefix="1" applyFont="1" applyFill="1" applyBorder="1" applyAlignment="1" applyProtection="1"/>
    <xf numFmtId="0" fontId="0" fillId="0" borderId="7" xfId="0" applyBorder="1" applyAlignment="1">
      <alignment horizontal="left" vertical="top"/>
    </xf>
    <xf numFmtId="0" fontId="0" fillId="0" borderId="8" xfId="0" applyBorder="1"/>
    <xf numFmtId="0" fontId="0" fillId="0" borderId="8" xfId="0" applyBorder="1" applyAlignment="1">
      <alignment horizontal="right" vertical="center"/>
    </xf>
    <xf numFmtId="0" fontId="4" fillId="0" borderId="8" xfId="2" applyBorder="1" applyProtection="1"/>
    <xf numFmtId="14" fontId="0" fillId="0" borderId="8" xfId="1" applyNumberFormat="1" applyFont="1" applyFill="1" applyBorder="1" applyProtection="1"/>
    <xf numFmtId="164" fontId="0" fillId="0" borderId="8" xfId="1" applyFont="1" applyFill="1" applyBorder="1" applyProtection="1"/>
    <xf numFmtId="0" fontId="0" fillId="0" borderId="8" xfId="0" quotePrefix="1" applyBorder="1"/>
    <xf numFmtId="14" fontId="0" fillId="0" borderId="8" xfId="0" applyNumberFormat="1" applyBorder="1"/>
    <xf numFmtId="14" fontId="4" fillId="0" borderId="8" xfId="2" applyNumberFormat="1" applyBorder="1" applyProtection="1"/>
    <xf numFmtId="14" fontId="0" fillId="0" borderId="8" xfId="0" applyNumberFormat="1" applyBorder="1" applyAlignment="1">
      <alignment horizontal="right"/>
    </xf>
    <xf numFmtId="14" fontId="0" fillId="0" borderId="8" xfId="0" applyNumberFormat="1" applyBorder="1" applyAlignment="1">
      <alignment horizontal="left" vertical="top"/>
    </xf>
    <xf numFmtId="14" fontId="0" fillId="0" borderId="8" xfId="0" applyNumberFormat="1" applyBorder="1" applyAlignment="1">
      <alignment horizontal="left"/>
    </xf>
    <xf numFmtId="2" fontId="0" fillId="0" borderId="8" xfId="0" applyNumberFormat="1" applyBorder="1"/>
    <xf numFmtId="14" fontId="0" fillId="3" borderId="8" xfId="0" applyNumberFormat="1" applyFill="1" applyBorder="1" applyAlignment="1">
      <alignment vertical="center"/>
    </xf>
    <xf numFmtId="0" fontId="4" fillId="0" borderId="9" xfId="2" applyBorder="1"/>
    <xf numFmtId="0" fontId="5" fillId="4" borderId="10" xfId="0" applyFont="1" applyFill="1" applyBorder="1"/>
    <xf numFmtId="0" fontId="0" fillId="0" borderId="0" xfId="0" applyAlignment="1">
      <alignment horizontal="center" vertical="center"/>
    </xf>
    <xf numFmtId="164" fontId="0" fillId="0" borderId="0" xfId="1" applyFont="1"/>
    <xf numFmtId="0" fontId="0" fillId="0" borderId="0" xfId="0" applyAlignment="1">
      <alignment horizontal="right" vertical="center"/>
    </xf>
  </cellXfs>
  <cellStyles count="3">
    <cellStyle name="Comma" xfId="1" builtinId="3"/>
    <cellStyle name="Hyperlink" xfId="2" builtinId="8"/>
    <cellStyle name="Normal" xfId="0" builtinId="0"/>
  </cellStyles>
  <dxfs count="34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eelworkspower-my.sharepoint.com/:b:/g/personal/utkarsh_kashyap_steelworks_in/IQCZYffS4kgkTZaNMNUKQ-BwAfHEiJSr22rI8r-d37FaKMU?e=229m7e" TargetMode="External"/><Relationship Id="rId2" Type="http://schemas.openxmlformats.org/officeDocument/2006/relationships/hyperlink" Target="https://steelworkspower-my.sharepoint.com/:b:/g/personal/utkarsh_kashyap_steelworks_in/IQAUpRhF3yq6QLM9ycM5S2yPAasIB1Q9lHy8RfJ-mtGpTxM?e=RrcVTB" TargetMode="External"/><Relationship Id="rId1" Type="http://schemas.openxmlformats.org/officeDocument/2006/relationships/hyperlink" Target="https://steelworkspower-my.sharepoint.com/:b:/g/personal/utkarsh_kashyap_steelworks_in/IQAdbiAMVJ2AQpe7wfB13jX7AaVnEscWUvjcHAb6AhJpLN4?e=DAoGp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teelworkspower-my.sharepoint.com/:b:/g/personal/utkarsh_kashyap_steelworks_in/IQDm9CzBpXEVSbs0iDve6_3mAerIdS7X1FHtyeVbGj_sBLA?e=fJH2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754-4FDC-440A-A3C2-94E2A4E74F20}">
  <sheetPr codeName="Sheet2">
    <tabColor rgb="FFFFFF00"/>
    <pageSetUpPr fitToPage="1"/>
  </sheetPr>
  <dimension ref="A1:AM30"/>
  <sheetViews>
    <sheetView tabSelected="1" zoomScale="85" zoomScaleNormal="85" workbookViewId="0">
      <pane xSplit="1" topLeftCell="B1" activePane="topRight" state="frozen"/>
      <selection pane="topRight" activeCell="H24" sqref="H24"/>
    </sheetView>
  </sheetViews>
  <sheetFormatPr defaultRowHeight="15" x14ac:dyDescent="0.25"/>
  <cols>
    <col min="1" max="1" width="13.5703125" style="54" bestFit="1" customWidth="1"/>
    <col min="2" max="2" width="28.5703125" bestFit="1" customWidth="1"/>
    <col min="3" max="3" width="12.85546875" bestFit="1" customWidth="1"/>
    <col min="4" max="4" width="37.28515625" bestFit="1" customWidth="1"/>
    <col min="5" max="5" width="25.7109375" bestFit="1" customWidth="1"/>
    <col min="6" max="6" width="25.5703125" style="56" bestFit="1" customWidth="1"/>
    <col min="7" max="7" width="11.28515625" style="56" bestFit="1" customWidth="1"/>
    <col min="8" max="8" width="47.7109375" style="56" bestFit="1" customWidth="1"/>
    <col min="9" max="9" width="13.85546875" bestFit="1" customWidth="1"/>
    <col min="10" max="10" width="19.28515625" style="55" bestFit="1" customWidth="1"/>
    <col min="11" max="11" width="44.85546875" style="55" bestFit="1" customWidth="1"/>
    <col min="12" max="12" width="37" bestFit="1" customWidth="1"/>
    <col min="13" max="13" width="19.5703125" bestFit="1" customWidth="1"/>
    <col min="14" max="14" width="18.42578125" bestFit="1" customWidth="1"/>
    <col min="15" max="15" width="15.85546875" bestFit="1" customWidth="1"/>
    <col min="16" max="16" width="18.85546875" bestFit="1" customWidth="1"/>
    <col min="17" max="17" width="55.28515625" bestFit="1" customWidth="1"/>
    <col min="18" max="18" width="17.28515625" bestFit="1" customWidth="1"/>
    <col min="19" max="19" width="18.7109375" bestFit="1" customWidth="1"/>
    <col min="20" max="20" width="16" bestFit="1" customWidth="1"/>
    <col min="21" max="21" width="16.5703125" bestFit="1" customWidth="1"/>
    <col min="22" max="22" width="52.7109375" bestFit="1" customWidth="1"/>
    <col min="23" max="23" width="17.85546875" bestFit="1" customWidth="1"/>
    <col min="24" max="24" width="19.28515625" bestFit="1" customWidth="1"/>
    <col min="25" max="25" width="14.28515625" bestFit="1" customWidth="1"/>
    <col min="26" max="26" width="17.140625" bestFit="1" customWidth="1"/>
    <col min="27" max="27" width="52.28515625" bestFit="1" customWidth="1"/>
    <col min="28" max="28" width="18.140625" bestFit="1" customWidth="1"/>
    <col min="29" max="29" width="13.140625" bestFit="1" customWidth="1"/>
    <col min="30" max="30" width="16.28515625" bestFit="1" customWidth="1"/>
    <col min="31" max="31" width="42.85546875" bestFit="1" customWidth="1"/>
    <col min="32" max="32" width="17.42578125" bestFit="1" customWidth="1"/>
    <col min="33" max="33" width="22.42578125" bestFit="1" customWidth="1"/>
    <col min="34" max="34" width="13" bestFit="1" customWidth="1"/>
    <col min="35" max="35" width="14.42578125" bestFit="1" customWidth="1"/>
    <col min="36" max="36" width="9.42578125" bestFit="1" customWidth="1"/>
    <col min="37" max="37" width="12.28515625" bestFit="1" customWidth="1"/>
    <col min="38" max="38" width="43.42578125" bestFit="1" customWidth="1"/>
    <col min="39" max="39" width="151.28515625" bestFit="1" customWidth="1"/>
  </cols>
  <sheetData>
    <row r="1" spans="1:39" s="6" customFormat="1" ht="28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</row>
    <row r="2" spans="1:39" ht="15.75" customHeight="1" x14ac:dyDescent="0.25">
      <c r="A2" s="7" t="s">
        <v>39</v>
      </c>
      <c r="B2" s="8" t="s">
        <v>40</v>
      </c>
      <c r="C2" s="8" t="s">
        <v>41</v>
      </c>
      <c r="D2" s="8" t="s">
        <v>40</v>
      </c>
      <c r="E2" s="9" t="s">
        <v>42</v>
      </c>
      <c r="F2" s="9" t="s">
        <v>43</v>
      </c>
      <c r="G2" s="8">
        <v>2022</v>
      </c>
      <c r="H2" s="10" t="str">
        <f>+HYPERLINK("https://steelworkspower-my.sharepoint.com/:b:/g/personal/utkarsh_kashyap_steelworks_in/IQC6kX5UUHzdT6s4SsvOZPr8ATaHOIFr1iAlQgRmMuxo8GI?e=xmCqF7", "RC - " &amp; A2 &amp; " (" &amp; B2 &amp; ")")</f>
        <v>RC - WB73G4987 (TATA ACE)</v>
      </c>
      <c r="I2" s="11">
        <v>50372</v>
      </c>
      <c r="J2" s="12">
        <v>452245</v>
      </c>
      <c r="K2" s="8" t="s">
        <v>44</v>
      </c>
      <c r="L2" s="8" t="s">
        <v>45</v>
      </c>
      <c r="M2" s="13">
        <v>45989</v>
      </c>
      <c r="N2" s="13">
        <v>46353</v>
      </c>
      <c r="O2" s="13" t="str">
        <f t="shared" ref="O2:O25" ca="1" si="0">IF(N2&lt;TODAY(),"EXPIRED",IF(N2&lt;=TODAY()+30,"EXPIRING SOON","ACTIVE"))</f>
        <v>ACTIVE</v>
      </c>
      <c r="P2" s="13" t="str">
        <f t="shared" ref="P2:P25" ca="1" si="1">TEXT(N2-TODAY(),"0")&amp;" days"</f>
        <v>65 days</v>
      </c>
      <c r="Q2" s="14" t="str">
        <f>HYPERLINK("https://steelworkspower-my.sharepoint.com/:b:/g/personal/utkarsh_kashyap_steelworks_in/IQDuZ-gzNLjXRYJmxvGuVL29Afbx8V_pZ0arckIjBOny_0U?e=UHUBj6","Insurance - " &amp; $A2 &amp; " (" &amp; $B2 &amp; ")")</f>
        <v>Insurance - WB73G4987 (TATA ACE)</v>
      </c>
      <c r="R2" s="13">
        <v>46022</v>
      </c>
      <c r="S2" s="13">
        <v>46388</v>
      </c>
      <c r="T2" s="13" t="str">
        <f t="shared" ref="T2:T25" ca="1" si="2">IF(S2&lt;TODAY(),"EXPIRED",IF(S2&lt;=TODAY()+30,"EXPIRING SOON","ACTIVE"))</f>
        <v>ACTIVE</v>
      </c>
      <c r="U2" s="13" t="str">
        <f t="shared" ref="U2:U25" ca="1" si="3">TEXT(S2-TODAY(),"0")&amp;" days"</f>
        <v>100 days</v>
      </c>
      <c r="V2" s="15" t="str">
        <f>+HYPERLINK("https://steelworkspower-my.sharepoint.com/:i:/g/personal/utkarsh_kashyap_steelworks_in/IQCGYluChp6ySKmQZ-lzG0yfAUi5g4Q3Ob5fRZeacCyLzJo?e=zW8eWE","Fitness - " &amp; $A2 &amp; " (" &amp; $B2 &amp; ")")</f>
        <v>Fitness - WB73G4987 (TATA ACE)</v>
      </c>
      <c r="W2" s="13">
        <v>45530</v>
      </c>
      <c r="X2" s="13">
        <v>45894</v>
      </c>
      <c r="Y2" s="16" t="str">
        <f ca="1">IF(X2&lt;TODAY(),"EXPIRED",IF(X2&lt;=TODAY()+30,"EXPIRING SOON","ACTIVE"))</f>
        <v>EXPIRED</v>
      </c>
      <c r="Z2" s="17" t="str">
        <f ca="1">TEXT(X2-TODAY(),"0")&amp;" days"</f>
        <v>-394 days</v>
      </c>
      <c r="AA2" s="15" t="str">
        <f>+HYPERLINK("https://steelworkspower-my.sharepoint.com/:b:/g/personal/utkarsh_kashyap_steelworks_in/IQDboKsdghcUSIBY4rYWNKY2AW13PWwsr0NTFYPEc4_PM90?e=pcrDog","MV Tax - " &amp; $A2 &amp; " (" &amp; $B2 &amp; ")")</f>
        <v>MV Tax - WB73G4987 (TATA ACE)</v>
      </c>
      <c r="AB2" s="13"/>
      <c r="AC2" s="8"/>
      <c r="AD2" s="13"/>
      <c r="AE2" s="8"/>
      <c r="AF2" s="18">
        <v>18002</v>
      </c>
      <c r="AG2" s="8">
        <f ca="1">+IF(AND($O2="Active",$T2="active",$Y2="Active",$AC2="Active"),1,0)</f>
        <v>0</v>
      </c>
      <c r="AH2" s="19" t="s">
        <v>46</v>
      </c>
      <c r="AI2" s="19" t="s">
        <v>46</v>
      </c>
      <c r="AJ2" s="19" t="s">
        <v>46</v>
      </c>
      <c r="AK2" s="19" t="s">
        <v>46</v>
      </c>
      <c r="AL2" s="19" t="s">
        <v>46</v>
      </c>
      <c r="AM2" s="20" t="s">
        <v>47</v>
      </c>
    </row>
    <row r="3" spans="1:39" x14ac:dyDescent="0.25">
      <c r="A3" s="7" t="s">
        <v>48</v>
      </c>
      <c r="B3" s="8" t="s">
        <v>49</v>
      </c>
      <c r="C3" s="8" t="s">
        <v>50</v>
      </c>
      <c r="D3" s="8" t="s">
        <v>51</v>
      </c>
      <c r="E3" s="21" t="s">
        <v>52</v>
      </c>
      <c r="F3" s="9" t="s">
        <v>53</v>
      </c>
      <c r="G3" s="8">
        <v>2019</v>
      </c>
      <c r="H3" s="10" t="str">
        <f>+HYPERLINK("https://steelworkspower-my.sharepoint.com/:b:/g/personal/utkarsh_kashyap_steelworks_in/IQAWr1VJRO2lT6nO7bj-ko9cAVMi6E9m8JFi2sbyBH-Nhm4?e=lj96XW","RC - " &amp; $A3 &amp; " (" &amp; $B3 &amp; ")")</f>
        <v>RC - HR55AH9974 (SML Isuzu Bus)</v>
      </c>
      <c r="I3" s="11">
        <v>44528</v>
      </c>
      <c r="J3" s="12">
        <v>675000</v>
      </c>
      <c r="K3" s="8" t="s">
        <v>44</v>
      </c>
      <c r="L3" s="8" t="s">
        <v>54</v>
      </c>
      <c r="M3" s="13">
        <v>45988</v>
      </c>
      <c r="N3" s="13">
        <v>46352</v>
      </c>
      <c r="O3" s="13" t="str">
        <f t="shared" ca="1" si="0"/>
        <v>ACTIVE</v>
      </c>
      <c r="P3" s="13" t="str">
        <f t="shared" ca="1" si="1"/>
        <v>64 days</v>
      </c>
      <c r="Q3" s="14" t="str">
        <f>HYPERLINK("https://steelworkspower-my.sharepoint.com/:b:/g/personal/utkarsh_kashyap_steelworks_in/IQDKuU_ARdUUR5cBMc_s3n9cAXmRj4YL3Wcszdy4j1pWWhc?e=3h2Le7","Insurance - " &amp; $A3 &amp; " (" &amp; $B3 &amp; ")")</f>
        <v>Insurance - HR55AH9974 (SML Isuzu Bus)</v>
      </c>
      <c r="R3" s="13">
        <v>46191</v>
      </c>
      <c r="S3" s="13">
        <v>46555</v>
      </c>
      <c r="T3" s="13" t="str">
        <f t="shared" ca="1" si="2"/>
        <v>ACTIVE</v>
      </c>
      <c r="U3" s="13" t="str">
        <f t="shared" ca="1" si="3"/>
        <v>267 days</v>
      </c>
      <c r="V3" s="14" t="str">
        <f>HYPERLINK("https://steelworkspower-my.sharepoint.com/:b:/g/personal/utkarsh_kashyap_steelworks_in/IQCihI0ms7hCTrjfC7jnsyImASa7tLPM-cKzWpzMu8hEu_M?e=Kt88Zc","Fitness - " &amp; $A3 &amp; " (" &amp; $B3 &amp; ")")</f>
        <v>Fitness - HR55AH9974 (SML Isuzu Bus)</v>
      </c>
      <c r="W3" s="13">
        <v>46113</v>
      </c>
      <c r="X3" s="13">
        <v>46477</v>
      </c>
      <c r="Y3" s="16" t="str">
        <f ca="1">IF(X3&lt;TODAY(),"EXPIRED",IF(X3&lt;=TODAY()+30,"EXPIRING SOON","ACTIVE"))</f>
        <v>ACTIVE</v>
      </c>
      <c r="Z3" s="17" t="str">
        <f ca="1">TEXT(X3-TODAY(),"0")&amp;" days"</f>
        <v>189 days</v>
      </c>
      <c r="AA3" s="14" t="str">
        <f>+HYPERLINK("https://steelworkspower-my.sharepoint.com/:b:/g/personal/utkarsh_kashyap_steelworks_in/IQASBDGpgBLhSJl_Wan0kgheAXbHSZNPt8hQjv8PbjSuNzY?e=luMWrQ","MV Tax - " &amp; $A3 &amp; " (" &amp; $B3 &amp; ")")</f>
        <v>MV Tax - HR55AH9974 (SML Isuzu Bus)</v>
      </c>
      <c r="AB3" s="13">
        <v>46359</v>
      </c>
      <c r="AC3" s="13" t="str">
        <f ca="1">IF(AB3&lt;TODAY(),"EXPIRED",IF(AB3&lt;=TODAY()+30,"EXPIRING SOON","ACTIVE"))</f>
        <v>ACTIVE</v>
      </c>
      <c r="AD3" s="13" t="str">
        <f ca="1">TEXT(AB3-TODAY(),"0")&amp;" days"</f>
        <v>71 days</v>
      </c>
      <c r="AE3" s="10" t="str">
        <f>+HYPERLINK("https://steelworkspower-my.sharepoint.com/:b:/g/personal/utkarsh_kashyap_steelworks_in/IQBhYA_tD2JBQZjZ5rJekOb4AVZ-tYWQXPug4SEACvn_zss?e=J1UYfM","Permit - " &amp; $A3 &amp; " (" &amp; $B3 &amp; ")")</f>
        <v>Permit - HR55AH9974 (SML Isuzu Bus)</v>
      </c>
      <c r="AF3" s="18">
        <v>42079</v>
      </c>
      <c r="AG3" s="8">
        <f t="shared" ref="AG3:AG25" ca="1" si="4">+IF(AND($O3="Active",$T3="active",$Y3="Active",$AC3="Active"),1,0)</f>
        <v>1</v>
      </c>
      <c r="AH3" s="19" t="s">
        <v>46</v>
      </c>
      <c r="AI3" s="19" t="s">
        <v>46</v>
      </c>
      <c r="AJ3" s="19" t="s">
        <v>46</v>
      </c>
      <c r="AK3" s="19" t="s">
        <v>46</v>
      </c>
      <c r="AL3" s="19" t="s">
        <v>46</v>
      </c>
      <c r="AM3" s="20" t="s">
        <v>47</v>
      </c>
    </row>
    <row r="4" spans="1:39" x14ac:dyDescent="0.25">
      <c r="A4" s="7" t="s">
        <v>55</v>
      </c>
      <c r="B4" s="8" t="s">
        <v>56</v>
      </c>
      <c r="C4" s="8" t="s">
        <v>41</v>
      </c>
      <c r="D4" s="8" t="s">
        <v>57</v>
      </c>
      <c r="E4" s="21" t="s">
        <v>58</v>
      </c>
      <c r="F4" s="21" t="s">
        <v>59</v>
      </c>
      <c r="G4" s="8">
        <v>2022</v>
      </c>
      <c r="H4" s="10" t="str">
        <f>+HYPERLINK("https://steelworkspower-my.sharepoint.com/:b:/g/personal/utkarsh_kashyap_steelworks_in/IQC_hXzuWxsRT6tc1d6iBp38AQF7-E-ZMxRAmwqlHMbiTzQ?e=6206RQ",  "RC - " &amp; $A4 &amp; " (" &amp; $B4 &amp; ")")</f>
        <v>RC - RJ02GC3403 (Ashok Leyland Truck)</v>
      </c>
      <c r="I4" s="11">
        <v>50395</v>
      </c>
      <c r="J4" s="12">
        <v>1620000</v>
      </c>
      <c r="K4" s="22" t="s">
        <v>60</v>
      </c>
      <c r="L4" s="23" t="s">
        <v>61</v>
      </c>
      <c r="M4" s="13">
        <v>46004</v>
      </c>
      <c r="N4" s="13">
        <v>46368</v>
      </c>
      <c r="O4" s="13" t="str">
        <f t="shared" ca="1" si="0"/>
        <v>ACTIVE</v>
      </c>
      <c r="P4" s="13" t="str">
        <f t="shared" ca="1" si="1"/>
        <v>80 days</v>
      </c>
      <c r="Q4" s="24" t="str">
        <f>HYPERLINK("https://steelworkspower-my.sharepoint.com/:b:/g/personal/utkarsh_kashyap_steelworks_in/IQDwrk14YYGhTaeAxNce-W4mAc9Hd677vs34wXoT0rAlv9s?e=NqKOTn","Insurance - " &amp; $A4 &amp; " (" &amp; $B4 &amp; ")")</f>
        <v>Insurance - RJ02GC3403 (Ashok Leyland Truck)</v>
      </c>
      <c r="R4" s="13">
        <v>46013</v>
      </c>
      <c r="S4" s="13">
        <v>46377</v>
      </c>
      <c r="T4" s="13" t="str">
        <f t="shared" ca="1" si="2"/>
        <v>ACTIVE</v>
      </c>
      <c r="U4" s="13" t="str">
        <f t="shared" ca="1" si="3"/>
        <v>89 days</v>
      </c>
      <c r="V4" s="14" t="str">
        <f>HYPERLINK("https://steelworkspower-my.sharepoint.com/:i:/g/personal/utkarsh_kashyap_steelworks_in/IQDfLPJoHsxPT5UYCOoA49rkAVb0nQtcRlud9JklJ0m6ygs?e=sLs9dx","Fitness - " &amp; $A4 &amp; " (" &amp; $B4 &amp; ")")</f>
        <v>Fitness - RJ02GC3403 (Ashok Leyland Truck)</v>
      </c>
      <c r="W4" s="13">
        <v>46113</v>
      </c>
      <c r="X4" s="13">
        <v>46477</v>
      </c>
      <c r="Y4" s="16" t="str">
        <f ca="1">IF(X4&lt;TODAY(),"EXPIRED",IF(X4&lt;=TODAY()+30,"EXPIRING SOON","ACTIVE"))</f>
        <v>ACTIVE</v>
      </c>
      <c r="Z4" s="17" t="str">
        <f ca="1">TEXT(X4-TODAY(),"0")&amp;" days"</f>
        <v>189 days</v>
      </c>
      <c r="AA4" s="14" t="str">
        <f>+HYPERLINK("https://steelworkspower-my.sharepoint.com/:b:/g/personal/utkarsh_kashyap_steelworks_in/IQByP1WY7PcATrZkAwDljosFAWtKD0GRu6ylNg6yBd7x8x0?e=j0RnJ4","MV Tax - " &amp; $A4 &amp; " (" &amp; $B4 &amp; ")")</f>
        <v>MV Tax - RJ02GC3403 (Ashok Leyland Truck)</v>
      </c>
      <c r="AB4" s="13">
        <v>46382</v>
      </c>
      <c r="AC4" s="13" t="str">
        <f ca="1">IF(AB4&lt;TODAY(),"EXPIRED",IF(AB4&lt;=TODAY()+30,"EXPIRING SOON","ACTIVE"))</f>
        <v>ACTIVE</v>
      </c>
      <c r="AD4" s="13" t="str">
        <f ca="1">TEXT(AB4-TODAY(),"0")&amp;" days"</f>
        <v>94 days</v>
      </c>
      <c r="AE4" s="10" t="str">
        <f>+HYPERLINK("https://steelworkspower-my.sharepoint.com/:i:/g/personal/utkarsh_kashyap_steelworks_in/IQANA3dS1T9ISpr3HyWgvubuAZkGkW4lni6MC1VeCZfciU8?e=uAmTZh","Permit - " &amp; $A4 &amp; " (" &amp; $B4 &amp; ")")</f>
        <v>Permit - RJ02GC3403 (Ashok Leyland Truck)</v>
      </c>
      <c r="AF4" s="18">
        <v>66323.77</v>
      </c>
      <c r="AG4" s="8">
        <f t="shared" ca="1" si="4"/>
        <v>1</v>
      </c>
      <c r="AH4" s="19" t="s">
        <v>46</v>
      </c>
      <c r="AI4" s="19" t="s">
        <v>46</v>
      </c>
      <c r="AJ4" s="19" t="s">
        <v>46</v>
      </c>
      <c r="AK4" s="19" t="s">
        <v>46</v>
      </c>
      <c r="AL4" s="19" t="s">
        <v>46</v>
      </c>
      <c r="AM4" s="20" t="s">
        <v>47</v>
      </c>
    </row>
    <row r="5" spans="1:39" ht="15.75" customHeight="1" x14ac:dyDescent="0.25">
      <c r="A5" s="7" t="s">
        <v>62</v>
      </c>
      <c r="B5" s="8" t="s">
        <v>63</v>
      </c>
      <c r="C5" s="8" t="s">
        <v>64</v>
      </c>
      <c r="D5" s="8" t="s">
        <v>65</v>
      </c>
      <c r="E5" s="9" t="s">
        <v>66</v>
      </c>
      <c r="F5" s="9" t="s">
        <v>67</v>
      </c>
      <c r="G5" s="8">
        <v>2018</v>
      </c>
      <c r="H5" s="10" t="str">
        <f>+HYPERLINK("https://steelworkspower-my.sharepoint.com/:b:/g/personal/utkarsh_kashyap_steelworks_in/IQAiYNgKDXqwQoFB6yv4djR4AdBnEZqoVEF1U08JHWl930A?e=NwdzOQ", "RC - " &amp; $A5 &amp; " (" &amp; $B5 &amp; ")")</f>
        <v>RC - HR26DV1335 (Hyundai Creta)</v>
      </c>
      <c r="I5" s="11">
        <v>48979</v>
      </c>
      <c r="J5" s="12">
        <v>580000</v>
      </c>
      <c r="K5" s="8" t="s">
        <v>68</v>
      </c>
      <c r="L5" s="8" t="s">
        <v>69</v>
      </c>
      <c r="M5" s="13">
        <v>46016</v>
      </c>
      <c r="N5" s="13">
        <v>46380</v>
      </c>
      <c r="O5" s="13" t="str">
        <f t="shared" ca="1" si="0"/>
        <v>ACTIVE</v>
      </c>
      <c r="P5" s="13" t="str">
        <f t="shared" ca="1" si="1"/>
        <v>92 days</v>
      </c>
      <c r="Q5" s="14" t="str">
        <f>HYPERLINK("https://steelworkspower-my.sharepoint.com/:b:/g/personal/utkarsh_kashyap_steelworks_in/IQAHM6orc-CMRrhUlHVh-j5JAXoNhEkix9LjmFCbYCj-iYM?e=WW51v9","Insurance - " &amp; $A5 &amp; " (" &amp; $B5 &amp; ")")</f>
        <v>Insurance - HR26DV1335 (Hyundai Creta)</v>
      </c>
      <c r="R5" s="8"/>
      <c r="S5" s="13">
        <v>48979</v>
      </c>
      <c r="T5" s="13" t="str">
        <f t="shared" ca="1" si="2"/>
        <v>ACTIVE</v>
      </c>
      <c r="U5" s="13" t="str">
        <f t="shared" ca="1" si="3"/>
        <v>2691 days</v>
      </c>
      <c r="V5" s="14" t="str">
        <f>HYPERLINK("https://steelworkspower-my.sharepoint.com/:i:/g/personal/utkarsh_kashyap_steelworks_in/IQA7Hj3Ye_2IRo-NUx_ci3qpAZETD68HbA3LBEkbj4GU_ew?e=BUQocE","Fitness - " &amp; $A5 &amp; " (" &amp; $B5 &amp; ")")</f>
        <v>Fitness - HR26DV1335 (Hyundai Creta)</v>
      </c>
      <c r="W5" s="13" t="s">
        <v>70</v>
      </c>
      <c r="X5" s="13" t="s">
        <v>70</v>
      </c>
      <c r="Y5" s="16" t="s">
        <v>70</v>
      </c>
      <c r="Z5" s="17" t="s">
        <v>70</v>
      </c>
      <c r="AA5" s="14" t="str">
        <f>HYPERLINK("https://steelworkspower-my.sharepoint.com/:i:/g/personal/utkarsh_kashyap_steelworks_in/IQA7Hj3Ye_2IRo-NUx_ci3qpAZETD68HbA3LBEkbj4GU_ew?e=BUQocE","MV Tax - " &amp; $A5 &amp; " (" &amp; $B5 &amp; ")")</f>
        <v>MV Tax - HR26DV1335 (Hyundai Creta)</v>
      </c>
      <c r="AB5" s="13"/>
      <c r="AC5" s="8"/>
      <c r="AD5" s="13"/>
      <c r="AE5" s="8"/>
      <c r="AF5" s="18">
        <v>20623</v>
      </c>
      <c r="AG5" s="8">
        <f t="shared" ca="1" si="4"/>
        <v>0</v>
      </c>
      <c r="AH5" s="19" t="s">
        <v>46</v>
      </c>
      <c r="AI5" s="19" t="s">
        <v>46</v>
      </c>
      <c r="AJ5" s="19" t="s">
        <v>46</v>
      </c>
      <c r="AK5" s="19" t="s">
        <v>46</v>
      </c>
      <c r="AL5" s="19" t="s">
        <v>46</v>
      </c>
      <c r="AM5" s="20" t="s">
        <v>47</v>
      </c>
    </row>
    <row r="6" spans="1:39" x14ac:dyDescent="0.25">
      <c r="A6" s="7" t="s">
        <v>71</v>
      </c>
      <c r="B6" s="8" t="s">
        <v>72</v>
      </c>
      <c r="C6" s="8" t="s">
        <v>41</v>
      </c>
      <c r="D6" s="8" t="s">
        <v>73</v>
      </c>
      <c r="E6" s="9" t="s">
        <v>74</v>
      </c>
      <c r="F6" s="9" t="s">
        <v>75</v>
      </c>
      <c r="G6" s="8">
        <v>2023</v>
      </c>
      <c r="H6" s="10" t="str">
        <f>+HYPERLINK("https://steelworkspower-my.sharepoint.com/:b:/g/personal/utkarsh_kashyap_steelworks_in/IQAl6L2m_YjXT5vW5L7xjBYWAQnA2Js4cUzT5GTIc2dF9wM?e=UGdFR1", "RC - " &amp; $A6 &amp; " (" &amp; $B6 &amp; ")")</f>
        <v>RC - WB74BN0797 (Maruti Suzuki Grand Vitara )</v>
      </c>
      <c r="I6" s="11">
        <v>50443</v>
      </c>
      <c r="J6" s="12">
        <v>1205000</v>
      </c>
      <c r="K6" s="8" t="s">
        <v>76</v>
      </c>
      <c r="L6" s="25" t="s">
        <v>77</v>
      </c>
      <c r="M6" s="13">
        <v>46053</v>
      </c>
      <c r="N6" s="13">
        <v>46417</v>
      </c>
      <c r="O6" s="13" t="str">
        <f t="shared" ca="1" si="0"/>
        <v>ACTIVE</v>
      </c>
      <c r="P6" s="13" t="str">
        <f t="shared" ca="1" si="1"/>
        <v>129 days</v>
      </c>
      <c r="Q6" s="24" t="str">
        <f>HYPERLINK("https://steelworkspower-my.sharepoint.com/:b:/g/personal/utkarsh_kashyap_steelworks_in/IQCxxKCnQ5QYQpl6DqrqRtB0AWU5ruN9bVy1bbOx_n_JARw?e=vj6Qa3","Insurance - " &amp; $A6 &amp; " (" &amp; $B6 &amp; ")")</f>
        <v>Insurance - WB74BN0797 (Maruti Suzuki Grand Vitara )</v>
      </c>
      <c r="R6" s="13"/>
      <c r="S6" s="13">
        <v>50443</v>
      </c>
      <c r="T6" s="13" t="str">
        <f t="shared" ca="1" si="2"/>
        <v>ACTIVE</v>
      </c>
      <c r="U6" s="13" t="str">
        <f t="shared" ca="1" si="3"/>
        <v>4155 days</v>
      </c>
      <c r="V6" s="14" t="str">
        <f>HYPERLINK("https://steelworkspower-my.sharepoint.com/:i:/g/personal/utkarsh_kashyap_steelworks_in/IQCN0R8l0pzjRqnz1s3zgSvrAUstb8KnQpouOxa1Upbmx2c?e=Pdei1v","Fitness - " &amp; $A6 &amp; " (" &amp; $B6 &amp; ")")</f>
        <v>Fitness - WB74BN0797 (Maruti Suzuki Grand Vitara )</v>
      </c>
      <c r="W6" s="8"/>
      <c r="X6" s="13">
        <v>46783</v>
      </c>
      <c r="Y6" s="16" t="str">
        <f ca="1">IF(X6&lt;TODAY(),"EXPIRED",IF(X6&lt;=TODAY()+30,"EXPIRING SOON","ACTIVE"))</f>
        <v>ACTIVE</v>
      </c>
      <c r="Z6" s="17" t="str">
        <f ca="1">TEXT(X6-TODAY(),"0")&amp;" days"</f>
        <v>495 days</v>
      </c>
      <c r="AA6" s="14" t="str">
        <f>+HYPERLINK("https://steelworkspower-my.sharepoint.com/:i:/g/personal/utkarsh_kashyap_steelworks_in/IQBZr0YwsB3cT7pNtNpxGY3wAYu2OFSQVRIukN08S3rFiAw?e=yZ1NcM","MV Tax - "&amp;$A6&amp;" ("&amp;$B6&amp;")")</f>
        <v>MV Tax - WB74BN0797 (Maruti Suzuki Grand Vitara )</v>
      </c>
      <c r="AB6" s="13"/>
      <c r="AC6" s="8"/>
      <c r="AD6" s="13"/>
      <c r="AE6" s="8"/>
      <c r="AF6" s="18">
        <v>20648</v>
      </c>
      <c r="AG6" s="8">
        <f t="shared" ca="1" si="4"/>
        <v>0</v>
      </c>
      <c r="AH6" s="19" t="s">
        <v>46</v>
      </c>
      <c r="AI6" s="19" t="s">
        <v>46</v>
      </c>
      <c r="AJ6" s="19" t="s">
        <v>46</v>
      </c>
      <c r="AK6" s="19" t="s">
        <v>46</v>
      </c>
      <c r="AL6" s="19" t="s">
        <v>46</v>
      </c>
      <c r="AM6" s="20" t="s">
        <v>47</v>
      </c>
    </row>
    <row r="7" spans="1:39" ht="15.75" customHeight="1" x14ac:dyDescent="0.25">
      <c r="A7" s="7" t="s">
        <v>78</v>
      </c>
      <c r="B7" s="8" t="s">
        <v>79</v>
      </c>
      <c r="C7" s="8" t="s">
        <v>80</v>
      </c>
      <c r="D7" s="8" t="s">
        <v>81</v>
      </c>
      <c r="E7" s="9" t="s">
        <v>82</v>
      </c>
      <c r="F7" s="21" t="s">
        <v>83</v>
      </c>
      <c r="G7" s="8">
        <v>2016</v>
      </c>
      <c r="H7" s="10" t="str">
        <f>+HYPERLINK("https://steelworkspower-my.sharepoint.com/:b:/g/personal/utkarsh_kashyap_steelworks_in/IQBy5y9Q2xm0TKNtsXyzwTHSAd9D0Brw5b1N8BbsKWuVlhc?e=EsHXhP","RC - " &amp; $A7 &amp; " (" &amp; $B7 &amp; ")")</f>
        <v>RC - NL02N7972 (Escort Hydra)</v>
      </c>
      <c r="I7" s="11">
        <v>43830</v>
      </c>
      <c r="J7" s="12" t="s">
        <v>84</v>
      </c>
      <c r="K7" s="8" t="s">
        <v>85</v>
      </c>
      <c r="L7" s="8" t="s">
        <v>86</v>
      </c>
      <c r="M7" s="13">
        <v>46068</v>
      </c>
      <c r="N7" s="13">
        <v>46432</v>
      </c>
      <c r="O7" s="13" t="str">
        <f t="shared" ca="1" si="0"/>
        <v>ACTIVE</v>
      </c>
      <c r="P7" s="13" t="str">
        <f t="shared" ca="1" si="1"/>
        <v>144 days</v>
      </c>
      <c r="Q7" s="14" t="str">
        <f>HYPERLINK("https://steelworkspower-my.sharepoint.com/:b:/g/personal/utkarsh_kashyap_steelworks_in/IQA_TNREdyZQQ7keotiT2BfFAeFIo19TAEVjcCeEQj6usko?e=EAjjRx","Insurance - " &amp; $A7 &amp; " (" &amp; $B7 &amp; ")")</f>
        <v>Insurance - NL02N7972 (Escort Hydra)</v>
      </c>
      <c r="R7" s="13">
        <v>44874</v>
      </c>
      <c r="S7" s="13">
        <v>46701</v>
      </c>
      <c r="T7" s="13" t="str">
        <f t="shared" ca="1" si="2"/>
        <v>ACTIVE</v>
      </c>
      <c r="U7" s="13" t="str">
        <f t="shared" ca="1" si="3"/>
        <v>413 days</v>
      </c>
      <c r="V7" s="14" t="str">
        <f>+HYPERLINK("https://steelworkspower-my.sharepoint.com/:i:/g/personal/utkarsh_kashyap_steelworks_in/IQBoVq7ZPG1rS45YT7Pmmv7sAX1QxC0odBLqscGaRp9YzIQ?e=YmhbuQ","Fitness - " &amp; $A7 &amp; " (" &amp; $B7 &amp; ")")</f>
        <v>Fitness - NL02N7972 (Escort Hydra)</v>
      </c>
      <c r="W7" s="13">
        <v>46088</v>
      </c>
      <c r="X7" s="13">
        <v>47913</v>
      </c>
      <c r="Y7" s="16" t="str">
        <f ca="1">IF(X7&lt;TODAY(),"EXPIRED",IF(X7&lt;=TODAY()+30,"EXPIRING SOON","ACTIVE"))</f>
        <v>ACTIVE</v>
      </c>
      <c r="Z7" s="17" t="str">
        <f ca="1">TEXT(X7-TODAY(),"0")&amp;" days"</f>
        <v>1625 days</v>
      </c>
      <c r="AA7" s="14" t="str">
        <f>+HYPERLINK("https://steelworkspower-my.sharepoint.com/:b:/g/personal/utkarsh_kashyap_steelworks_in/IQAZ-Vy6wxbhS4rCQ8mH2WmVAeU3DH9ozArb6IxsBX7JCM0?e=IE5kl4","MV Tax - "&amp;$A7&amp;" ("&amp;$B7&amp;")")</f>
        <v>MV Tax - NL02N7972 (Escort Hydra)</v>
      </c>
      <c r="AB7" s="13"/>
      <c r="AC7" s="8"/>
      <c r="AD7" s="13"/>
      <c r="AE7" s="8"/>
      <c r="AF7" s="18">
        <v>9780</v>
      </c>
      <c r="AG7" s="8">
        <f t="shared" ca="1" si="4"/>
        <v>0</v>
      </c>
      <c r="AH7" s="19" t="s">
        <v>46</v>
      </c>
      <c r="AI7" s="19" t="s">
        <v>46</v>
      </c>
      <c r="AJ7" s="19" t="s">
        <v>46</v>
      </c>
      <c r="AK7" s="19" t="s">
        <v>46</v>
      </c>
      <c r="AL7" s="19" t="s">
        <v>46</v>
      </c>
      <c r="AM7" s="20" t="s">
        <v>47</v>
      </c>
    </row>
    <row r="8" spans="1:39" x14ac:dyDescent="0.25">
      <c r="A8" s="7" t="s">
        <v>87</v>
      </c>
      <c r="B8" s="8" t="s">
        <v>88</v>
      </c>
      <c r="C8" s="8" t="s">
        <v>80</v>
      </c>
      <c r="D8" s="8" t="s">
        <v>89</v>
      </c>
      <c r="E8" s="9" t="s">
        <v>90</v>
      </c>
      <c r="F8" s="21" t="s">
        <v>91</v>
      </c>
      <c r="G8" s="8">
        <v>2022</v>
      </c>
      <c r="H8" s="10" t="str">
        <f>+HYPERLINK("https://steelworkspower-my.sharepoint.com/:b:/g/personal/utkarsh_kashyap_steelworks_in/IQD3HaaB8auQSafiSQC2Vao5AYNFuTMTs1UO2rGEsfteDWc?e=4SlDQo", "RC - " &amp; $A8 &amp; " (" &amp; $B8 &amp; ")")</f>
        <v>RC - RJ02GC2332 (Mahindra Pickup Van )</v>
      </c>
      <c r="I8" s="11"/>
      <c r="J8" s="12" t="s">
        <v>92</v>
      </c>
      <c r="K8" s="8" t="s">
        <v>93</v>
      </c>
      <c r="L8" s="8" t="s">
        <v>94</v>
      </c>
      <c r="M8" s="13">
        <v>46070</v>
      </c>
      <c r="N8" s="13">
        <v>46434</v>
      </c>
      <c r="O8" s="13" t="str">
        <f t="shared" ca="1" si="0"/>
        <v>ACTIVE</v>
      </c>
      <c r="P8" s="13" t="str">
        <f t="shared" ca="1" si="1"/>
        <v>146 days</v>
      </c>
      <c r="Q8" s="14" t="str">
        <f>HYPERLINK("https://steelworkspower-my.sharepoint.com/:b:/g/personal/utkarsh_kashyap_steelworks_in/IQA-KehysVaSRozV5zeAmu8CAT6n16HyG5IHJM2LoEhEV-o?e=y9jjHG","Insurance - " &amp; $A8 &amp; " (" &amp; $B8 &amp; ")")</f>
        <v>Insurance - RJ02GC2332 (Mahindra Pickup Van )</v>
      </c>
      <c r="R8" s="13">
        <v>46066</v>
      </c>
      <c r="S8" s="13">
        <v>46805</v>
      </c>
      <c r="T8" s="13" t="str">
        <f t="shared" ca="1" si="2"/>
        <v>ACTIVE</v>
      </c>
      <c r="U8" s="13" t="str">
        <f t="shared" ca="1" si="3"/>
        <v>517 days</v>
      </c>
      <c r="V8" s="14" t="str">
        <f>+HYPERLINK("https://steelworkspower-my.sharepoint.com/:b:/g/personal/utkarsh_kashyap_steelworks_in/IQA7SHyTUBcDRrDVko1rOiGcAU9wiEWYlw1tOQaiOaHpbGU?e=lz77Wn","Fitness - " &amp; $A8 &amp; " (" &amp; $B8 &amp; ")")</f>
        <v>Fitness - RJ02GC2332 (Mahindra Pickup Van )</v>
      </c>
      <c r="W8" s="13"/>
      <c r="X8" s="13">
        <v>44609</v>
      </c>
      <c r="Y8" s="16" t="str">
        <f ca="1">IF(X8&lt;TODAY(),"EXPIRED",IF(X8&lt;=TODAY()+30,"EXPIRING SOON","ACTIVE"))</f>
        <v>EXPIRED</v>
      </c>
      <c r="Z8" s="17" t="str">
        <f ca="1">TEXT(X8-TODAY(),"0")&amp;" days"</f>
        <v>-1679 days</v>
      </c>
      <c r="AA8" s="14" t="str">
        <f>+HYPERLINK("https://steelworkspower-my.sharepoint.com/:i:/g/personal/utkarsh_kashyap_steelworks_in/IQAIWd1wxVsHSJi9_hzuk0OXAc-yTCGU9RzcFxZsd1JKrqo?e=T4Ihwn","MV Tax - "&amp;$A8&amp;" ("&amp;$B8&amp;")")</f>
        <v>MV Tax - RJ02GC2332 (Mahindra Pickup Van )</v>
      </c>
      <c r="AB8" s="13"/>
      <c r="AC8" s="8"/>
      <c r="AD8" s="13"/>
      <c r="AE8" s="8"/>
      <c r="AF8" s="18">
        <v>20254</v>
      </c>
      <c r="AG8" s="8">
        <f t="shared" ca="1" si="4"/>
        <v>0</v>
      </c>
      <c r="AH8" s="19" t="s">
        <v>46</v>
      </c>
      <c r="AI8" s="19" t="s">
        <v>46</v>
      </c>
      <c r="AJ8" s="19" t="s">
        <v>46</v>
      </c>
      <c r="AK8" s="19" t="s">
        <v>46</v>
      </c>
      <c r="AL8" s="19" t="s">
        <v>46</v>
      </c>
      <c r="AM8" s="20" t="s">
        <v>47</v>
      </c>
    </row>
    <row r="9" spans="1:39" x14ac:dyDescent="0.25">
      <c r="A9" s="7" t="s">
        <v>95</v>
      </c>
      <c r="B9" s="8" t="s">
        <v>96</v>
      </c>
      <c r="C9" s="8" t="s">
        <v>97</v>
      </c>
      <c r="D9" s="8" t="s">
        <v>98</v>
      </c>
      <c r="E9" s="9" t="s">
        <v>99</v>
      </c>
      <c r="F9" s="9" t="s">
        <v>100</v>
      </c>
      <c r="G9" s="8">
        <v>2022</v>
      </c>
      <c r="H9" s="10" t="str">
        <f>+HYPERLINK("https://steelworkspower-my.sharepoint.com/:b:/g/personal/utkarsh_kashyap_steelworks_in/IQAMpjZs0fVMSbX5TXpUgs3AAb7zkKoAjJwfJk-SRNn3mLk?e=VephUS","RC - " &amp; $A9 &amp; " (" &amp; $B9 &amp; ")")</f>
        <v>RC - RJ02EA2165 (Crane)</v>
      </c>
      <c r="I9" s="11">
        <v>50120</v>
      </c>
      <c r="J9" s="12">
        <v>1080000</v>
      </c>
      <c r="K9" s="8" t="s">
        <v>60</v>
      </c>
      <c r="L9" s="8" t="s">
        <v>101</v>
      </c>
      <c r="M9" s="13">
        <v>46085</v>
      </c>
      <c r="N9" s="13">
        <v>46449</v>
      </c>
      <c r="O9" s="13" t="str">
        <f t="shared" ca="1" si="0"/>
        <v>ACTIVE</v>
      </c>
      <c r="P9" s="13" t="str">
        <f t="shared" ca="1" si="1"/>
        <v>161 days</v>
      </c>
      <c r="Q9" s="14" t="str">
        <f>HYPERLINK("https://steelworkspower-my.sharepoint.com/:b:/g/personal/utkarsh_kashyap_steelworks_in/IQCDSh0gz2V9SpoyWOF4AdWNATU1LDSOk04u3_1wjs1ENgg?e=TaA7qZ","Insurance - " &amp; $A9 &amp; " (" &amp; $B9 &amp; ")")</f>
        <v>Insurance - RJ02EA2165 (Crane)</v>
      </c>
      <c r="R9" s="8"/>
      <c r="S9" s="13">
        <v>50120</v>
      </c>
      <c r="T9" s="13" t="str">
        <f t="shared" ca="1" si="2"/>
        <v>ACTIVE</v>
      </c>
      <c r="U9" s="13" t="str">
        <f t="shared" ca="1" si="3"/>
        <v>3832 days</v>
      </c>
      <c r="V9" s="14" t="str">
        <f>+HYPERLINK("https://steelworkspower-my.sharepoint.com/:i:/g/personal/utkarsh_kashyap_steelworks_in/IQD2_0b30UQSR7fMr8lxmgx7AWeD0uL2-jV_4zsXFD_7yR0?e=rgRjxt","Fitness - " &amp; $A9 &amp; " (" &amp; $B9 &amp; ")")</f>
        <v>Fitness - RJ02EA2165 (Crane)</v>
      </c>
      <c r="W9" s="13" t="s">
        <v>70</v>
      </c>
      <c r="X9" s="13" t="s">
        <v>70</v>
      </c>
      <c r="Y9" s="16" t="s">
        <v>70</v>
      </c>
      <c r="Z9" s="17" t="s">
        <v>70</v>
      </c>
      <c r="AA9" s="14" t="str">
        <f>+HYPERLINK("https://steelworkspower-my.sharepoint.com/:i:/g/personal/utkarsh_kashyap_steelworks_in/IQD2_0b30UQSR7fMr8lxmgx7AWeD0uL2-jV_4zsXFD_7yR0?e=rgRjxt","MV Tax - " &amp; $A9 &amp; " (" &amp; $B9 &amp; ")")</f>
        <v>MV Tax - RJ02EA2165 (Crane)</v>
      </c>
      <c r="AB9" s="13"/>
      <c r="AC9" s="8"/>
      <c r="AD9" s="13"/>
      <c r="AE9" s="8"/>
      <c r="AF9" s="18">
        <v>12284.98</v>
      </c>
      <c r="AG9" s="8">
        <f t="shared" ca="1" si="4"/>
        <v>0</v>
      </c>
      <c r="AH9" s="19" t="s">
        <v>46</v>
      </c>
      <c r="AI9" s="19" t="s">
        <v>46</v>
      </c>
      <c r="AJ9" s="19" t="s">
        <v>46</v>
      </c>
      <c r="AK9" s="19" t="s">
        <v>46</v>
      </c>
      <c r="AL9" s="19" t="s">
        <v>46</v>
      </c>
      <c r="AM9" s="20" t="s">
        <v>47</v>
      </c>
    </row>
    <row r="10" spans="1:39" ht="14.25" customHeight="1" x14ac:dyDescent="0.25">
      <c r="A10" s="7" t="s">
        <v>102</v>
      </c>
      <c r="B10" s="8" t="s">
        <v>103</v>
      </c>
      <c r="C10" s="8" t="s">
        <v>50</v>
      </c>
      <c r="D10" s="8" t="s">
        <v>104</v>
      </c>
      <c r="E10" s="9">
        <v>6170131605</v>
      </c>
      <c r="F10" s="9" t="s">
        <v>105</v>
      </c>
      <c r="G10" s="8">
        <v>2017</v>
      </c>
      <c r="H10" s="10" t="str">
        <f>+HYPERLINK("https://steelworkspower-my.sharepoint.com/:b:/g/personal/utkarsh_kashyap_steelworks_in/IQAiI5dRqbaNTpb_-mX5N8OMAV6f7STaxDXdNWUNXmE9Z74?e=ifaAhl","RC - " &amp; $A10 &amp; " (" &amp; $B10 &amp; ")")</f>
        <v>RC - NL04D5885 (Hydra Ace Crane)</v>
      </c>
      <c r="I10" s="11">
        <v>43830</v>
      </c>
      <c r="J10" s="12">
        <v>900000</v>
      </c>
      <c r="K10" s="8" t="s">
        <v>60</v>
      </c>
      <c r="L10" s="8" t="s">
        <v>106</v>
      </c>
      <c r="M10" s="13">
        <v>46092</v>
      </c>
      <c r="N10" s="13">
        <v>46456</v>
      </c>
      <c r="O10" s="13" t="str">
        <f t="shared" ca="1" si="0"/>
        <v>ACTIVE</v>
      </c>
      <c r="P10" s="13" t="str">
        <f t="shared" ca="1" si="1"/>
        <v>168 days</v>
      </c>
      <c r="Q10" s="14" t="str">
        <f>HYPERLINK("https://steelworkspower-my.sharepoint.com/:b:/g/personal/utkarsh_kashyap_steelworks_in/IQCk0e2EU85aSJAdamPvW-MJAZwHHrB8I1CpCShMDH00Af4?e=jQsTRA","Insurance - " &amp; $A10 &amp; " (" &amp; $B10 &amp; ")")</f>
        <v>Insurance - NL04D5885 (Hydra Ace Crane)</v>
      </c>
      <c r="R10" s="13">
        <v>44870</v>
      </c>
      <c r="S10" s="13">
        <v>46697</v>
      </c>
      <c r="T10" s="13" t="str">
        <f t="shared" ca="1" si="2"/>
        <v>ACTIVE</v>
      </c>
      <c r="U10" s="13" t="str">
        <f t="shared" ca="1" si="3"/>
        <v>409 days</v>
      </c>
      <c r="V10" s="14" t="str">
        <f>+HYPERLINK("https://steelworkspower-my.sharepoint.com/:i:/g/personal/utkarsh_kashyap_steelworks_in/IQD6SLY0PxbNRqTavY1zb-OdAYkTxWTc_xbJoJHF5H1UsU8?e=4VX3FN","Fitness - " &amp; $A10 &amp; " (" &amp; $B10 &amp; ")")</f>
        <v>Fitness - NL04D5885 (Hydra Ace Crane)</v>
      </c>
      <c r="W10" s="13">
        <v>42738</v>
      </c>
      <c r="X10" s="13">
        <v>46389</v>
      </c>
      <c r="Y10" s="16" t="str">
        <f ca="1">IF(X10&lt;TODAY(),"EXPIRED",IF(X10&lt;=TODAY()+30,"EXPIRING SOON","ACTIVE"))</f>
        <v>ACTIVE</v>
      </c>
      <c r="Z10" s="17" t="str">
        <f ca="1">TEXT(X10-TODAY(),"0")&amp;" days"</f>
        <v>101 days</v>
      </c>
      <c r="AA10" s="14" t="str">
        <f>+HYPERLINK("https://steelworkspower-my.sharepoint.com/:i:/g/personal/utkarsh_kashyap_steelworks_in/IQD6SLY0PxbNRqTavY1zb-OdAYkTxWTc_xbJoJHF5H1UsU8?e=4VX3FN","MV Tax - " &amp; $A10 &amp; " (" &amp; $B10 &amp; ")")</f>
        <v>MV Tax - NL04D5885 (Hydra Ace Crane)</v>
      </c>
      <c r="AB10" s="13"/>
      <c r="AC10" s="8"/>
      <c r="AD10" s="13"/>
      <c r="AE10" s="8"/>
      <c r="AF10" s="18">
        <v>9790.4599999999991</v>
      </c>
      <c r="AG10" s="8">
        <f t="shared" ca="1" si="4"/>
        <v>0</v>
      </c>
      <c r="AH10" s="19" t="s">
        <v>46</v>
      </c>
      <c r="AI10" s="19" t="s">
        <v>46</v>
      </c>
      <c r="AJ10" s="19" t="s">
        <v>46</v>
      </c>
      <c r="AK10" s="19" t="s">
        <v>46</v>
      </c>
      <c r="AL10" s="19" t="s">
        <v>46</v>
      </c>
      <c r="AM10" s="20" t="s">
        <v>47</v>
      </c>
    </row>
    <row r="11" spans="1:39" ht="14.65" customHeight="1" x14ac:dyDescent="0.25">
      <c r="A11" s="7" t="s">
        <v>107</v>
      </c>
      <c r="B11" s="8" t="s">
        <v>108</v>
      </c>
      <c r="C11" s="8" t="s">
        <v>109</v>
      </c>
      <c r="D11" s="8" t="s">
        <v>110</v>
      </c>
      <c r="E11" s="9" t="s">
        <v>111</v>
      </c>
      <c r="F11" s="21" t="s">
        <v>112</v>
      </c>
      <c r="G11" s="8">
        <v>2018</v>
      </c>
      <c r="H11" s="10" t="str">
        <f>+HYPERLINK("https://steelworkspower-my.sharepoint.com/:b:/g/personal/utkarsh_kashyap_steelworks_in/IQD_2DtEr88qS6A72WItHDHtAYm3z5Ew1tYO2gTBCjezFRA?e=9wnVBz","RC - "&amp;A11&amp;" ("&amp;$B11&amp;")")</f>
        <v>RC - HR55AC9581 (Tata LPT 2518 Truck)</v>
      </c>
      <c r="I11" s="11">
        <v>43922</v>
      </c>
      <c r="J11" s="12">
        <v>700000</v>
      </c>
      <c r="K11" s="8" t="s">
        <v>113</v>
      </c>
      <c r="L11" s="8" t="s">
        <v>114</v>
      </c>
      <c r="M11" s="13">
        <v>46094</v>
      </c>
      <c r="N11" s="13">
        <v>46458</v>
      </c>
      <c r="O11" s="13" t="str">
        <f t="shared" ca="1" si="0"/>
        <v>ACTIVE</v>
      </c>
      <c r="P11" s="13" t="str">
        <f t="shared" ca="1" si="1"/>
        <v>170 days</v>
      </c>
      <c r="Q11" s="14" t="str">
        <f>HYPERLINK("https://steelworkspower-my.sharepoint.com/:b:/g/personal/utkarsh_kashyap_steelworks_in/IQDn9pX8rkZSTbYg60x5m_d8AQS2qVcrUeqrXFzyYTE3DDs?e=FKZh8m","Insurance - " &amp; $A11 &amp; " (" &amp; $B11 &amp; ")")</f>
        <v>Insurance - HR55AC9581 (Tata LPT 2518 Truck)</v>
      </c>
      <c r="R11" s="13"/>
      <c r="S11" s="13">
        <v>46468</v>
      </c>
      <c r="T11" s="13" t="str">
        <f t="shared" ca="1" si="2"/>
        <v>ACTIVE</v>
      </c>
      <c r="U11" s="13" t="str">
        <f t="shared" ca="1" si="3"/>
        <v>180 days</v>
      </c>
      <c r="V11" s="14" t="str">
        <f>+HYPERLINK("https://steelworkspower-my.sharepoint.com/:b:/g/personal/utkarsh_kashyap_steelworks_in/IQCAQa5K1hXhQbLpaeKhTh6IAU3kS8pcp1SWw1CdgxOEpsM?e=tO2CPC","Fitness - " &amp; $A11 &amp; " (" &amp; $B11 &amp; ")")</f>
        <v>Fitness - HR55AC9581 (Tata LPT 2518 Truck)</v>
      </c>
      <c r="W11" s="13">
        <v>46113</v>
      </c>
      <c r="X11" s="13">
        <v>46477</v>
      </c>
      <c r="Y11" s="16" t="str">
        <f ca="1">IF(X11&lt;TODAY(),"EXPIRED",IF(X11&lt;=TODAY()+30,"EXPIRING SOON","ACTIVE"))</f>
        <v>ACTIVE</v>
      </c>
      <c r="Z11" s="17" t="str">
        <f ca="1">TEXT(X11-TODAY(),"0")&amp;" days"</f>
        <v>189 days</v>
      </c>
      <c r="AA11" s="14" t="str">
        <f>+HYPERLINK("https://steelworkspower-my.sharepoint.com/:b:/g/personal/utkarsh_kashyap_steelworks_in/IQAJlYiVcK6CT5dvUV1l63KGASX_hc2xZG3ebvYbxDMUN4g?e=EPtgrF","MV Tax - "&amp;$A11&amp;" ("&amp;$B11&amp;")")</f>
        <v>MV Tax - HR55AC9581 (Tata LPT 2518 Truck)</v>
      </c>
      <c r="AB11" s="13">
        <v>46492</v>
      </c>
      <c r="AC11" s="13" t="str">
        <f ca="1">IF(AB11&lt;TODAY(),"EXPIRED",IF(AB11&lt;=TODAY()+30,"EXPIRING SOON","ACTIVE"))</f>
        <v>ACTIVE</v>
      </c>
      <c r="AD11" s="13" t="str">
        <f ca="1">TEXT(AB11-TODAY(),"0")&amp;" days"</f>
        <v>204 days</v>
      </c>
      <c r="AE11" s="26" t="str">
        <f>+HYPERLINK("https://steelworkspower-my.sharepoint.com/:b:/g/personal/utkarsh_kashyap_steelworks_in/IQBrune3Zo7sTqpUhdOEH-LcAbU4T-NvwexUHZMQziJ292A?e=o4FC2p","Permit - " &amp; $A11 &amp; " (" &amp; $B11 &amp; ")")</f>
        <v>Permit - HR55AC9581 (Tata LPT 2518 Truck)</v>
      </c>
      <c r="AF11" s="18">
        <v>47305</v>
      </c>
      <c r="AG11" s="8">
        <f t="shared" ca="1" si="4"/>
        <v>1</v>
      </c>
      <c r="AH11" s="19" t="s">
        <v>46</v>
      </c>
      <c r="AI11" s="19" t="s">
        <v>46</v>
      </c>
      <c r="AJ11" s="19" t="s">
        <v>46</v>
      </c>
      <c r="AK11" s="19" t="s">
        <v>46</v>
      </c>
      <c r="AL11" s="19" t="s">
        <v>46</v>
      </c>
      <c r="AM11" s="20" t="s">
        <v>47</v>
      </c>
    </row>
    <row r="12" spans="1:39" ht="15.75" customHeight="1" x14ac:dyDescent="0.25">
      <c r="A12" s="7" t="s">
        <v>115</v>
      </c>
      <c r="B12" s="8" t="s">
        <v>116</v>
      </c>
      <c r="C12" s="8" t="s">
        <v>64</v>
      </c>
      <c r="D12" s="8" t="s">
        <v>117</v>
      </c>
      <c r="E12" s="9" t="s">
        <v>118</v>
      </c>
      <c r="F12" s="9" t="s">
        <v>119</v>
      </c>
      <c r="G12" s="8">
        <v>2022</v>
      </c>
      <c r="H12" s="10" t="str">
        <f>+HYPERLINK("https://steelworkspower-my.sharepoint.com/:b:/g/personal/utkarsh_kashyap_steelworks_in/IQCQAuwPPcqaTpnbwDk-lTSzAWjEDVSmeaU0eMjHzXehJjE?e=wF797q", "RC - " &amp; $A12 &amp; " (" &amp; $B12 &amp; ")")</f>
        <v>RC - HR98D3281 (Skoda Kodiaq)</v>
      </c>
      <c r="I12" s="11">
        <v>50158</v>
      </c>
      <c r="J12" s="12" t="s">
        <v>120</v>
      </c>
      <c r="K12" s="8" t="s">
        <v>121</v>
      </c>
      <c r="L12" s="27" t="s">
        <v>122</v>
      </c>
      <c r="M12" s="13">
        <v>46132</v>
      </c>
      <c r="N12" s="13">
        <v>46496</v>
      </c>
      <c r="O12" s="13" t="str">
        <f t="shared" ca="1" si="0"/>
        <v>ACTIVE</v>
      </c>
      <c r="P12" s="13" t="str">
        <f t="shared" ca="1" si="1"/>
        <v>208 days</v>
      </c>
      <c r="Q12" s="28" t="str">
        <f>HYPERLINK("https://steelworkspower-my.sharepoint.com/:b:/g/personal/utkarsh_kashyap_steelworks_in/IQD3xvfBuKS1QIA8cPALzff0AecmHMD3fsEaULduRY33yDg?e=tj6JuE","Insurance - " &amp; $A12 &amp; " (" &amp; $B12 &amp; ")")</f>
        <v>Insurance - HR98D3281 (Skoda Kodiaq)</v>
      </c>
      <c r="R12" s="8"/>
      <c r="S12" s="13">
        <v>50158</v>
      </c>
      <c r="T12" s="13" t="str">
        <f t="shared" ca="1" si="2"/>
        <v>ACTIVE</v>
      </c>
      <c r="U12" s="13" t="str">
        <f t="shared" ca="1" si="3"/>
        <v>3870 days</v>
      </c>
      <c r="V12" s="14" t="str">
        <f>+HYPERLINK("https://steelworkspower-my.sharepoint.com/:i:/g/personal/utkarsh_kashyap_steelworks_in/IQBUhhR0YwtDRIIbNYfqAnK1AXDEUg4g7lZkGUpihyF2ZTI?e=aBfyEU","Fitness - " &amp; $A12 &amp; " (" &amp; $B12 &amp; ")")</f>
        <v>Fitness - HR98D3281 (Skoda Kodiaq)</v>
      </c>
      <c r="W12" s="13" t="s">
        <v>70</v>
      </c>
      <c r="X12" s="13" t="s">
        <v>70</v>
      </c>
      <c r="Y12" s="16" t="s">
        <v>70</v>
      </c>
      <c r="Z12" s="17" t="s">
        <v>70</v>
      </c>
      <c r="AA12" s="14" t="str">
        <f>+HYPERLINK("https://steelworkspower-my.sharepoint.com/:i:/g/personal/utkarsh_kashyap_steelworks_in/IQBUhhR0YwtDRIIbNYfqAnK1AXDEUg4g7lZkGUpihyF2ZTI?e=aBfyEU","MV Tax - "&amp;$A12&amp;" ("&amp;$B12&amp;")")</f>
        <v>MV Tax - HR98D3281 (Skoda Kodiaq)</v>
      </c>
      <c r="AB12" s="13"/>
      <c r="AC12" s="8"/>
      <c r="AD12" s="13"/>
      <c r="AE12" s="8"/>
      <c r="AF12" s="18">
        <v>60912</v>
      </c>
      <c r="AG12" s="8">
        <f t="shared" ca="1" si="4"/>
        <v>0</v>
      </c>
      <c r="AH12" s="19" t="s">
        <v>46</v>
      </c>
      <c r="AI12" s="19" t="s">
        <v>46</v>
      </c>
      <c r="AJ12" s="19" t="s">
        <v>46</v>
      </c>
      <c r="AK12" s="19" t="s">
        <v>46</v>
      </c>
      <c r="AL12" s="19" t="s">
        <v>46</v>
      </c>
      <c r="AM12" s="20" t="s">
        <v>47</v>
      </c>
    </row>
    <row r="13" spans="1:39" ht="15.6" customHeight="1" x14ac:dyDescent="0.25">
      <c r="A13" s="7" t="s">
        <v>123</v>
      </c>
      <c r="B13" s="8" t="s">
        <v>124</v>
      </c>
      <c r="C13" s="8" t="s">
        <v>41</v>
      </c>
      <c r="D13" s="8" t="s">
        <v>125</v>
      </c>
      <c r="E13" s="9" t="s">
        <v>126</v>
      </c>
      <c r="F13" s="9" t="s">
        <v>127</v>
      </c>
      <c r="G13" s="8">
        <v>2015</v>
      </c>
      <c r="H13" s="10" t="str">
        <f>+HYPERLINK("https://steelworkspower-my.sharepoint.com/:b:/g/personal/utkarsh_kashyap_steelworks_in/IQDQVjk6jRyFQrzDEpuw6FU_AZpqPCm88zd9pzrAP7_K7F0?e=EczBkL","RC - " &amp; $A13 &amp; " (" &amp; $B13 &amp; ")")</f>
        <v>RC - WB74AG4079 (Maruti Suzuki Swift Dzire)</v>
      </c>
      <c r="I13" s="11">
        <v>47574</v>
      </c>
      <c r="J13" s="12">
        <v>146117</v>
      </c>
      <c r="K13" s="8" t="s">
        <v>113</v>
      </c>
      <c r="L13" s="8" t="s">
        <v>128</v>
      </c>
      <c r="M13" s="13">
        <v>46176</v>
      </c>
      <c r="N13" s="13">
        <v>46540</v>
      </c>
      <c r="O13" s="13" t="str">
        <f t="shared" ca="1" si="0"/>
        <v>ACTIVE</v>
      </c>
      <c r="P13" s="13" t="str">
        <f t="shared" ca="1" si="1"/>
        <v>252 days</v>
      </c>
      <c r="Q13" s="14" t="str">
        <f>HYPERLINK("https://steelworkspower-my.sharepoint.com/:b:/g/personal/utkarsh_kashyap_steelworks_in/IQBgdC4GxGe5R4hmiPdP_WhfAWFV5vHbBaWmapLQ4P-_cic?e=yi1AeW","Insurance - " &amp; $A13 &amp; " (" &amp; $B13 &amp; ")")</f>
        <v>Insurance - WB74AG4079 (Maruti Suzuki Swift Dzire)</v>
      </c>
      <c r="R13" s="8"/>
      <c r="S13" s="13">
        <v>47574</v>
      </c>
      <c r="T13" s="13" t="str">
        <f t="shared" ca="1" si="2"/>
        <v>ACTIVE</v>
      </c>
      <c r="U13" s="13" t="str">
        <f t="shared" ca="1" si="3"/>
        <v>1286 days</v>
      </c>
      <c r="V13" s="14" t="str">
        <f>+HYPERLINK("https://steelworkspower-my.sharepoint.com/:i:/g/personal/utkarsh_kashyap_steelworks_in/IQCAxFrCw6ErR7fGXmAbgYZ_AZizH0b6fb22-GSOVenJI_o?e=npZuaZ","Fitness - " &amp; $A13 &amp; " (" &amp; $B13 &amp; ")")</f>
        <v>Fitness - WB74AG4079 (Maruti Suzuki Swift Dzire)</v>
      </c>
      <c r="W13" s="8"/>
      <c r="X13" s="13">
        <v>47578</v>
      </c>
      <c r="Y13" s="16" t="str">
        <f ca="1">IF(X13&lt;TODAY(),"EXPIRED",IF(X13&lt;=TODAY()+30,"EXPIRING SOON","ACTIVE"))</f>
        <v>ACTIVE</v>
      </c>
      <c r="Z13" s="17" t="str">
        <f ca="1">TEXT(X13-TODAY(),"0")&amp;" days"</f>
        <v>1290 days</v>
      </c>
      <c r="AA13" s="14" t="str">
        <f>+HYPERLINK("https://steelworkspower-my.sharepoint.com/:i:/g/personal/utkarsh_kashyap_steelworks_in/IQCAxFrCw6ErR7fGXmAbgYZ_AZizH0b6fb22-GSOVenJI_o?e=npZuaZ","MV Tax - "&amp;$A13&amp;" ("&amp;$B13&amp;")")</f>
        <v>MV Tax - WB74AG4079 (Maruti Suzuki Swift Dzire)</v>
      </c>
      <c r="AB13" s="13"/>
      <c r="AC13" s="8"/>
      <c r="AD13" s="13"/>
      <c r="AE13" s="8"/>
      <c r="AF13" s="18">
        <v>4858</v>
      </c>
      <c r="AG13" s="8">
        <f t="shared" ca="1" si="4"/>
        <v>0</v>
      </c>
      <c r="AH13" s="19" t="s">
        <v>46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20" t="s">
        <v>47</v>
      </c>
    </row>
    <row r="14" spans="1:39" ht="15.75" customHeight="1" x14ac:dyDescent="0.25">
      <c r="A14" s="7" t="s">
        <v>129</v>
      </c>
      <c r="B14" s="8" t="s">
        <v>130</v>
      </c>
      <c r="C14" s="8" t="s">
        <v>97</v>
      </c>
      <c r="D14" s="8" t="s">
        <v>130</v>
      </c>
      <c r="E14" s="9">
        <v>2087530</v>
      </c>
      <c r="F14" s="9" t="s">
        <v>131</v>
      </c>
      <c r="G14" s="8">
        <v>2015</v>
      </c>
      <c r="H14" s="10" t="str">
        <f>+HYPERLINK("https://steelworkspower-my.sharepoint.com/:b:/g/personal/utkarsh_kashyap_steelworks_in/IQDJGZ5dRhjBTouDDHBXDwQtAUcqgopDuvPd7-6PzXJ9Wnw?e=fvbNCf", "RC - " &amp; $A14 &amp; " (" &amp; $B14 &amp; ")")</f>
        <v>RC - NL03A2571 (JCB 3D Excavator)</v>
      </c>
      <c r="I14" s="11"/>
      <c r="J14" s="12" t="s">
        <v>132</v>
      </c>
      <c r="K14" s="8" t="s">
        <v>133</v>
      </c>
      <c r="L14" s="8" t="s">
        <v>134</v>
      </c>
      <c r="M14" s="13">
        <v>46162</v>
      </c>
      <c r="N14" s="13">
        <v>46526</v>
      </c>
      <c r="O14" s="13" t="str">
        <f t="shared" ca="1" si="0"/>
        <v>ACTIVE</v>
      </c>
      <c r="P14" s="13" t="str">
        <f t="shared" ca="1" si="1"/>
        <v>238 days</v>
      </c>
      <c r="Q14" s="14" t="str">
        <f>HYPERLINK("https://steelworkspower-my.sharepoint.com/:b:/g/personal/utkarsh_kashyap_steelworks_in/IQD20IF5lNEQR7LuBXzdS1jFAc7bbFLUdk71s6KK3ViibLI?e=0aU2Dj","Insurance - " &amp; $A14 &amp; " (" &amp; $B14 &amp; ")")</f>
        <v>Insurance - NL03A2571 (JCB 3D Excavator)</v>
      </c>
      <c r="R14" s="13"/>
      <c r="S14" s="13">
        <v>43275</v>
      </c>
      <c r="T14" s="13" t="str">
        <f t="shared" ca="1" si="2"/>
        <v>EXPIRED</v>
      </c>
      <c r="U14" s="13" t="str">
        <f t="shared" ca="1" si="3"/>
        <v>-3013 days</v>
      </c>
      <c r="V14" s="14" t="str">
        <f>+HYPERLINK("https://steelworkspower-my.sharepoint.com/:i:/g/personal/utkarsh_kashyap_steelworks_in/IQDPqiPiKuM0S4ejfRZSp6vGAbH53ZzH-I7MmHRrSi6nOYA?e=VOSjWB","Fitness - " &amp; $A14 &amp; " (" &amp; $B14 &amp; ")")</f>
        <v>Fitness - NL03A2571 (JCB 3D Excavator)</v>
      </c>
      <c r="W14" s="13">
        <v>44261</v>
      </c>
      <c r="X14" s="13">
        <v>49739</v>
      </c>
      <c r="Y14" s="16" t="str">
        <f ca="1">IF(X14&lt;TODAY(),"EXPIRED",IF(X14&lt;=TODAY()+30,"EXPIRING SOON","ACTIVE"))</f>
        <v>ACTIVE</v>
      </c>
      <c r="Z14" s="17" t="str">
        <f ca="1">TEXT(X14-TODAY(),"0")&amp;" days"</f>
        <v>3451 days</v>
      </c>
      <c r="AA14" s="14"/>
      <c r="AB14" s="13"/>
      <c r="AC14" s="8"/>
      <c r="AD14" s="13"/>
      <c r="AE14" s="8"/>
      <c r="AF14" s="18">
        <v>27159</v>
      </c>
      <c r="AG14" s="8">
        <f t="shared" ca="1" si="4"/>
        <v>0</v>
      </c>
      <c r="AH14" s="19" t="s">
        <v>46</v>
      </c>
      <c r="AI14" s="19" t="s">
        <v>46</v>
      </c>
      <c r="AJ14" s="19" t="s">
        <v>46</v>
      </c>
      <c r="AK14" s="19" t="s">
        <v>46</v>
      </c>
      <c r="AL14" s="19" t="s">
        <v>46</v>
      </c>
      <c r="AM14" s="20" t="s">
        <v>47</v>
      </c>
    </row>
    <row r="15" spans="1:39" ht="15" customHeight="1" x14ac:dyDescent="0.25">
      <c r="A15" s="7" t="s">
        <v>135</v>
      </c>
      <c r="B15" s="8" t="s">
        <v>136</v>
      </c>
      <c r="C15" s="8" t="s">
        <v>97</v>
      </c>
      <c r="D15" s="8" t="s">
        <v>137</v>
      </c>
      <c r="E15" s="21" t="s">
        <v>138</v>
      </c>
      <c r="F15" s="9" t="s">
        <v>139</v>
      </c>
      <c r="G15" s="8">
        <v>2018</v>
      </c>
      <c r="H15" s="10" t="str">
        <f>+HYPERLINK("https://steelworkspower-my.sharepoint.com/:b:/g/personal/utkarsh_kashyap_steelworks_in/IQCbZd1ZgvO6QpX8XiG39PvcAbzoC8QRkNb1kh7LvYxb2O8?e=xPisjA", "RC - " &amp; $A15 &amp; " (" &amp; $B15 &amp; ")")</f>
        <v>RC - NL04D6690 (Ace Pick-n-Carry Crane)</v>
      </c>
      <c r="I15" s="11">
        <v>46843</v>
      </c>
      <c r="J15" s="12">
        <v>700000</v>
      </c>
      <c r="K15" s="8" t="s">
        <v>60</v>
      </c>
      <c r="L15" s="8" t="s">
        <v>140</v>
      </c>
      <c r="M15" s="13">
        <v>46220</v>
      </c>
      <c r="N15" s="13">
        <v>46584</v>
      </c>
      <c r="O15" s="13" t="str">
        <f t="shared" ca="1" si="0"/>
        <v>ACTIVE</v>
      </c>
      <c r="P15" s="13" t="str">
        <f t="shared" ca="1" si="1"/>
        <v>296 days</v>
      </c>
      <c r="Q15" s="14" t="str">
        <f>HYPERLINK("https://steelworkspower-my.sharepoint.com/:b:/g/personal/utkarsh_kashyap_steelworks_in/IQA9yopIIr1wRIYxye5gZ8uBAfnkfHxwToeVtzc6EuEFN0k?e=NCJux1","Insurance - " &amp; $A15 &amp; " (" &amp; $B15 &amp; ")")</f>
        <v>Insurance - NL04D6690 (Ace Pick-n-Carry Crane)</v>
      </c>
      <c r="R15" s="13">
        <v>43772</v>
      </c>
      <c r="S15" s="13">
        <v>46693</v>
      </c>
      <c r="T15" s="13" t="str">
        <f t="shared" ca="1" si="2"/>
        <v>ACTIVE</v>
      </c>
      <c r="U15" s="13" t="str">
        <f t="shared" ca="1" si="3"/>
        <v>405 days</v>
      </c>
      <c r="V15" s="14" t="str">
        <f>+HYPERLINK("https://steelworkspower-my.sharepoint.com/:i:/g/personal/utkarsh_kashyap_steelworks_in/IQCSPq86zlmdTaVA-mmoJHWiAR4kY8AKCNFWVIi2n_F1tyg?e=XT71fQ","Fitness - " &amp; $A15 &amp; " (" &amp; $B15 &amp; ")")</f>
        <v>Fitness - NL04D6690 (Ace Pick-n-Carry Crane)</v>
      </c>
      <c r="W15" s="13">
        <v>43294</v>
      </c>
      <c r="X15" s="13">
        <v>46946</v>
      </c>
      <c r="Y15" s="16" t="str">
        <f ca="1">IF(X15&lt;TODAY(),"EXPIRED",IF(X15&lt;=TODAY()+30,"EXPIRING SOON","ACTIVE"))</f>
        <v>ACTIVE</v>
      </c>
      <c r="Z15" s="17" t="str">
        <f ca="1">TEXT(X15-TODAY(),"0")&amp;" days"</f>
        <v>658 days</v>
      </c>
      <c r="AA15" s="14" t="str">
        <f>+HYPERLINK("https://steelworkspower-my.sharepoint.com/:i:/g/personal/utkarsh_kashyap_steelworks_in/IQCSPq86zlmdTaVA-mmoJHWiAR4kY8AKCNFWVIi2n_F1tyg?e=XT71fQ","MV Tax - "&amp;$A15&amp;" ("&amp;$B15&amp;")")</f>
        <v>MV Tax - NL04D6690 (Ace Pick-n-Carry Crane)</v>
      </c>
      <c r="AB15" s="13"/>
      <c r="AC15" s="8"/>
      <c r="AD15" s="13"/>
      <c r="AE15" s="8"/>
      <c r="AF15" s="18">
        <v>9382</v>
      </c>
      <c r="AG15" s="8">
        <f t="shared" ca="1" si="4"/>
        <v>0</v>
      </c>
      <c r="AH15" s="19" t="s">
        <v>46</v>
      </c>
      <c r="AI15" s="19" t="s">
        <v>46</v>
      </c>
      <c r="AJ15" s="19" t="s">
        <v>46</v>
      </c>
      <c r="AK15" s="19" t="s">
        <v>46</v>
      </c>
      <c r="AL15" s="19" t="s">
        <v>46</v>
      </c>
      <c r="AM15" s="20" t="s">
        <v>47</v>
      </c>
    </row>
    <row r="16" spans="1:39" ht="15" customHeight="1" x14ac:dyDescent="0.25">
      <c r="A16" s="7" t="s">
        <v>141</v>
      </c>
      <c r="B16" s="8" t="s">
        <v>142</v>
      </c>
      <c r="C16" s="8" t="s">
        <v>97</v>
      </c>
      <c r="D16" s="8" t="s">
        <v>143</v>
      </c>
      <c r="E16" s="9" t="s">
        <v>144</v>
      </c>
      <c r="F16" s="9" t="s">
        <v>145</v>
      </c>
      <c r="G16" s="8">
        <v>2018</v>
      </c>
      <c r="H16" s="10" t="str">
        <f>+HYPERLINK("https://steelworkspower-my.sharepoint.com/:b:/g/personal/utkarsh_kashyap_steelworks_in/IQDo0NQIpPdnQJZRdsJGNNE9AQaLpSmOE0np29Xb0uGkRPQ?e=fZ03wx", "RC - " &amp; $A16 &amp; " (" &amp; $B16 &amp; ")")</f>
        <v>RC - RJ02RE2119 (Mahindra Tractor )</v>
      </c>
      <c r="I16" s="11">
        <v>48720</v>
      </c>
      <c r="J16" s="12">
        <v>167000</v>
      </c>
      <c r="K16" s="8" t="s">
        <v>44</v>
      </c>
      <c r="L16" s="8" t="s">
        <v>146</v>
      </c>
      <c r="M16" s="13">
        <v>46228</v>
      </c>
      <c r="N16" s="13">
        <v>46592</v>
      </c>
      <c r="O16" s="13" t="str">
        <f t="shared" ca="1" si="0"/>
        <v>ACTIVE</v>
      </c>
      <c r="P16" s="13" t="str">
        <f t="shared" ca="1" si="1"/>
        <v>304 days</v>
      </c>
      <c r="Q16" s="14" t="str">
        <f>HYPERLINK("https://steelworkspower-my.sharepoint.com/:b:/g/personal/utkarsh_kashyap_steelworks_in/IQAT9Iu9G95NSJoPCqfjVHCxARB077OqVppt3hHkJalYkWY?e=cnqqad","Insurance - " &amp; $A16 &amp; " (" &amp; $B16 &amp; ")")</f>
        <v>Insurance - RJ02RE2119 (Mahindra Tractor )</v>
      </c>
      <c r="R16" s="13"/>
      <c r="S16" s="13">
        <v>48720</v>
      </c>
      <c r="T16" s="13" t="str">
        <f t="shared" ca="1" si="2"/>
        <v>ACTIVE</v>
      </c>
      <c r="U16" s="13" t="str">
        <f t="shared" ca="1" si="3"/>
        <v>2432 days</v>
      </c>
      <c r="V16" s="14" t="str">
        <f>+HYPERLINK("https://steelworkspower-my.sharepoint.com/:i:/g/personal/utkarsh_kashyap_steelworks_in/IQA5Om8pyMDyR74VGTiqFMSbAVRyBfmXJVsW75-NJskS4eY?e=saedFY","Fitness - " &amp; $A16 &amp; " (" &amp; $B16 &amp; ")")</f>
        <v>Fitness - RJ02RE2119 (Mahindra Tractor )</v>
      </c>
      <c r="W16" s="13" t="s">
        <v>147</v>
      </c>
      <c r="X16" s="13" t="s">
        <v>147</v>
      </c>
      <c r="Y16" s="16" t="s">
        <v>147</v>
      </c>
      <c r="Z16" s="16" t="s">
        <v>147</v>
      </c>
      <c r="AA16" s="14"/>
      <c r="AB16" s="13"/>
      <c r="AC16" s="8"/>
      <c r="AD16" s="13"/>
      <c r="AE16" s="8"/>
      <c r="AF16" s="18">
        <v>17999</v>
      </c>
      <c r="AG16" s="8">
        <f t="shared" ca="1" si="4"/>
        <v>0</v>
      </c>
      <c r="AH16" s="19" t="s">
        <v>46</v>
      </c>
      <c r="AI16" s="19" t="s">
        <v>46</v>
      </c>
      <c r="AJ16" s="19" t="s">
        <v>46</v>
      </c>
      <c r="AK16" s="19" t="s">
        <v>46</v>
      </c>
      <c r="AL16" s="19" t="s">
        <v>46</v>
      </c>
      <c r="AM16" s="20" t="s">
        <v>47</v>
      </c>
    </row>
    <row r="17" spans="1:39" ht="14.25" customHeight="1" x14ac:dyDescent="0.25">
      <c r="A17" s="7" t="s">
        <v>148</v>
      </c>
      <c r="B17" s="8" t="s">
        <v>149</v>
      </c>
      <c r="C17" s="8" t="s">
        <v>64</v>
      </c>
      <c r="D17" s="8" t="s">
        <v>150</v>
      </c>
      <c r="E17" s="9" t="s">
        <v>151</v>
      </c>
      <c r="F17" s="29">
        <v>463438414195768</v>
      </c>
      <c r="G17" s="8">
        <v>2022</v>
      </c>
      <c r="H17" s="10" t="str">
        <f>+HYPERLINK("https://steelworkspower-my.sharepoint.com/:b:/g/personal/utkarsh_kashyap_steelworks_in/IQCoWaxPGzTMTY3eylbVwDtvASjVPkn6pWvlWHom2e3qBqA?e=NIZc5q","RC - " &amp; $A17 &amp; " (" &amp; $B17 &amp; ")")</f>
        <v>RC - HR98F8540 (Tata Harrier)</v>
      </c>
      <c r="I17" s="11">
        <v>50268</v>
      </c>
      <c r="J17" s="12">
        <v>1475000</v>
      </c>
      <c r="K17" s="8" t="s">
        <v>152</v>
      </c>
      <c r="L17" s="8" t="s">
        <v>153</v>
      </c>
      <c r="M17" s="13">
        <v>46238</v>
      </c>
      <c r="N17" s="13">
        <v>46602</v>
      </c>
      <c r="O17" s="13" t="str">
        <f t="shared" ca="1" si="0"/>
        <v>ACTIVE</v>
      </c>
      <c r="P17" s="13" t="str">
        <f t="shared" ca="1" si="1"/>
        <v>314 days</v>
      </c>
      <c r="Q17" s="14" t="str">
        <f>HYPERLINK("https://steelworkspower-my.sharepoint.com/:b:/g/personal/utkarsh_kashyap_steelworks_in/IQC9aIw1KuvTS6BDqfAssyWCAT-OKdqI0UnlYJW3wqLD71Y?e=SmnvHj","Insurance - " &amp; $A17 &amp; " (" &amp; $B17 &amp; ")")</f>
        <v>Insurance - HR98F8540 (Tata Harrier)</v>
      </c>
      <c r="R17" s="8"/>
      <c r="S17" s="13">
        <v>50268</v>
      </c>
      <c r="T17" s="13" t="str">
        <f t="shared" ca="1" si="2"/>
        <v>ACTIVE</v>
      </c>
      <c r="U17" s="13" t="str">
        <f t="shared" ca="1" si="3"/>
        <v>3980 days</v>
      </c>
      <c r="V17" s="14" t="str">
        <f>+HYPERLINK("https://steelworkspower-my.sharepoint.com/:i:/g/personal/utkarsh_kashyap_steelworks_in/IQAkX8bbXD3VSKCnt4dWLCg1Ab7J7RGTxF-cNULUpDj7U70?e=IuY8ts","Fitness - " &amp; $A17 &amp; " (" &amp; $B17 &amp; ")")</f>
        <v>Fitness - HR98F8540 (Tata Harrier)</v>
      </c>
      <c r="W17" s="13" t="s">
        <v>70</v>
      </c>
      <c r="X17" s="13" t="s">
        <v>70</v>
      </c>
      <c r="Y17" s="16" t="s">
        <v>70</v>
      </c>
      <c r="Z17" s="17" t="s">
        <v>70</v>
      </c>
      <c r="AA17" s="14" t="str">
        <f>+HYPERLINK("https://steelworkspower-my.sharepoint.com/:i:/g/personal/utkarsh_kashyap_steelworks_in/IQAkX8bbXD3VSKCnt4dWLCg1Ab7J7RGTxF-cNULUpDj7U70?e=IuY8ts","MV Tax - "&amp;$A17&amp;" ("&amp;$B17&amp;")")</f>
        <v>MV Tax - HR98F8540 (Tata Harrier)</v>
      </c>
      <c r="AB17" s="13"/>
      <c r="AC17" s="8"/>
      <c r="AD17" s="13"/>
      <c r="AE17" s="8"/>
      <c r="AF17" s="18">
        <v>43272</v>
      </c>
      <c r="AG17" s="8">
        <f t="shared" ca="1" si="4"/>
        <v>0</v>
      </c>
      <c r="AH17" s="19" t="s">
        <v>46</v>
      </c>
      <c r="AI17" s="19" t="s">
        <v>46</v>
      </c>
      <c r="AJ17" s="19" t="s">
        <v>46</v>
      </c>
      <c r="AK17" s="19" t="s">
        <v>46</v>
      </c>
      <c r="AL17" s="19" t="s">
        <v>46</v>
      </c>
      <c r="AM17" s="20" t="s">
        <v>47</v>
      </c>
    </row>
    <row r="18" spans="1:39" ht="15.75" customHeight="1" x14ac:dyDescent="0.25">
      <c r="A18" s="7" t="s">
        <v>154</v>
      </c>
      <c r="B18" s="8" t="s">
        <v>155</v>
      </c>
      <c r="C18" s="8" t="s">
        <v>97</v>
      </c>
      <c r="D18" s="8" t="s">
        <v>156</v>
      </c>
      <c r="E18" s="21" t="s">
        <v>157</v>
      </c>
      <c r="F18" s="9" t="s">
        <v>158</v>
      </c>
      <c r="G18" s="8">
        <v>2023</v>
      </c>
      <c r="H18" s="10" t="str">
        <f>+HYPERLINK("https://steelworkspower-my.sharepoint.com/:b:/g/personal/utkarsh_kashyap_steelworks_in/IQBKMukghayDQZ-Y6n4kvuZOAdgp22zwtitOZR7BfYa66AI?e=qKTu2d", "RC - " &amp; $A18 &amp; " (" &amp; $B18 &amp; ")")</f>
        <v>RC - RJ02PA8005 (Isuzu S7 CNG Bus)</v>
      </c>
      <c r="I18" s="11"/>
      <c r="J18" s="12">
        <v>1474200</v>
      </c>
      <c r="K18" s="8" t="s">
        <v>159</v>
      </c>
      <c r="L18" s="8" t="s">
        <v>160</v>
      </c>
      <c r="M18" s="13">
        <v>46248</v>
      </c>
      <c r="N18" s="13">
        <v>46612</v>
      </c>
      <c r="O18" s="13" t="str">
        <f t="shared" ca="1" si="0"/>
        <v>ACTIVE</v>
      </c>
      <c r="P18" s="13" t="str">
        <f t="shared" ca="1" si="1"/>
        <v>324 days</v>
      </c>
      <c r="Q18" s="14" t="str">
        <f>HYPERLINK("https://steelworkspower-my.sharepoint.com/:b:/g/personal/utkarsh_kashyap_steelworks_in/IQBqxt9v9U5FS4Rsi3e3zAC5ASinN1dpJ-2KfzbYcXWcbbI?e=5MBtRS","Insurance - " &amp; $A18 &amp; " (" &amp; $B18 &amp; ")")</f>
        <v>Insurance - RJ02PA8005 (Isuzu S7 CNG Bus)</v>
      </c>
      <c r="R18" s="8"/>
      <c r="S18" s="13">
        <v>46670</v>
      </c>
      <c r="T18" s="13" t="str">
        <f t="shared" ca="1" si="2"/>
        <v>ACTIVE</v>
      </c>
      <c r="U18" s="13" t="str">
        <f t="shared" ca="1" si="3"/>
        <v>382 days</v>
      </c>
      <c r="V18" s="14" t="str">
        <f>+HYPERLINK("https://steelworkspower-my.sharepoint.com/:b:/g/personal/utkarsh_kashyap_steelworks_in/IQCmid8iJ7EBRqoytkotRO-aAXt4bWgq4FKIvzNewBiorhs?e=mBTw5B","Fitness - " &amp; $A18 &amp; " (" &amp; $B18 &amp; ")")</f>
        <v>Fitness - RJ02PA8005 (Isuzu S7 CNG Bus)</v>
      </c>
      <c r="W18" s="8"/>
      <c r="X18" s="13">
        <v>50688</v>
      </c>
      <c r="Y18" s="16" t="str">
        <f ca="1">IF(X18&lt;TODAY(),"EXPIRED",IF(X18&lt;=TODAY()+30,"EXPIRING SOON","ACTIVE"))</f>
        <v>ACTIVE</v>
      </c>
      <c r="Z18" s="17" t="str">
        <f ca="1">TEXT(X18-TODAY(),"0")&amp;" days"</f>
        <v>4400 days</v>
      </c>
      <c r="AA18" s="14" t="str">
        <f>+HYPERLINK("https://steelworkspower-my.sharepoint.com/:i:/g/personal/utkarsh_kashyap_steelworks_in/IQBbm-2VsO8cQbm6_5EwV8bnAcb_IhU9I-cpXEmKXEoWRMk?e=SVRWnI","MV Tax - "&amp;$A18&amp;" ("&amp;$B18&amp;")")</f>
        <v>MV Tax - RJ02PA8005 (Isuzu S7 CNG Bus)</v>
      </c>
      <c r="AB18" s="13">
        <v>47119</v>
      </c>
      <c r="AC18" s="13" t="str">
        <f ca="1">IF(AB18&lt;TODAY(),"EXPIRED",IF(AB18&lt;=TODAY()+30,"EXPIRING SOON","ACTIVE"))</f>
        <v>ACTIVE</v>
      </c>
      <c r="AD18" s="13" t="str">
        <f ca="1">TEXT(AB18-TODAY(),"0")&amp;" days"</f>
        <v>831 days</v>
      </c>
      <c r="AE18" s="26" t="str">
        <f>+HYPERLINK("https://steelworkspower-my.sharepoint.com/:i:/g/personal/utkarsh_kashyap_steelworks_in/IQDgl0oKA_dGR6PgU-6qaAYIAZqxXqMmSy5XikObq0I3fVw?e=qf6JPJ","Permit - " &amp; $A18 &amp; " (" &amp; $B18 &amp; ")")</f>
        <v>Permit - RJ02PA8005 (Isuzu S7 CNG Bus)</v>
      </c>
      <c r="AF18" s="18">
        <v>41298</v>
      </c>
      <c r="AG18" s="8">
        <f t="shared" ca="1" si="4"/>
        <v>1</v>
      </c>
      <c r="AH18" s="19" t="s">
        <v>46</v>
      </c>
      <c r="AI18" s="19" t="s">
        <v>46</v>
      </c>
      <c r="AJ18" s="19" t="s">
        <v>46</v>
      </c>
      <c r="AK18" s="19" t="s">
        <v>46</v>
      </c>
      <c r="AL18" s="19" t="s">
        <v>46</v>
      </c>
      <c r="AM18" s="20" t="s">
        <v>47</v>
      </c>
    </row>
    <row r="19" spans="1:39" x14ac:dyDescent="0.25">
      <c r="A19" s="7" t="s">
        <v>161</v>
      </c>
      <c r="B19" s="8" t="s">
        <v>162</v>
      </c>
      <c r="C19" s="8" t="s">
        <v>97</v>
      </c>
      <c r="D19" s="8" t="s">
        <v>163</v>
      </c>
      <c r="E19" s="21" t="s">
        <v>164</v>
      </c>
      <c r="F19" s="9" t="s">
        <v>165</v>
      </c>
      <c r="G19" s="8">
        <v>2020</v>
      </c>
      <c r="H19" s="10" t="str">
        <f>+HYPERLINK("https://steelworkspower-my.sharepoint.com/:b:/g/personal/utkarsh_kashyap_steelworks_in/IQCm9MdX43tqS5aP2xJr2iejAdnn9dD4V0qeGVwHYCLpjJ0?e=Dcg1WL","RC - " &amp; $A19 &amp; " (" &amp; $B19 &amp; ")")</f>
        <v>RC - RJ02EA1812 (HYDRA ACE 15 Crane )</v>
      </c>
      <c r="I19" s="11">
        <v>49568</v>
      </c>
      <c r="J19" s="12">
        <v>967956</v>
      </c>
      <c r="K19" s="8" t="s">
        <v>60</v>
      </c>
      <c r="L19" s="8" t="s">
        <v>166</v>
      </c>
      <c r="M19" s="13">
        <v>45983</v>
      </c>
      <c r="N19" s="13">
        <v>46347</v>
      </c>
      <c r="O19" s="13" t="str">
        <f t="shared" ca="1" si="0"/>
        <v>ACTIVE</v>
      </c>
      <c r="P19" s="13" t="str">
        <f t="shared" ca="1" si="1"/>
        <v>59 days</v>
      </c>
      <c r="Q19" s="14" t="str">
        <f>HYPERLINK("https://steelworkspower-my.sharepoint.com/:b:/g/personal/utkarsh_kashyap_steelworks_in/IQBVThUj6jDDTb94oaTNoFRYAcv5p_84b8LtuTMIIv1XLw0?e=wEqoXV","Insurance - " &amp; $A19 &amp; " (" &amp; $B19 &amp; ")")</f>
        <v>Insurance - RJ02EA1812 (HYDRA ACE 15 Crane )</v>
      </c>
      <c r="R19" s="8"/>
      <c r="S19" s="13">
        <v>49568</v>
      </c>
      <c r="T19" s="13" t="str">
        <f t="shared" ca="1" si="2"/>
        <v>ACTIVE</v>
      </c>
      <c r="U19" s="13" t="str">
        <f t="shared" ca="1" si="3"/>
        <v>3280 days</v>
      </c>
      <c r="V19" s="14" t="str">
        <f>+HYPERLINK("https://steelworkspower-my.sharepoint.com/:i:/g/personal/utkarsh_kashyap_steelworks_in/IQCcmffb-4rmS6e5hMoKpz-5AXwRhqEV5rnVMIeNgju05xE?e=1pzFGq","Fitness - " &amp; $A19 &amp; " (" &amp; $B19 &amp; ")")</f>
        <v>Fitness - RJ02EA1812 (HYDRA ACE 15 Crane )</v>
      </c>
      <c r="W19" s="13" t="s">
        <v>70</v>
      </c>
      <c r="X19" s="13" t="s">
        <v>70</v>
      </c>
      <c r="Y19" s="16" t="s">
        <v>70</v>
      </c>
      <c r="Z19" s="17" t="s">
        <v>70</v>
      </c>
      <c r="AA19" s="14" t="str">
        <f>+HYPERLINK("https://steelworkspower-my.sharepoint.com/:i:/g/personal/utkarsh_kashyap_steelworks_in/IQCcmffb-4rmS6e5hMoKpz-5AXwRhqEV5rnVMIeNgju05xE?e=1pzFGq","MV Tax - "&amp;$A19&amp;" ("&amp;$B19&amp;")")</f>
        <v>MV Tax - RJ02EA1812 (HYDRA ACE 15 Crane )</v>
      </c>
      <c r="AB19" s="13"/>
      <c r="AC19" s="8"/>
      <c r="AD19" s="13"/>
      <c r="AE19" s="8"/>
      <c r="AF19" s="18">
        <v>10091.36</v>
      </c>
      <c r="AG19" s="8">
        <f t="shared" ca="1" si="4"/>
        <v>0</v>
      </c>
      <c r="AH19" s="19" t="s">
        <v>46</v>
      </c>
      <c r="AI19" s="19" t="s">
        <v>46</v>
      </c>
      <c r="AJ19" s="19" t="s">
        <v>46</v>
      </c>
      <c r="AK19" s="19" t="s">
        <v>46</v>
      </c>
      <c r="AL19" s="19" t="s">
        <v>46</v>
      </c>
      <c r="AM19" s="20" t="s">
        <v>47</v>
      </c>
    </row>
    <row r="20" spans="1:39" x14ac:dyDescent="0.25">
      <c r="A20" s="7" t="s">
        <v>167</v>
      </c>
      <c r="B20" s="8" t="s">
        <v>168</v>
      </c>
      <c r="C20" s="8" t="s">
        <v>64</v>
      </c>
      <c r="D20" s="8" t="s">
        <v>169</v>
      </c>
      <c r="E20" s="9" t="s">
        <v>170</v>
      </c>
      <c r="F20" s="9" t="s">
        <v>171</v>
      </c>
      <c r="G20" s="8">
        <v>2021</v>
      </c>
      <c r="H20" s="10" t="str">
        <f>+HYPERLINK("https://steelworkspower-my.sharepoint.com/:b:/g/personal/utkarsh_kashyap_steelworks_in/IQA4gIkhWPLNTrHGHqeZnRPEAdD8C5-TbADwbkMAO3HS5DI?e=OGNlH9","RC - " &amp; $A20 &amp; " (" &amp; $B20 &amp; ")")</f>
        <v>RC - HR98B8878 (Maruti Suzuki Baleno)</v>
      </c>
      <c r="I20" s="11">
        <v>49937</v>
      </c>
      <c r="J20" s="12">
        <v>670546</v>
      </c>
      <c r="K20" s="8" t="s">
        <v>152</v>
      </c>
      <c r="L20" s="8" t="s">
        <v>172</v>
      </c>
      <c r="M20" s="13">
        <v>45909</v>
      </c>
      <c r="N20" s="13">
        <v>46273</v>
      </c>
      <c r="O20" s="13" t="str">
        <f t="shared" ca="1" si="0"/>
        <v>EXPIRED</v>
      </c>
      <c r="P20" s="13" t="str">
        <f t="shared" ca="1" si="1"/>
        <v>-15 days</v>
      </c>
      <c r="Q20" s="14" t="str">
        <f>HYPERLINK("https://steelworkspower-my.sharepoint.com/:b:/g/personal/utkarsh_kashyap_steelworks_in/IQA5x7anX3GKTrcWjzZpBhnKAUuUMfXQbC7peQLM-JYrLCg?e=ZELEyC","Insurance - " &amp; $A20 &amp; " (" &amp; $B20 &amp; ")")</f>
        <v>Insurance - HR98B8878 (Maruti Suzuki Baleno)</v>
      </c>
      <c r="R20" s="8"/>
      <c r="S20" s="13">
        <v>46273</v>
      </c>
      <c r="T20" s="13" t="str">
        <f t="shared" ca="1" si="2"/>
        <v>EXPIRED</v>
      </c>
      <c r="U20" s="13" t="str">
        <f t="shared" ca="1" si="3"/>
        <v>-15 days</v>
      </c>
      <c r="V20" s="14" t="str">
        <f>+HYPERLINK("https://steelworkspower-my.sharepoint.com/:i:/g/personal/utkarsh_kashyap_steelworks_in/IQAiQsYt-WphSZLX5a8g1Oq-AQmDcQjHXHVq_1tYgHqZcEI?e=1ERJZX","Fitness - " &amp; $A20 &amp; " (" &amp; $B20 &amp; ")")</f>
        <v>Fitness - HR98B8878 (Maruti Suzuki Baleno)</v>
      </c>
      <c r="W20" s="13" t="s">
        <v>70</v>
      </c>
      <c r="X20" s="13">
        <v>46273</v>
      </c>
      <c r="Y20" s="16" t="s">
        <v>70</v>
      </c>
      <c r="Z20" s="17" t="s">
        <v>70</v>
      </c>
      <c r="AA20" s="14" t="str">
        <f>+HYPERLINK("https://steelworkspower-my.sharepoint.com/:i:/g/personal/utkarsh_kashyap_steelworks_in/IQAiQsYt-WphSZLX5a8g1Oq-AQmDcQjHXHVq_1tYgHqZcEI?e=1ERJZX","MV Tax - "&amp;$A20&amp;" ("&amp;$B20&amp;")")</f>
        <v>MV Tax - HR98B8878 (Maruti Suzuki Baleno)</v>
      </c>
      <c r="AB20" s="13">
        <v>46273</v>
      </c>
      <c r="AC20" s="8"/>
      <c r="AD20" s="13"/>
      <c r="AE20" s="8"/>
      <c r="AF20" s="18"/>
      <c r="AG20" s="8">
        <f t="shared" ca="1" si="4"/>
        <v>0</v>
      </c>
      <c r="AH20" s="19" t="s">
        <v>46</v>
      </c>
      <c r="AI20" s="19" t="s">
        <v>46</v>
      </c>
      <c r="AJ20" s="19" t="s">
        <v>46</v>
      </c>
      <c r="AK20" s="19" t="s">
        <v>46</v>
      </c>
      <c r="AL20" s="19" t="s">
        <v>46</v>
      </c>
      <c r="AM20" s="20" t="s">
        <v>47</v>
      </c>
    </row>
    <row r="21" spans="1:39" ht="15.75" customHeight="1" x14ac:dyDescent="0.25">
      <c r="A21" s="7" t="s">
        <v>173</v>
      </c>
      <c r="B21" s="8" t="s">
        <v>174</v>
      </c>
      <c r="C21" s="8" t="s">
        <v>109</v>
      </c>
      <c r="D21" s="8" t="s">
        <v>175</v>
      </c>
      <c r="E21" s="9" t="s">
        <v>176</v>
      </c>
      <c r="F21" s="9" t="s">
        <v>177</v>
      </c>
      <c r="G21" s="8">
        <v>2022</v>
      </c>
      <c r="H21" s="10" t="str">
        <f>+HYPERLINK("https://steelworkspower-my.sharepoint.com/:b:/g/personal/utkarsh_kashyap_steelworks_in/IQB-rvYJh02WQYMdKGrmV_A4AR8y5e1CWNegQQOXjlFqjvE?e=ZL75qv", "RC - " &amp; $A21 &amp; " (" &amp; $B21 &amp; ")")</f>
        <v>RC - HR26EX5936 (JCB Backhoe Loader)</v>
      </c>
      <c r="I21" s="11">
        <v>50082</v>
      </c>
      <c r="J21" s="12">
        <v>2160000</v>
      </c>
      <c r="K21" s="8" t="s">
        <v>178</v>
      </c>
      <c r="L21" s="8" t="s">
        <v>179</v>
      </c>
      <c r="M21" s="13">
        <v>45958</v>
      </c>
      <c r="N21" s="13">
        <v>46322</v>
      </c>
      <c r="O21" s="13" t="str">
        <f t="shared" ca="1" si="0"/>
        <v>ACTIVE</v>
      </c>
      <c r="P21" s="13" t="str">
        <f t="shared" ca="1" si="1"/>
        <v>34 days</v>
      </c>
      <c r="Q21" s="14" t="str">
        <f>HYPERLINK("https://steelworkspower-my.sharepoint.com/:b:/g/personal/utkarsh_kashyap_steelworks_in/IQDvlIsUJRtkT5-l2_-qJVbcAdjTaERcub57IiJMBalGUes?e=lKR3UN","Insurance - " &amp; $A21 &amp; " (" &amp; $B21 &amp; ")")</f>
        <v>Insurance - HR26EX5936 (JCB Backhoe Loader)</v>
      </c>
      <c r="R21" s="8"/>
      <c r="S21" s="13">
        <v>50082</v>
      </c>
      <c r="T21" s="13" t="str">
        <f t="shared" ca="1" si="2"/>
        <v>ACTIVE</v>
      </c>
      <c r="U21" s="13" t="str">
        <f t="shared" ca="1" si="3"/>
        <v>3794 days</v>
      </c>
      <c r="V21" s="14" t="str">
        <f>+HYPERLINK("https://steelworkspower-my.sharepoint.com/:i:/g/personal/utkarsh_kashyap_steelworks_in/IQD3aud_BCtNSZ4ZjKpnAycFASPLkAM2mY0HPF36e0FZ_Iw?e=2YoFWK","Fitness - " &amp; $A21 &amp; " (" &amp; $B21 &amp; ")")</f>
        <v>Fitness - HR26EX5936 (JCB Backhoe Loader)</v>
      </c>
      <c r="W21" s="13" t="s">
        <v>70</v>
      </c>
      <c r="X21" s="13" t="s">
        <v>70</v>
      </c>
      <c r="Y21" s="16" t="s">
        <v>70</v>
      </c>
      <c r="Z21" s="17" t="s">
        <v>70</v>
      </c>
      <c r="AA21" s="14" t="str">
        <f>+HYPERLINK("https://steelworkspower-my.sharepoint.com/:i:/g/personal/utkarsh_kashyap_steelworks_in/IQD3aud_BCtNSZ4ZjKpnAycFASPLkAM2mY0HPF36e0FZ_Iw?e=2YoFWK","MV Tax - "&amp;$A21&amp;" ("&amp;$B21&amp;")")</f>
        <v>MV Tax - HR26EX5936 (JCB Backhoe Loader)</v>
      </c>
      <c r="AB21" s="13"/>
      <c r="AC21" s="8"/>
      <c r="AD21" s="13"/>
      <c r="AE21" s="8"/>
      <c r="AF21" s="18">
        <v>13336.43</v>
      </c>
      <c r="AG21" s="8">
        <f t="shared" ca="1" si="4"/>
        <v>0</v>
      </c>
      <c r="AH21" s="19" t="s">
        <v>46</v>
      </c>
      <c r="AI21" s="19" t="s">
        <v>46</v>
      </c>
      <c r="AJ21" s="19" t="s">
        <v>46</v>
      </c>
      <c r="AK21" s="19" t="s">
        <v>46</v>
      </c>
      <c r="AL21" s="19" t="s">
        <v>46</v>
      </c>
      <c r="AM21" s="20" t="s">
        <v>47</v>
      </c>
    </row>
    <row r="22" spans="1:39" x14ac:dyDescent="0.25">
      <c r="A22" s="7" t="s">
        <v>180</v>
      </c>
      <c r="B22" s="8" t="s">
        <v>181</v>
      </c>
      <c r="C22" s="8" t="s">
        <v>182</v>
      </c>
      <c r="D22" s="8" t="s">
        <v>183</v>
      </c>
      <c r="E22" s="30" t="s">
        <v>184</v>
      </c>
      <c r="F22" s="30" t="s">
        <v>185</v>
      </c>
      <c r="G22" s="8">
        <v>2024</v>
      </c>
      <c r="H22" s="10" t="str">
        <f>+HYPERLINK("https://steelworkspower-my.sharepoint.com/:b:/g/personal/utkarsh_kashyap_steelworks_in/IQDN_MoiddsiRL3so6WSUDUTAQo8aX5axKj7smTBnhhL0M4?e=ddcFGW", "RC - " &amp; $A22 &amp; " (" &amp; $B22 &amp; ")")</f>
        <v>RC - HR98T8866 (Maruti Suzuki Ertiga)</v>
      </c>
      <c r="I22" s="11">
        <v>51067</v>
      </c>
      <c r="J22" s="12">
        <v>930906</v>
      </c>
      <c r="K22" s="8" t="s">
        <v>178</v>
      </c>
      <c r="L22" s="8" t="s">
        <v>186</v>
      </c>
      <c r="M22" s="13">
        <v>45946</v>
      </c>
      <c r="N22" s="13">
        <v>46310</v>
      </c>
      <c r="O22" s="13" t="str">
        <f t="shared" ca="1" si="0"/>
        <v>EXPIRING SOON</v>
      </c>
      <c r="P22" s="13" t="str">
        <f t="shared" ca="1" si="1"/>
        <v>22 days</v>
      </c>
      <c r="Q22" s="14" t="str">
        <f>HYPERLINK("https://steelworkspower-my.sharepoint.com/:b:/g/personal/utkarsh_kashyap_steelworks_in/IQAdbiAMVJ2AQpe7wfB13jX7AaVnEscWUvjcHAb6AhJpLN4?e=Szu4uo","Insurance - " &amp; $A22 &amp; " (" &amp; $B22 &amp; ")")</f>
        <v>Insurance - HR98T8866 (Maruti Suzuki Ertiga)</v>
      </c>
      <c r="R22" s="8"/>
      <c r="S22" s="31">
        <v>51067</v>
      </c>
      <c r="T22" s="13" t="str">
        <f t="shared" ca="1" si="2"/>
        <v>ACTIVE</v>
      </c>
      <c r="U22" s="13" t="str">
        <f t="shared" ca="1" si="3"/>
        <v>4779 days</v>
      </c>
      <c r="V22" s="14" t="str">
        <f>+HYPERLINK("https://steelworkspower-my.sharepoint.com/:i:/g/personal/utkarsh_kashyap_steelworks_in/IQAKT8UZkltoQKtJAGea8tTMAYQk7hxTEcwJ-Uo2F-zeC1s?e=MyCZi4","Fitness - " &amp; $A22 &amp; " (" &amp; $B22 &amp; ")")</f>
        <v>Fitness - HR98T8866 (Maruti Suzuki Ertiga)</v>
      </c>
      <c r="W22" s="13" t="s">
        <v>70</v>
      </c>
      <c r="X22" s="13" t="s">
        <v>70</v>
      </c>
      <c r="Y22" s="16" t="s">
        <v>70</v>
      </c>
      <c r="Z22" s="17" t="s">
        <v>70</v>
      </c>
      <c r="AA22" s="14" t="str">
        <f>+HYPERLINK("https://steelworkspower-my.sharepoint.com/:i:/g/personal/utkarsh_kashyap_steelworks_in/IQAKT8UZkltoQKtJAGea8tTMAYQk7hxTEcwJ-Uo2F-zeC1s?e=MyCZi4","MV Tax - "&amp;$A22&amp;" ("&amp;$B22&amp;")")</f>
        <v>MV Tax - HR98T8866 (Maruti Suzuki Ertiga)</v>
      </c>
      <c r="AB22" s="13"/>
      <c r="AC22" s="8"/>
      <c r="AD22" s="13"/>
      <c r="AE22" s="8"/>
      <c r="AF22" s="18">
        <v>14824.62</v>
      </c>
      <c r="AG22" s="8">
        <f t="shared" ca="1" si="4"/>
        <v>0</v>
      </c>
      <c r="AH22" s="13">
        <v>45581</v>
      </c>
      <c r="AI22" s="13">
        <v>46675</v>
      </c>
      <c r="AJ22" s="13" t="str">
        <f ca="1">IF(AI22&lt;TODAY(),"EXPIRED",IF(AI22&lt;=TODAY()+30,"EXPIRING SOON","ACTIVE"))</f>
        <v>ACTIVE</v>
      </c>
      <c r="AK22" s="13" t="str">
        <f ca="1">TEXT(AI22-TODAY(),"0")&amp;" days"</f>
        <v>387 days</v>
      </c>
      <c r="AL22" s="32" t="s">
        <v>187</v>
      </c>
      <c r="AM22" s="20" t="s">
        <v>188</v>
      </c>
    </row>
    <row r="23" spans="1:39" x14ac:dyDescent="0.25">
      <c r="A23" s="7" t="s">
        <v>189</v>
      </c>
      <c r="B23" s="8" t="s">
        <v>190</v>
      </c>
      <c r="C23" s="8" t="s">
        <v>109</v>
      </c>
      <c r="D23" s="8" t="s">
        <v>191</v>
      </c>
      <c r="E23" s="30" t="s">
        <v>192</v>
      </c>
      <c r="F23" s="30" t="s">
        <v>193</v>
      </c>
      <c r="G23" s="8">
        <v>2025</v>
      </c>
      <c r="H23" s="10" t="str">
        <f>+HYPERLINK("https://steelworkspower-my.sharepoint.com/:i:/g/personal/utkarsh_kashyap_steelworks_in/IQBE0Uab8euOSIWkUb3TqdnPATmafNaSsPfSAEzgcfIwVF8?e=3vT0Pu", "RC - " &amp; $A23 &amp; " (" &amp; $B23 &amp; ")")</f>
        <v>RC - HR98X1291 (BMW X7)</v>
      </c>
      <c r="I23" s="11">
        <v>51361</v>
      </c>
      <c r="J23" s="33">
        <v>11850000</v>
      </c>
      <c r="K23" s="34" t="s">
        <v>194</v>
      </c>
      <c r="L23" s="35" t="s">
        <v>195</v>
      </c>
      <c r="M23" s="13">
        <v>46238</v>
      </c>
      <c r="N23" s="13">
        <v>46602</v>
      </c>
      <c r="O23" s="13" t="str">
        <f t="shared" ca="1" si="0"/>
        <v>ACTIVE</v>
      </c>
      <c r="P23" s="13" t="str">
        <f t="shared" ca="1" si="1"/>
        <v>314 days</v>
      </c>
      <c r="Q23" s="14" t="str">
        <f>HYPERLINK("https://steelworkspower-my.sharepoint.com/:b:/g/personal/utkarsh_kashyap_steelworks_in/IQAXP-YNZvxiSqlszvzjMptLAZ1b_R06nF5VeQ6tWBQhyLI?e=CsZHzh","Insurance - " &amp; $A23 &amp; " (" &amp; $B23 &amp; ")")</f>
        <v>Insurance - HR98X1291 (BMW X7)</v>
      </c>
      <c r="R23" s="8"/>
      <c r="S23" s="31">
        <v>51361</v>
      </c>
      <c r="T23" s="13" t="str">
        <f t="shared" ca="1" si="2"/>
        <v>ACTIVE</v>
      </c>
      <c r="U23" s="13" t="str">
        <f t="shared" ca="1" si="3"/>
        <v>5073 days</v>
      </c>
      <c r="V23" s="14" t="str">
        <f>+HYPERLINK("https://steelworkspower-my.sharepoint.com/:i:/g/personal/utkarsh_kashyap_steelworks_in/IQAcDx-C3XV0SaNso6n1_Iu6AbEgq3THjxc_0PGELA5Lzpg?e=E069PG","Fitness - " &amp; $A23 &amp; " (" &amp; $B23 &amp; ")")</f>
        <v>Fitness - HR98X1291 (BMW X7)</v>
      </c>
      <c r="W23" s="13" t="s">
        <v>70</v>
      </c>
      <c r="X23" s="13" t="s">
        <v>70</v>
      </c>
      <c r="Y23" s="16" t="s">
        <v>70</v>
      </c>
      <c r="Z23" s="17" t="s">
        <v>70</v>
      </c>
      <c r="AA23" s="14" t="str">
        <f>+HYPERLINK("https://steelworkspower-my.sharepoint.com/:i:/g/personal/utkarsh_kashyap_steelworks_in/IQAcDx-C3XV0SaNso6n1_Iu6AbEgq3THjxc_0PGELA5Lzpg?e=E069PG","MV Tax - "&amp;$A23&amp;" ("&amp;$B23&amp;")")</f>
        <v>MV Tax - HR98X1291 (BMW X7)</v>
      </c>
      <c r="AB23" s="13"/>
      <c r="AC23" s="8"/>
      <c r="AD23" s="13"/>
      <c r="AE23" s="8"/>
      <c r="AF23" s="18">
        <v>237563</v>
      </c>
      <c r="AG23" s="8">
        <f t="shared" ca="1" si="4"/>
        <v>0</v>
      </c>
      <c r="AH23" s="36">
        <v>45873</v>
      </c>
      <c r="AI23" s="36">
        <v>46938</v>
      </c>
      <c r="AJ23" s="13" t="str">
        <f t="shared" ref="AJ23:AJ24" ca="1" si="5">IF(AI23&lt;TODAY(),"EXPIRED",IF(AI23&lt;=TODAY()+30,"EXPIRING SOON","ACTIVE"))</f>
        <v>ACTIVE</v>
      </c>
      <c r="AK23" s="13" t="str">
        <f t="shared" ref="AK23:AK24" ca="1" si="6">TEXT(AI23-TODAY(),"0")&amp;" days"</f>
        <v>650 days</v>
      </c>
      <c r="AL23" s="32" t="s">
        <v>196</v>
      </c>
      <c r="AM23" s="20" t="s">
        <v>197</v>
      </c>
    </row>
    <row r="24" spans="1:39" x14ac:dyDescent="0.25">
      <c r="A24" s="7" t="s">
        <v>198</v>
      </c>
      <c r="B24" s="8" t="s">
        <v>190</v>
      </c>
      <c r="C24" s="8" t="s">
        <v>109</v>
      </c>
      <c r="D24" s="8" t="s">
        <v>191</v>
      </c>
      <c r="E24" s="30" t="s">
        <v>199</v>
      </c>
      <c r="F24" s="30" t="s">
        <v>200</v>
      </c>
      <c r="G24" s="8">
        <v>2025</v>
      </c>
      <c r="H24" s="10" t="str">
        <f>+HYPERLINK("https://steelworkspower-my.sharepoint.com/:b:/g/personal/utkarsh_kashyap_steelworks_in/IQCkRR8U35FFQpYR2iMSLE4AAVLiokYLjVyLd3SAYP4u__0?e=4VIvOK", "RC - " &amp; $A24 &amp; " (" &amp; $B24 &amp; ")")</f>
        <v>RC - HR98X2331 (BMW X7)</v>
      </c>
      <c r="I24" s="11">
        <v>51361</v>
      </c>
      <c r="J24" s="33">
        <v>11850000</v>
      </c>
      <c r="K24" s="34" t="s">
        <v>194</v>
      </c>
      <c r="L24" s="37" t="s">
        <v>201</v>
      </c>
      <c r="M24" s="13">
        <v>46238</v>
      </c>
      <c r="N24" s="13">
        <v>46602</v>
      </c>
      <c r="O24" s="13" t="str">
        <f t="shared" ca="1" si="0"/>
        <v>ACTIVE</v>
      </c>
      <c r="P24" s="13" t="str">
        <f t="shared" ca="1" si="1"/>
        <v>314 days</v>
      </c>
      <c r="Q24" s="14" t="str">
        <f>HYPERLINK("https://steelworkspower-my.sharepoint.com/:b:/g/personal/utkarsh_kashyap_steelworks_in/IQDW4Si7S43vR7CcdtHx7uo9ASkFc7E_RMA7wJhBSPWlNCs?e=ytdE7q","Insurance - " &amp; $A24 &amp; " (" &amp; $B24 &amp; ")")</f>
        <v>Insurance - HR98X2331 (BMW X7)</v>
      </c>
      <c r="R24" s="8"/>
      <c r="S24" s="31">
        <v>51361</v>
      </c>
      <c r="T24" s="13" t="str">
        <f t="shared" ca="1" si="2"/>
        <v>ACTIVE</v>
      </c>
      <c r="U24" s="13" t="str">
        <f t="shared" ca="1" si="3"/>
        <v>5073 days</v>
      </c>
      <c r="V24" s="8"/>
      <c r="W24" s="13" t="s">
        <v>70</v>
      </c>
      <c r="X24" s="13" t="s">
        <v>70</v>
      </c>
      <c r="Y24" s="16" t="s">
        <v>70</v>
      </c>
      <c r="Z24" s="17" t="s">
        <v>70</v>
      </c>
      <c r="AA24" s="8"/>
      <c r="AB24" s="13"/>
      <c r="AC24" s="8"/>
      <c r="AD24" s="13"/>
      <c r="AE24" s="8"/>
      <c r="AF24" s="18">
        <v>118800</v>
      </c>
      <c r="AG24" s="8">
        <f t="shared" ca="1" si="4"/>
        <v>0</v>
      </c>
      <c r="AH24" s="36">
        <v>45873</v>
      </c>
      <c r="AI24" s="36">
        <v>46938</v>
      </c>
      <c r="AJ24" s="13" t="str">
        <f t="shared" ca="1" si="5"/>
        <v>ACTIVE</v>
      </c>
      <c r="AK24" s="13" t="str">
        <f t="shared" ca="1" si="6"/>
        <v>650 days</v>
      </c>
      <c r="AL24" s="32" t="s">
        <v>202</v>
      </c>
      <c r="AM24" s="20" t="s">
        <v>203</v>
      </c>
    </row>
    <row r="25" spans="1:39" ht="15.75" thickBot="1" x14ac:dyDescent="0.3">
      <c r="A25" s="38" t="s">
        <v>204</v>
      </c>
      <c r="B25" s="39" t="s">
        <v>205</v>
      </c>
      <c r="C25" s="39" t="s">
        <v>109</v>
      </c>
      <c r="D25" s="39" t="s">
        <v>206</v>
      </c>
      <c r="E25" s="39" t="s">
        <v>207</v>
      </c>
      <c r="F25" s="40" t="s">
        <v>208</v>
      </c>
      <c r="G25" s="40">
        <v>2025</v>
      </c>
      <c r="H25" s="41" t="str">
        <f>+HYPERLINK("https://steelworkspower-my.sharepoint.com/:b:/g/personal/utkarsh_kashyap_steelworks_in/IQAOm6I7luUpTJDkPIIUrxltAUVp-GKEpUSM6reo-SwI2Lw?e=1csOxl", "RC - " &amp; $A25 &amp; " (" &amp; $B25 &amp; ")")</f>
        <v>RC - HR98AA8445 (Toyota Innova Hycross)</v>
      </c>
      <c r="I25" s="42">
        <v>51547</v>
      </c>
      <c r="J25" s="43">
        <v>2973500</v>
      </c>
      <c r="K25" s="43" t="s">
        <v>209</v>
      </c>
      <c r="L25" s="44" t="s">
        <v>210</v>
      </c>
      <c r="M25" s="45">
        <v>46067</v>
      </c>
      <c r="N25" s="45">
        <v>46294</v>
      </c>
      <c r="O25" s="45" t="str">
        <f t="shared" ca="1" si="0"/>
        <v>EXPIRING SOON</v>
      </c>
      <c r="P25" s="45" t="str">
        <f t="shared" ca="1" si="1"/>
        <v>6 days</v>
      </c>
      <c r="Q25" s="46" t="str">
        <f>HYPERLINK("https://steelworkspower-my.sharepoint.com/:b:/g/personal/utkarsh_kashyap_steelworks_in/IQAUpRhF3yq6QLM9ycM5S2yPAasIB1Q9lHy8RfJ-mtGpTxM?e=Rf1oNB","Insurance - " &amp; $A25 &amp; " (" &amp; $B25 &amp; ")")</f>
        <v>Insurance - HR98AA8445 (Toyota Innova Hycross)</v>
      </c>
      <c r="R25" s="39"/>
      <c r="S25" s="47">
        <v>51547</v>
      </c>
      <c r="T25" s="45" t="str">
        <f t="shared" ca="1" si="2"/>
        <v>ACTIVE</v>
      </c>
      <c r="U25" s="45" t="str">
        <f t="shared" ca="1" si="3"/>
        <v>5259 days</v>
      </c>
      <c r="V25" s="39"/>
      <c r="W25" s="45" t="s">
        <v>70</v>
      </c>
      <c r="X25" s="45" t="s">
        <v>70</v>
      </c>
      <c r="Y25" s="48" t="s">
        <v>70</v>
      </c>
      <c r="Z25" s="49" t="s">
        <v>70</v>
      </c>
      <c r="AA25" s="39"/>
      <c r="AB25" s="39"/>
      <c r="AC25" s="39"/>
      <c r="AD25" s="39"/>
      <c r="AE25" s="39"/>
      <c r="AF25" s="50">
        <v>109910</v>
      </c>
      <c r="AG25" s="39">
        <f t="shared" ca="1" si="4"/>
        <v>0</v>
      </c>
      <c r="AH25" s="51">
        <v>46067</v>
      </c>
      <c r="AI25" s="51">
        <v>47162</v>
      </c>
      <c r="AJ25" s="45" t="str">
        <f ca="1">IF(AI25&lt;TODAY(),"EXPIRED",IF(AI25&lt;=TODAY()+30,"EXPIRING SOON","ACTIVE"))</f>
        <v>ACTIVE</v>
      </c>
      <c r="AK25" s="45" t="str">
        <f ca="1">TEXT(AI25-TODAY(),"0")&amp;" days"</f>
        <v>874 days</v>
      </c>
      <c r="AL25" s="52" t="s">
        <v>211</v>
      </c>
      <c r="AM25" s="53" t="s">
        <v>212</v>
      </c>
    </row>
    <row r="30" spans="1:39" x14ac:dyDescent="0.25">
      <c r="L30" s="55"/>
    </row>
  </sheetData>
  <protectedRanges>
    <protectedRange algorithmName="SHA-512" hashValue="XB+6qvIP6sw1hk8D8Vl1ZhqlP+8bXhd3UDJt4J7J157vTqbHUH1N4/XrBwj1euRMjr0+C0jkQK1asFAcKHsCvg==" saltValue="D0vjYgwXzgS5ApwDbInzLw==" spinCount="100000" sqref="H2:H25" name="Range1"/>
  </protectedRanges>
  <conditionalFormatting sqref="O2:O25">
    <cfRule type="containsText" dxfId="33" priority="38" operator="containsText" text="expired">
      <formula>NOT(ISERROR(SEARCH("expired",O2)))</formula>
    </cfRule>
    <cfRule type="containsText" dxfId="32" priority="39" operator="containsText" text="Expiring Soon">
      <formula>NOT(ISERROR(SEARCH("Expiring Soon",O2)))</formula>
    </cfRule>
    <cfRule type="containsText" dxfId="31" priority="40" operator="containsText" text="Active">
      <formula>NOT(ISERROR(SEARCH("Active",O2)))</formula>
    </cfRule>
  </conditionalFormatting>
  <conditionalFormatting sqref="T2:T25">
    <cfRule type="containsText" dxfId="30" priority="32" operator="containsText" text="expired">
      <formula>NOT(ISERROR(SEARCH("expired",T2)))</formula>
    </cfRule>
    <cfRule type="containsText" dxfId="29" priority="33" operator="containsText" text="Expiring Soon">
      <formula>NOT(ISERROR(SEARCH("Expiring Soon",T2)))</formula>
    </cfRule>
    <cfRule type="containsText" dxfId="28" priority="34" operator="containsText" text="Active">
      <formula>NOT(ISERROR(SEARCH("Active",T2)))</formula>
    </cfRule>
  </conditionalFormatting>
  <conditionalFormatting sqref="Y2:Y4">
    <cfRule type="containsText" dxfId="27" priority="29" operator="containsText" text="expired">
      <formula>NOT(ISERROR(SEARCH("expired",Y2)))</formula>
    </cfRule>
    <cfRule type="containsText" dxfId="26" priority="30" operator="containsText" text="Expiring Soon">
      <formula>NOT(ISERROR(SEARCH("Expiring Soon",Y2)))</formula>
    </cfRule>
    <cfRule type="containsText" dxfId="25" priority="31" operator="containsText" text="Active">
      <formula>NOT(ISERROR(SEARCH("Active",Y2)))</formula>
    </cfRule>
  </conditionalFormatting>
  <conditionalFormatting sqref="Y2:Y25 Z16">
    <cfRule type="cellIs" dxfId="24" priority="7" operator="equal">
      <formula>"LTT"</formula>
    </cfRule>
  </conditionalFormatting>
  <conditionalFormatting sqref="Y6:Y8">
    <cfRule type="containsText" dxfId="23" priority="26" operator="containsText" text="expired">
      <formula>NOT(ISERROR(SEARCH("expired",Y6)))</formula>
    </cfRule>
    <cfRule type="containsText" dxfId="22" priority="27" operator="containsText" text="Expiring Soon">
      <formula>NOT(ISERROR(SEARCH("Expiring Soon",Y6)))</formula>
    </cfRule>
    <cfRule type="containsText" dxfId="21" priority="28" operator="containsText" text="Active">
      <formula>NOT(ISERROR(SEARCH("Active",Y6)))</formula>
    </cfRule>
  </conditionalFormatting>
  <conditionalFormatting sqref="Y10:Y11">
    <cfRule type="containsText" dxfId="20" priority="23" operator="containsText" text="expired">
      <formula>NOT(ISERROR(SEARCH("expired",Y10)))</formula>
    </cfRule>
    <cfRule type="containsText" dxfId="19" priority="24" operator="containsText" text="Expiring Soon">
      <formula>NOT(ISERROR(SEARCH("Expiring Soon",Y10)))</formula>
    </cfRule>
    <cfRule type="containsText" dxfId="18" priority="25" operator="containsText" text="Active">
      <formula>NOT(ISERROR(SEARCH("Active",Y10)))</formula>
    </cfRule>
  </conditionalFormatting>
  <conditionalFormatting sqref="Y13:Y15">
    <cfRule type="containsText" dxfId="17" priority="20" operator="containsText" text="expired">
      <formula>NOT(ISERROR(SEARCH("expired",Y13)))</formula>
    </cfRule>
    <cfRule type="containsText" dxfId="16" priority="21" operator="containsText" text="Expiring Soon">
      <formula>NOT(ISERROR(SEARCH("Expiring Soon",Y13)))</formula>
    </cfRule>
    <cfRule type="containsText" dxfId="15" priority="22" operator="containsText" text="Active">
      <formula>NOT(ISERROR(SEARCH("Active",Y13)))</formula>
    </cfRule>
  </conditionalFormatting>
  <conditionalFormatting sqref="Y18">
    <cfRule type="containsText" dxfId="14" priority="17" operator="containsText" text="expired">
      <formula>NOT(ISERROR(SEARCH("expired",Y18)))</formula>
    </cfRule>
    <cfRule type="containsText" dxfId="13" priority="18" operator="containsText" text="Expiring Soon">
      <formula>NOT(ISERROR(SEARCH("Expiring Soon",Y18)))</formula>
    </cfRule>
    <cfRule type="containsText" dxfId="12" priority="19" operator="containsText" text="Active">
      <formula>NOT(ISERROR(SEARCH("Active",Y18)))</formula>
    </cfRule>
  </conditionalFormatting>
  <conditionalFormatting sqref="AC3:AC4">
    <cfRule type="containsText" dxfId="11" priority="14" operator="containsText" text="expired">
      <formula>NOT(ISERROR(SEARCH("expired",AC3)))</formula>
    </cfRule>
    <cfRule type="containsText" dxfId="10" priority="15" operator="containsText" text="Expiring Soon">
      <formula>NOT(ISERROR(SEARCH("Expiring Soon",AC3)))</formula>
    </cfRule>
    <cfRule type="containsText" dxfId="9" priority="16" operator="containsText" text="Active">
      <formula>NOT(ISERROR(SEARCH("Active",AC3)))</formula>
    </cfRule>
  </conditionalFormatting>
  <conditionalFormatting sqref="AC11">
    <cfRule type="containsText" dxfId="8" priority="11" operator="containsText" text="expired">
      <formula>NOT(ISERROR(SEARCH("expired",AC11)))</formula>
    </cfRule>
    <cfRule type="containsText" dxfId="7" priority="12" operator="containsText" text="Expiring Soon">
      <formula>NOT(ISERROR(SEARCH("Expiring Soon",AC11)))</formula>
    </cfRule>
    <cfRule type="containsText" dxfId="6" priority="13" operator="containsText" text="Active">
      <formula>NOT(ISERROR(SEARCH("Active",AC11)))</formula>
    </cfRule>
  </conditionalFormatting>
  <conditionalFormatting sqref="AC18">
    <cfRule type="containsText" dxfId="5" priority="8" operator="containsText" text="expired">
      <formula>NOT(ISERROR(SEARCH("expired",AC18)))</formula>
    </cfRule>
    <cfRule type="containsText" dxfId="4" priority="9" operator="containsText" text="Expiring Soon">
      <formula>NOT(ISERROR(SEARCH("Expiring Soon",AC18)))</formula>
    </cfRule>
    <cfRule type="containsText" dxfId="3" priority="10" operator="containsText" text="Active">
      <formula>NOT(ISERROR(SEARCH("Active",AC18)))</formula>
    </cfRule>
  </conditionalFormatting>
  <conditionalFormatting sqref="AJ22:AJ25">
    <cfRule type="containsText" dxfId="2" priority="1" operator="containsText" text="expired">
      <formula>NOT(ISERROR(SEARCH("expired",AJ22)))</formula>
    </cfRule>
    <cfRule type="containsText" dxfId="1" priority="2" operator="containsText" text="Expiring Soon">
      <formula>NOT(ISERROR(SEARCH("Expiring Soon",AJ22)))</formula>
    </cfRule>
    <cfRule type="containsText" dxfId="0" priority="3" operator="containsText" text="Active">
      <formula>NOT(ISERROR(SEARCH("Active",AJ22)))</formula>
    </cfRule>
  </conditionalFormatting>
  <hyperlinks>
    <hyperlink ref="AL22" r:id="rId1" display="https://steelworkspower-my.sharepoint.com/:b:/g/personal/utkarsh_kashyap_steelworks_in/IQAdbiAMVJ2AQpe7wfB13jX7AaVnEscWUvjcHAb6AhJpLN4?e=DAoGps" xr:uid="{C45B42AA-EFEE-400F-8E1F-94B01DB8704B}"/>
    <hyperlink ref="AL25" r:id="rId2" display="https://steelworkspower-my.sharepoint.com/:b:/g/personal/utkarsh_kashyap_steelworks_in/IQAUpRhF3yq6QLM9ycM5S2yPAasIB1Q9lHy8RfJ-mtGpTxM?e=RrcVTB" xr:uid="{47BE4712-9555-4000-9E69-88774DF64A89}"/>
    <hyperlink ref="AL23" r:id="rId3" display="https://steelworkspower-my.sharepoint.com/:b:/g/personal/utkarsh_kashyap_steelworks_in/IQCZYffS4kgkTZaNMNUKQ-BwAfHEiJSr22rI8r-d37FaKMU?e=229m7e" xr:uid="{2C257EF2-E5BF-430A-BCC8-B8C8E74A2F5A}"/>
    <hyperlink ref="AL24" r:id="rId4" display="https://steelworkspower-my.sharepoint.com/:b:/g/personal/utkarsh_kashyap_steelworks_in/IQDm9CzBpXEVSbs0iDve6_3mAerIdS7X1FHtyeVbGj_sBLA?e=fJH2gn" xr:uid="{FA7E694A-5D2C-48BA-9EAF-2C0A4E9217C5}"/>
  </hyperlinks>
  <pageMargins left="0.70866141732283472" right="0.70866141732283472" top="0.74803149606299213" bottom="0.74803149606299213" header="0.31496062992125984" footer="0.31496062992125984"/>
  <pageSetup paperSize="9" scale="29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Kashyap / Executive / Office / Gurgaon (HO)</dc:creator>
  <cp:lastModifiedBy>Utkarsh Kashyap / Executive / Office / Gurgaon (HO)</cp:lastModifiedBy>
  <dcterms:created xsi:type="dcterms:W3CDTF">2026-08-19T09:03:16Z</dcterms:created>
  <dcterms:modified xsi:type="dcterms:W3CDTF">2026-09-23T06:55:41Z</dcterms:modified>
</cp:coreProperties>
</file>